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5cbc1b18c784b2c/Desktop/Work/BU Orbit/Execution/Builds/Projects/AI_QSR_Consolidation/Project_planning/Assets/"/>
    </mc:Choice>
  </mc:AlternateContent>
  <xr:revisionPtr revIDLastSave="60" documentId="8_{6EDC383A-F314-45D4-81F5-CB706E3DF1E6}" xr6:coauthVersionLast="47" xr6:coauthVersionMax="47" xr10:uidLastSave="{9176EB1F-7B6C-41F6-94D1-6B10E16D930A}"/>
  <bookViews>
    <workbookView xWindow="33180" yWindow="1305" windowWidth="21075" windowHeight="13410" activeTab="2" xr2:uid="{00000000-000D-0000-FFFF-FFFF00000000}"/>
  </bookViews>
  <sheets>
    <sheet name="Scorecard" sheetId="9" r:id="rId1"/>
    <sheet name="Sample" sheetId="13" r:id="rId2"/>
    <sheet name="P1" sheetId="5"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Project Data" sheetId="40" r:id="rId13"/>
    <sheet name="Lookups" sheetId="4" r:id="rId14"/>
    <sheet name="KPI Library" sheetId="3" state="hidden" r:id="rId15"/>
    <sheet name="Maturity Ratings" sheetId="2" state="hidden" r:id="rId16"/>
  </sheets>
  <externalReferences>
    <externalReference r:id="rId17"/>
  </externalReference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2" i="5" l="1"/>
  <c r="AY13" i="5"/>
  <c r="AY14" i="5"/>
  <c r="AY15" i="5"/>
  <c r="B33" i="13" l="1"/>
  <c r="B29" i="13"/>
  <c r="B25" i="13"/>
  <c r="B33" i="31"/>
  <c r="B33" i="32"/>
  <c r="B33" i="33"/>
  <c r="B33" i="34"/>
  <c r="B33" i="35"/>
  <c r="B33" i="36"/>
  <c r="B33" i="38"/>
  <c r="B33" i="39"/>
  <c r="B33" i="30"/>
  <c r="B29" i="31"/>
  <c r="B29" i="32"/>
  <c r="B29" i="33"/>
  <c r="B29" i="34"/>
  <c r="B29" i="35"/>
  <c r="B29" i="36"/>
  <c r="B29" i="38"/>
  <c r="B29" i="39"/>
  <c r="B29" i="30"/>
  <c r="B25" i="31"/>
  <c r="B25" i="32"/>
  <c r="B25" i="33"/>
  <c r="B25" i="34"/>
  <c r="B25" i="35"/>
  <c r="B25" i="36"/>
  <c r="B25" i="38"/>
  <c r="B25" i="39"/>
  <c r="B25" i="30"/>
  <c r="B33" i="5"/>
  <c r="B29" i="5"/>
  <c r="B25" i="5"/>
  <c r="M16" i="9"/>
  <c r="F24" i="13" l="1"/>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SW13" i="40"/>
  <c r="SV13" i="40"/>
  <c r="SR13" i="40"/>
  <c r="SO13" i="40"/>
  <c r="SI13" i="40"/>
  <c r="SH13" i="40"/>
  <c r="SD13" i="40"/>
  <c r="SC13" i="40"/>
  <c r="SA13" i="40"/>
  <c r="RU13" i="40"/>
  <c r="RT13" i="40"/>
  <c r="RN13" i="40"/>
  <c r="RM13" i="40"/>
  <c r="RH13" i="40"/>
  <c r="RG13" i="40"/>
  <c r="RF13" i="40"/>
  <c r="RB13" i="40"/>
  <c r="RA13" i="40"/>
  <c r="QZ13" i="40"/>
  <c r="QY13" i="40"/>
  <c r="QX13" i="40"/>
  <c r="QW13" i="40"/>
  <c r="QV13" i="40"/>
  <c r="QU13" i="40"/>
  <c r="QT13" i="40"/>
  <c r="QS13" i="40"/>
  <c r="QR13" i="40"/>
  <c r="QQ13" i="40"/>
  <c r="QP13" i="40"/>
  <c r="QO13" i="40"/>
  <c r="QN13" i="40"/>
  <c r="QM13" i="40"/>
  <c r="QL13" i="40"/>
  <c r="QK13" i="40"/>
  <c r="QJ13" i="40"/>
  <c r="QI13" i="40"/>
  <c r="QH13" i="40"/>
  <c r="QG13" i="40"/>
  <c r="QF13" i="40"/>
  <c r="QE13" i="40"/>
  <c r="QD13" i="40"/>
  <c r="QC13" i="40"/>
  <c r="QB13" i="40"/>
  <c r="QA13" i="40"/>
  <c r="PZ13" i="40"/>
  <c r="PY13" i="40"/>
  <c r="PX13" i="40"/>
  <c r="PW13" i="40"/>
  <c r="PV13" i="40"/>
  <c r="PU13" i="40"/>
  <c r="PT13" i="40"/>
  <c r="PS13" i="40"/>
  <c r="PR13" i="40"/>
  <c r="PQ13" i="40"/>
  <c r="PP13" i="40"/>
  <c r="PO13" i="40"/>
  <c r="PN13" i="40"/>
  <c r="PM13" i="40"/>
  <c r="PL13" i="40"/>
  <c r="PK13" i="40"/>
  <c r="PJ13" i="40"/>
  <c r="PI13" i="40"/>
  <c r="PH13" i="40"/>
  <c r="PG13" i="40"/>
  <c r="PF13" i="40"/>
  <c r="PE13" i="40"/>
  <c r="PD13" i="40"/>
  <c r="PC13" i="40"/>
  <c r="PB13" i="40"/>
  <c r="PA13" i="40"/>
  <c r="OZ13" i="40"/>
  <c r="OY13" i="40"/>
  <c r="OX13" i="40"/>
  <c r="OW13" i="40"/>
  <c r="OV13" i="40"/>
  <c r="OU13" i="40"/>
  <c r="OT13" i="40"/>
  <c r="OS13" i="40"/>
  <c r="OR13" i="40"/>
  <c r="OQ13" i="40"/>
  <c r="OP13" i="40"/>
  <c r="OO13" i="40"/>
  <c r="ON13" i="40"/>
  <c r="OM13" i="40"/>
  <c r="OL13" i="40"/>
  <c r="OK13" i="40"/>
  <c r="OJ13" i="40"/>
  <c r="OI13" i="40"/>
  <c r="OH13" i="40"/>
  <c r="OG13" i="40"/>
  <c r="OF13" i="40"/>
  <c r="OE13" i="40"/>
  <c r="OD13" i="40"/>
  <c r="OC13" i="40"/>
  <c r="OB13" i="40"/>
  <c r="OA13" i="40"/>
  <c r="NZ13" i="40"/>
  <c r="NY13" i="40"/>
  <c r="NX13" i="40"/>
  <c r="NW13" i="40"/>
  <c r="NV13" i="40"/>
  <c r="NU13" i="40"/>
  <c r="NT13" i="40"/>
  <c r="NS13" i="40"/>
  <c r="NR13" i="40"/>
  <c r="NQ13" i="40"/>
  <c r="NP13" i="40"/>
  <c r="NO13" i="40"/>
  <c r="NN13" i="40"/>
  <c r="NM13" i="40"/>
  <c r="NL13" i="40"/>
  <c r="NK13" i="40"/>
  <c r="NJ13" i="40"/>
  <c r="NI13" i="40"/>
  <c r="NH13" i="40"/>
  <c r="NG13" i="40"/>
  <c r="NF13" i="40"/>
  <c r="NE13" i="40"/>
  <c r="ND13" i="40"/>
  <c r="NC13" i="40"/>
  <c r="NB13" i="40"/>
  <c r="NA13" i="40"/>
  <c r="MZ13" i="40"/>
  <c r="MY13" i="40"/>
  <c r="MX13" i="40"/>
  <c r="MW13" i="40"/>
  <c r="MV13" i="40"/>
  <c r="MU13" i="40"/>
  <c r="MT13" i="40"/>
  <c r="MS13" i="40"/>
  <c r="MR13" i="40"/>
  <c r="MQ13" i="40"/>
  <c r="MP13" i="40"/>
  <c r="MO13" i="40"/>
  <c r="MN13" i="40"/>
  <c r="MM13" i="40"/>
  <c r="ML13" i="40"/>
  <c r="MK13" i="40"/>
  <c r="MJ13" i="40"/>
  <c r="MI13" i="40"/>
  <c r="MH13" i="40"/>
  <c r="MG13" i="40"/>
  <c r="MF13" i="40"/>
  <c r="ME13" i="40"/>
  <c r="MD13" i="40"/>
  <c r="MC13" i="40"/>
  <c r="MB13" i="40"/>
  <c r="MA13" i="40"/>
  <c r="LZ13" i="40"/>
  <c r="LY13" i="40"/>
  <c r="LX13" i="40"/>
  <c r="LW13" i="40"/>
  <c r="LV13" i="40"/>
  <c r="LU13" i="40"/>
  <c r="LT13" i="40"/>
  <c r="LS13" i="40"/>
  <c r="LR13" i="40"/>
  <c r="LQ13" i="40"/>
  <c r="LP13" i="40"/>
  <c r="LO13" i="40"/>
  <c r="LN13" i="40"/>
  <c r="LM13" i="40"/>
  <c r="LL13" i="40"/>
  <c r="LK13" i="40"/>
  <c r="LJ13" i="40"/>
  <c r="LI13" i="40"/>
  <c r="LH13" i="40"/>
  <c r="LG13" i="40"/>
  <c r="LF13" i="40"/>
  <c r="LE13" i="40"/>
  <c r="LD13" i="40"/>
  <c r="LC13" i="40"/>
  <c r="LB13" i="40"/>
  <c r="LA13" i="40"/>
  <c r="KZ13" i="40"/>
  <c r="KY13" i="40"/>
  <c r="KX13" i="40"/>
  <c r="KW13" i="40"/>
  <c r="KV13" i="40"/>
  <c r="KU13" i="40"/>
  <c r="KT13" i="40"/>
  <c r="KS13" i="40"/>
  <c r="KR13" i="40"/>
  <c r="KQ13" i="40"/>
  <c r="KP13" i="40"/>
  <c r="KO13" i="40"/>
  <c r="KN13" i="40"/>
  <c r="KM13" i="40"/>
  <c r="KL13" i="40"/>
  <c r="KK13" i="40"/>
  <c r="KJ13" i="40"/>
  <c r="KI13" i="40"/>
  <c r="KH13" i="40"/>
  <c r="KG13" i="40"/>
  <c r="KF13" i="40"/>
  <c r="KE13" i="40"/>
  <c r="KD13" i="40"/>
  <c r="KC13" i="40"/>
  <c r="KB13" i="40"/>
  <c r="KA13" i="40"/>
  <c r="JZ13" i="40"/>
  <c r="JY13" i="40"/>
  <c r="JX13" i="40"/>
  <c r="JW13" i="40"/>
  <c r="JV13" i="40"/>
  <c r="JU13" i="40"/>
  <c r="JT13" i="40"/>
  <c r="JS13" i="40"/>
  <c r="JR13" i="40"/>
  <c r="JQ13" i="40"/>
  <c r="JP13" i="40"/>
  <c r="JO13" i="40"/>
  <c r="JN13" i="40"/>
  <c r="JM13" i="40"/>
  <c r="JL13" i="40"/>
  <c r="JK13" i="40"/>
  <c r="JJ13" i="40"/>
  <c r="JI13" i="40"/>
  <c r="JH13" i="40"/>
  <c r="JG13" i="40"/>
  <c r="JF13" i="40"/>
  <c r="JE13" i="40"/>
  <c r="JD13" i="40"/>
  <c r="JC13" i="40"/>
  <c r="JB13" i="40"/>
  <c r="JA13" i="40"/>
  <c r="IZ13" i="40"/>
  <c r="IY13" i="40"/>
  <c r="IX13" i="40"/>
  <c r="IW13" i="40"/>
  <c r="IV13" i="40"/>
  <c r="IU13" i="40"/>
  <c r="IT13" i="40"/>
  <c r="IS13" i="40"/>
  <c r="IR13" i="40"/>
  <c r="IQ13" i="40"/>
  <c r="IP13" i="40"/>
  <c r="IO13" i="40"/>
  <c r="IN13" i="40"/>
  <c r="IM13" i="40"/>
  <c r="IL13" i="40"/>
  <c r="IK13" i="40"/>
  <c r="IJ13" i="40"/>
  <c r="II13" i="40"/>
  <c r="IH13" i="40"/>
  <c r="IG13" i="40"/>
  <c r="IF13" i="40"/>
  <c r="IE13" i="40"/>
  <c r="ID13" i="40"/>
  <c r="IC13" i="40"/>
  <c r="IB13" i="40"/>
  <c r="IA13" i="40"/>
  <c r="HZ13" i="40"/>
  <c r="HY13" i="40"/>
  <c r="HX13" i="40"/>
  <c r="HW13" i="40"/>
  <c r="HV13" i="40"/>
  <c r="HU13" i="40"/>
  <c r="HT13" i="40"/>
  <c r="HS13" i="40"/>
  <c r="HR13" i="40"/>
  <c r="HQ13" i="40"/>
  <c r="HP13" i="40"/>
  <c r="HO13" i="40"/>
  <c r="HN13" i="40"/>
  <c r="HM13" i="40"/>
  <c r="HL13" i="40"/>
  <c r="HK13" i="40"/>
  <c r="HJ13" i="40"/>
  <c r="HI13" i="40"/>
  <c r="HH13" i="40"/>
  <c r="HG13" i="40"/>
  <c r="HF13" i="40"/>
  <c r="HE13" i="40"/>
  <c r="HD13" i="40"/>
  <c r="HC13" i="40"/>
  <c r="HB13" i="40"/>
  <c r="HA13" i="40"/>
  <c r="GZ13" i="40"/>
  <c r="GY13" i="40"/>
  <c r="GX13" i="40"/>
  <c r="GW13" i="40"/>
  <c r="GV13" i="40"/>
  <c r="GU13" i="40"/>
  <c r="GT13" i="40"/>
  <c r="GS13" i="40"/>
  <c r="GR13" i="40"/>
  <c r="GQ13" i="40"/>
  <c r="GP13" i="40"/>
  <c r="GO13" i="40"/>
  <c r="GN13" i="40"/>
  <c r="GM13" i="40"/>
  <c r="GL13" i="40"/>
  <c r="GK13" i="40"/>
  <c r="GJ13" i="40"/>
  <c r="GI13" i="40"/>
  <c r="GH13" i="40"/>
  <c r="GG13" i="40"/>
  <c r="GF13" i="40"/>
  <c r="GE13" i="40"/>
  <c r="GD13" i="40"/>
  <c r="GC13" i="40"/>
  <c r="GB13" i="40"/>
  <c r="GA13" i="40"/>
  <c r="FZ13" i="40"/>
  <c r="FY13" i="40"/>
  <c r="FX13" i="40"/>
  <c r="FW13" i="40"/>
  <c r="FV13" i="40"/>
  <c r="FU13" i="40"/>
  <c r="FT13" i="40"/>
  <c r="FS13" i="40"/>
  <c r="FR13" i="40"/>
  <c r="FQ13" i="40"/>
  <c r="FP13" i="40"/>
  <c r="FO13" i="40"/>
  <c r="FN13" i="40"/>
  <c r="FM13" i="40"/>
  <c r="FL13" i="40"/>
  <c r="FK13" i="40"/>
  <c r="FJ13" i="40"/>
  <c r="FI13" i="40"/>
  <c r="FH13" i="40"/>
  <c r="FG13" i="40"/>
  <c r="FF13" i="40"/>
  <c r="FE13" i="40"/>
  <c r="FD13" i="40"/>
  <c r="FC13" i="40"/>
  <c r="FB13" i="40"/>
  <c r="FA13" i="40"/>
  <c r="EZ13" i="40"/>
  <c r="EY13" i="40"/>
  <c r="EX13" i="40"/>
  <c r="EW13" i="40"/>
  <c r="EV13" i="40"/>
  <c r="EU13" i="40"/>
  <c r="ET13" i="40"/>
  <c r="ES13" i="40"/>
  <c r="ER13" i="40"/>
  <c r="EQ13" i="40"/>
  <c r="EP13" i="40"/>
  <c r="EO13" i="40"/>
  <c r="EN13" i="40"/>
  <c r="EM13" i="40"/>
  <c r="EL13" i="40"/>
  <c r="EK13" i="40"/>
  <c r="EJ13" i="40"/>
  <c r="EI13" i="40"/>
  <c r="EH13" i="40"/>
  <c r="EG13" i="40"/>
  <c r="EF13" i="40"/>
  <c r="EE13" i="40"/>
  <c r="ED13" i="40"/>
  <c r="EC13" i="40"/>
  <c r="EB13" i="40"/>
  <c r="EA13" i="40"/>
  <c r="DZ13" i="40"/>
  <c r="DY13" i="40"/>
  <c r="DX13" i="40"/>
  <c r="DW13" i="40"/>
  <c r="DV13" i="40"/>
  <c r="DU13" i="40"/>
  <c r="DT13" i="40"/>
  <c r="DS13" i="40"/>
  <c r="DR13" i="40"/>
  <c r="DQ13" i="40"/>
  <c r="DP13" i="40"/>
  <c r="DO13" i="40"/>
  <c r="DN13" i="40"/>
  <c r="DM13" i="40"/>
  <c r="DL13" i="40"/>
  <c r="DK13" i="40"/>
  <c r="DJ13" i="40"/>
  <c r="DI13" i="40"/>
  <c r="DH13" i="40"/>
  <c r="DG13" i="40"/>
  <c r="DF13" i="40"/>
  <c r="DE13" i="40"/>
  <c r="DD13" i="40"/>
  <c r="DC13" i="40"/>
  <c r="DB13" i="40"/>
  <c r="DA13" i="40"/>
  <c r="CZ13" i="40"/>
  <c r="CY13" i="40"/>
  <c r="CX13" i="40"/>
  <c r="CW13" i="40"/>
  <c r="CV13" i="40"/>
  <c r="CU13" i="40"/>
  <c r="CT13" i="40"/>
  <c r="CS13" i="40"/>
  <c r="CR13" i="40"/>
  <c r="CQ13" i="40"/>
  <c r="CP13" i="40"/>
  <c r="CO13" i="40"/>
  <c r="CN13" i="40"/>
  <c r="CM13" i="40"/>
  <c r="CL13" i="40"/>
  <c r="CK13" i="40"/>
  <c r="CJ13" i="40"/>
  <c r="CI13" i="40"/>
  <c r="CH13" i="40"/>
  <c r="CG13" i="40"/>
  <c r="CF13" i="40"/>
  <c r="CE13" i="40"/>
  <c r="CD13" i="40"/>
  <c r="CC13" i="40"/>
  <c r="CB13" i="40"/>
  <c r="CA13" i="40"/>
  <c r="BZ13" i="40"/>
  <c r="BY13" i="40"/>
  <c r="BX13" i="40"/>
  <c r="BW13" i="40"/>
  <c r="BV13" i="40"/>
  <c r="BU13" i="40"/>
  <c r="BT13" i="40"/>
  <c r="BS13" i="40"/>
  <c r="BR13" i="40"/>
  <c r="BQ13" i="40"/>
  <c r="BP13" i="40"/>
  <c r="BO13" i="40"/>
  <c r="BN13" i="40"/>
  <c r="BM13" i="40"/>
  <c r="BL13" i="40"/>
  <c r="BK13" i="40"/>
  <c r="BJ13" i="40"/>
  <c r="BI13" i="40"/>
  <c r="BH13" i="40"/>
  <c r="BG13" i="40"/>
  <c r="BF13" i="40"/>
  <c r="BE13"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Y13" i="40"/>
  <c r="X13" i="40"/>
  <c r="W13" i="40"/>
  <c r="V13" i="40"/>
  <c r="U13" i="40"/>
  <c r="T13" i="40"/>
  <c r="S13" i="40"/>
  <c r="R13" i="40"/>
  <c r="Q13" i="40"/>
  <c r="P13" i="40"/>
  <c r="O13" i="40"/>
  <c r="N13" i="40"/>
  <c r="M13" i="40"/>
  <c r="L13" i="40"/>
  <c r="K13" i="40"/>
  <c r="J13" i="40"/>
  <c r="I13" i="40"/>
  <c r="H13" i="40"/>
  <c r="G13" i="40"/>
  <c r="F13" i="40"/>
  <c r="E13" i="40"/>
  <c r="D13" i="40"/>
  <c r="C13" i="40"/>
  <c r="TB12" i="40"/>
  <c r="SV12" i="40"/>
  <c r="SU12" i="40"/>
  <c r="ST12" i="40"/>
  <c r="SS12" i="40"/>
  <c r="SR12" i="40"/>
  <c r="SO12" i="40"/>
  <c r="SN12" i="40"/>
  <c r="SM12" i="40"/>
  <c r="SL12" i="40"/>
  <c r="SH12" i="40"/>
  <c r="SD12" i="40"/>
  <c r="SA12" i="40"/>
  <c r="RZ12" i="40"/>
  <c r="RT12" i="40"/>
  <c r="RS12" i="40"/>
  <c r="RR12" i="40"/>
  <c r="RQ12" i="40"/>
  <c r="RM12" i="40"/>
  <c r="RL12" i="40"/>
  <c r="RK12" i="40"/>
  <c r="RJ12" i="40"/>
  <c r="RF12" i="40"/>
  <c r="RC12" i="40"/>
  <c r="RB12" i="40"/>
  <c r="RA12" i="40"/>
  <c r="QZ12" i="40"/>
  <c r="QY12" i="40"/>
  <c r="QX12" i="40"/>
  <c r="QW12" i="40"/>
  <c r="QV12" i="40"/>
  <c r="QU12" i="40"/>
  <c r="QT12" i="40"/>
  <c r="QS12" i="40"/>
  <c r="QR12" i="40"/>
  <c r="QQ12" i="40"/>
  <c r="QP12" i="40"/>
  <c r="QO12" i="40"/>
  <c r="QN12" i="40"/>
  <c r="QM12" i="40"/>
  <c r="QL12" i="40"/>
  <c r="QK12" i="40"/>
  <c r="QJ12" i="40"/>
  <c r="QI12" i="40"/>
  <c r="QH12" i="40"/>
  <c r="QG12" i="40"/>
  <c r="QF12" i="40"/>
  <c r="QE12" i="40"/>
  <c r="QD12" i="40"/>
  <c r="QC12" i="40"/>
  <c r="QB12" i="40"/>
  <c r="QA12" i="40"/>
  <c r="PZ12" i="40"/>
  <c r="PY12" i="40"/>
  <c r="PX12" i="40"/>
  <c r="PW12" i="40"/>
  <c r="PV12" i="40"/>
  <c r="PU12" i="40"/>
  <c r="PT12" i="40"/>
  <c r="PS12" i="40"/>
  <c r="PR12" i="40"/>
  <c r="PQ12" i="40"/>
  <c r="PP12" i="40"/>
  <c r="PO12" i="40"/>
  <c r="PN12" i="40"/>
  <c r="PM12" i="40"/>
  <c r="PL12" i="40"/>
  <c r="PK12" i="40"/>
  <c r="PJ12" i="40"/>
  <c r="PI12" i="40"/>
  <c r="PH12" i="40"/>
  <c r="PG12" i="40"/>
  <c r="PF12" i="40"/>
  <c r="PE12" i="40"/>
  <c r="PD12" i="40"/>
  <c r="PC12" i="40"/>
  <c r="PB12" i="40"/>
  <c r="PA12" i="40"/>
  <c r="OZ12" i="40"/>
  <c r="OY12" i="40"/>
  <c r="OX12" i="40"/>
  <c r="OW12" i="40"/>
  <c r="OV12" i="40"/>
  <c r="OU12" i="40"/>
  <c r="OT12" i="40"/>
  <c r="OS12" i="40"/>
  <c r="OR12" i="40"/>
  <c r="OQ12" i="40"/>
  <c r="OP12" i="40"/>
  <c r="OO12" i="40"/>
  <c r="ON12" i="40"/>
  <c r="OM12" i="40"/>
  <c r="OL12" i="40"/>
  <c r="OK12" i="40"/>
  <c r="OJ12" i="40"/>
  <c r="OI12" i="40"/>
  <c r="OH12" i="40"/>
  <c r="OG12" i="40"/>
  <c r="OF12" i="40"/>
  <c r="OE12" i="40"/>
  <c r="OD12" i="40"/>
  <c r="OC12" i="40"/>
  <c r="OB12" i="40"/>
  <c r="OA12" i="40"/>
  <c r="NZ12" i="40"/>
  <c r="NY12" i="40"/>
  <c r="NX12" i="40"/>
  <c r="NW12" i="40"/>
  <c r="NV12" i="40"/>
  <c r="NU12" i="40"/>
  <c r="NT12" i="40"/>
  <c r="NS12" i="40"/>
  <c r="NR12" i="40"/>
  <c r="NQ12" i="40"/>
  <c r="NP12" i="40"/>
  <c r="NO12" i="40"/>
  <c r="NN12" i="40"/>
  <c r="NM12" i="40"/>
  <c r="NL12" i="40"/>
  <c r="NK12" i="40"/>
  <c r="NJ12" i="40"/>
  <c r="NI12" i="40"/>
  <c r="NH12" i="40"/>
  <c r="NG12" i="40"/>
  <c r="NF12" i="40"/>
  <c r="NE12" i="40"/>
  <c r="ND12" i="40"/>
  <c r="NC12" i="40"/>
  <c r="NB12" i="40"/>
  <c r="NA12" i="40"/>
  <c r="MZ12" i="40"/>
  <c r="MY12" i="40"/>
  <c r="MX12" i="40"/>
  <c r="MW12" i="40"/>
  <c r="MV12" i="40"/>
  <c r="MU12" i="40"/>
  <c r="MT12" i="40"/>
  <c r="MS12" i="40"/>
  <c r="MR12" i="40"/>
  <c r="MQ12" i="40"/>
  <c r="MP12" i="40"/>
  <c r="MO12" i="40"/>
  <c r="MN12" i="40"/>
  <c r="MM12" i="40"/>
  <c r="ML12" i="40"/>
  <c r="MK12" i="40"/>
  <c r="MJ12" i="40"/>
  <c r="MI12" i="40"/>
  <c r="MH12" i="40"/>
  <c r="MG12" i="40"/>
  <c r="MF12" i="40"/>
  <c r="ME12" i="40"/>
  <c r="MD12" i="40"/>
  <c r="MC12" i="40"/>
  <c r="MB12" i="40"/>
  <c r="MA12" i="40"/>
  <c r="LZ12" i="40"/>
  <c r="LY12" i="40"/>
  <c r="LX12" i="40"/>
  <c r="LW12" i="40"/>
  <c r="LV12" i="40"/>
  <c r="LU12" i="40"/>
  <c r="LT12" i="40"/>
  <c r="LS12" i="40"/>
  <c r="LR12" i="40"/>
  <c r="LQ12" i="40"/>
  <c r="LP12" i="40"/>
  <c r="LO12" i="40"/>
  <c r="LN12" i="40"/>
  <c r="LM12" i="40"/>
  <c r="LL12" i="40"/>
  <c r="LK12" i="40"/>
  <c r="LJ12" i="40"/>
  <c r="LI12" i="40"/>
  <c r="LH12" i="40"/>
  <c r="LG12" i="40"/>
  <c r="LF12" i="40"/>
  <c r="LE12" i="40"/>
  <c r="LD12" i="40"/>
  <c r="LC12" i="40"/>
  <c r="LB12" i="40"/>
  <c r="LA12" i="40"/>
  <c r="KZ12" i="40"/>
  <c r="KY12" i="40"/>
  <c r="KX12" i="40"/>
  <c r="KW12" i="40"/>
  <c r="KV12" i="40"/>
  <c r="KU12" i="40"/>
  <c r="KT12" i="40"/>
  <c r="KS12" i="40"/>
  <c r="KR12" i="40"/>
  <c r="KQ12" i="40"/>
  <c r="KP12" i="40"/>
  <c r="KO12" i="40"/>
  <c r="KN12" i="40"/>
  <c r="KM12" i="40"/>
  <c r="KL12" i="40"/>
  <c r="KK12" i="40"/>
  <c r="KJ12" i="40"/>
  <c r="KI12" i="40"/>
  <c r="KH12" i="40"/>
  <c r="KG12" i="40"/>
  <c r="KF12" i="40"/>
  <c r="KE12" i="40"/>
  <c r="KD12" i="40"/>
  <c r="KC12" i="40"/>
  <c r="KB12" i="40"/>
  <c r="KA12" i="40"/>
  <c r="JZ12" i="40"/>
  <c r="JY12" i="40"/>
  <c r="JX12" i="40"/>
  <c r="JW12" i="40"/>
  <c r="JV12" i="40"/>
  <c r="JU12" i="40"/>
  <c r="JT12" i="40"/>
  <c r="JS12" i="40"/>
  <c r="JR12" i="40"/>
  <c r="JQ12" i="40"/>
  <c r="JP12" i="40"/>
  <c r="JO12" i="40"/>
  <c r="JN12" i="40"/>
  <c r="JM12" i="40"/>
  <c r="JL12" i="40"/>
  <c r="JK12" i="40"/>
  <c r="JJ12" i="40"/>
  <c r="JI12" i="40"/>
  <c r="JH12" i="40"/>
  <c r="JG12" i="40"/>
  <c r="JF12" i="40"/>
  <c r="JE12" i="40"/>
  <c r="JD12" i="40"/>
  <c r="JC12" i="40"/>
  <c r="JB12" i="40"/>
  <c r="JA12" i="40"/>
  <c r="IZ12" i="40"/>
  <c r="IY12" i="40"/>
  <c r="IX12" i="40"/>
  <c r="IW12" i="40"/>
  <c r="IV12" i="40"/>
  <c r="IU12" i="40"/>
  <c r="IT12" i="40"/>
  <c r="IS12" i="40"/>
  <c r="IR12" i="40"/>
  <c r="IQ12" i="40"/>
  <c r="IP12" i="40"/>
  <c r="IO12" i="40"/>
  <c r="IN12" i="40"/>
  <c r="IM12" i="40"/>
  <c r="IL12" i="40"/>
  <c r="IK12" i="40"/>
  <c r="IJ12" i="40"/>
  <c r="II12" i="40"/>
  <c r="IH12" i="40"/>
  <c r="IG12" i="40"/>
  <c r="IF12" i="40"/>
  <c r="IE12" i="40"/>
  <c r="ID12" i="40"/>
  <c r="IC12" i="40"/>
  <c r="IB12" i="40"/>
  <c r="IA12" i="40"/>
  <c r="HZ12" i="40"/>
  <c r="HY12" i="40"/>
  <c r="HX12" i="40"/>
  <c r="HW12" i="40"/>
  <c r="HV12" i="40"/>
  <c r="HU12" i="40"/>
  <c r="HT12" i="40"/>
  <c r="HS12" i="40"/>
  <c r="HR12" i="40"/>
  <c r="HQ12" i="40"/>
  <c r="HP12" i="40"/>
  <c r="HO12" i="40"/>
  <c r="HN12" i="40"/>
  <c r="HM12" i="40"/>
  <c r="HL12" i="40"/>
  <c r="HK12" i="40"/>
  <c r="HJ12" i="40"/>
  <c r="HI12" i="40"/>
  <c r="HH12" i="40"/>
  <c r="HG12" i="40"/>
  <c r="HF12" i="40"/>
  <c r="HE12" i="40"/>
  <c r="HD12" i="40"/>
  <c r="HC12" i="40"/>
  <c r="HB12" i="40"/>
  <c r="HA12" i="40"/>
  <c r="GZ12" i="40"/>
  <c r="GY12" i="40"/>
  <c r="GX12" i="40"/>
  <c r="GW12" i="40"/>
  <c r="GV12" i="40"/>
  <c r="GU12" i="40"/>
  <c r="GT12" i="40"/>
  <c r="GS12" i="40"/>
  <c r="GR12" i="40"/>
  <c r="GQ12" i="40"/>
  <c r="GP12" i="40"/>
  <c r="GO12" i="40"/>
  <c r="GN12" i="40"/>
  <c r="GM12" i="40"/>
  <c r="GL12" i="40"/>
  <c r="GK12" i="40"/>
  <c r="GJ12" i="40"/>
  <c r="GI12" i="40"/>
  <c r="GH12" i="40"/>
  <c r="GG12" i="40"/>
  <c r="GF12" i="40"/>
  <c r="GE12" i="40"/>
  <c r="GD12" i="40"/>
  <c r="GC12" i="40"/>
  <c r="GB12" i="40"/>
  <c r="GA12" i="40"/>
  <c r="FZ12" i="40"/>
  <c r="FY12" i="40"/>
  <c r="FX12" i="40"/>
  <c r="FW12" i="40"/>
  <c r="FV12" i="40"/>
  <c r="FU12" i="40"/>
  <c r="FT12" i="40"/>
  <c r="FS12" i="40"/>
  <c r="FR12" i="40"/>
  <c r="FQ12" i="40"/>
  <c r="FP12" i="40"/>
  <c r="FO12" i="40"/>
  <c r="FN12" i="40"/>
  <c r="FM12" i="40"/>
  <c r="FL12" i="40"/>
  <c r="FK12" i="40"/>
  <c r="FJ12" i="40"/>
  <c r="FI12" i="40"/>
  <c r="FH12" i="40"/>
  <c r="FG12" i="40"/>
  <c r="FF12" i="40"/>
  <c r="FE12" i="40"/>
  <c r="FD12" i="40"/>
  <c r="FC12" i="40"/>
  <c r="FB12" i="40"/>
  <c r="FA12" i="40"/>
  <c r="EZ12" i="40"/>
  <c r="EY12" i="40"/>
  <c r="EX12" i="40"/>
  <c r="EW12" i="40"/>
  <c r="EV12" i="40"/>
  <c r="EU12" i="40"/>
  <c r="ET12" i="40"/>
  <c r="ES12" i="40"/>
  <c r="ER12" i="40"/>
  <c r="EQ12" i="40"/>
  <c r="EP12" i="40"/>
  <c r="EO12" i="40"/>
  <c r="EN12" i="40"/>
  <c r="EM12" i="40"/>
  <c r="EL12" i="40"/>
  <c r="EK12" i="40"/>
  <c r="EJ12" i="40"/>
  <c r="EI12" i="40"/>
  <c r="EH12" i="40"/>
  <c r="EG12" i="40"/>
  <c r="EF12" i="40"/>
  <c r="EE12" i="40"/>
  <c r="ED12" i="40"/>
  <c r="EC12" i="40"/>
  <c r="EB12" i="40"/>
  <c r="EA12" i="40"/>
  <c r="DZ12" i="40"/>
  <c r="DY12" i="40"/>
  <c r="DX12" i="40"/>
  <c r="DW12" i="40"/>
  <c r="DV12" i="40"/>
  <c r="DU12" i="40"/>
  <c r="DT12" i="40"/>
  <c r="DS12" i="40"/>
  <c r="DR12" i="40"/>
  <c r="DQ12" i="40"/>
  <c r="DP12" i="40"/>
  <c r="DO12" i="40"/>
  <c r="DN12" i="40"/>
  <c r="DM12" i="40"/>
  <c r="DL12" i="40"/>
  <c r="DK12" i="40"/>
  <c r="DJ12" i="40"/>
  <c r="DI12" i="40"/>
  <c r="DH12" i="40"/>
  <c r="DG12" i="40"/>
  <c r="DF12" i="40"/>
  <c r="DE12" i="40"/>
  <c r="DD12" i="40"/>
  <c r="DC12" i="40"/>
  <c r="DB12" i="40"/>
  <c r="DA12" i="40"/>
  <c r="CZ12" i="40"/>
  <c r="CY12" i="40"/>
  <c r="CX12" i="40"/>
  <c r="CW12" i="40"/>
  <c r="CV12" i="40"/>
  <c r="CU12" i="40"/>
  <c r="CT12" i="40"/>
  <c r="CS12" i="40"/>
  <c r="CR12" i="40"/>
  <c r="CQ12" i="40"/>
  <c r="CP12" i="40"/>
  <c r="CO12" i="40"/>
  <c r="CN12" i="40"/>
  <c r="CM12" i="40"/>
  <c r="CL12" i="40"/>
  <c r="CK12" i="40"/>
  <c r="CJ12" i="40"/>
  <c r="CI12" i="40"/>
  <c r="CH12" i="40"/>
  <c r="CG12" i="40"/>
  <c r="CF12" i="40"/>
  <c r="CE12" i="40"/>
  <c r="CD12" i="40"/>
  <c r="CC12" i="40"/>
  <c r="CB12" i="40"/>
  <c r="CA12" i="40"/>
  <c r="BZ12" i="40"/>
  <c r="BY12" i="40"/>
  <c r="BX12" i="40"/>
  <c r="BW12" i="40"/>
  <c r="BV12" i="40"/>
  <c r="BU12" i="40"/>
  <c r="BT12" i="40"/>
  <c r="BS12" i="40"/>
  <c r="BR12" i="40"/>
  <c r="BQ12" i="40"/>
  <c r="BP12" i="40"/>
  <c r="BO12" i="40"/>
  <c r="BN12" i="40"/>
  <c r="BM12" i="40"/>
  <c r="BL12" i="40"/>
  <c r="BK12" i="40"/>
  <c r="BJ12" i="40"/>
  <c r="BI12" i="40"/>
  <c r="BH12" i="40"/>
  <c r="BG12" i="40"/>
  <c r="BF12" i="40"/>
  <c r="BE12" i="40"/>
  <c r="BD12" i="40"/>
  <c r="BC12" i="40"/>
  <c r="BB12" i="40"/>
  <c r="BA12" i="40"/>
  <c r="AZ12" i="40"/>
  <c r="AY12" i="40"/>
  <c r="AX12" i="40"/>
  <c r="AW12" i="40"/>
  <c r="AV12" i="40"/>
  <c r="AU12" i="40"/>
  <c r="AT12" i="40"/>
  <c r="AS12" i="40"/>
  <c r="AR12" i="40"/>
  <c r="AQ12" i="40"/>
  <c r="AP12" i="40"/>
  <c r="AO12" i="40"/>
  <c r="AN12" i="40"/>
  <c r="AM12" i="40"/>
  <c r="AL12" i="40"/>
  <c r="AK12" i="40"/>
  <c r="AJ12" i="40"/>
  <c r="AI12" i="40"/>
  <c r="AH12" i="40"/>
  <c r="AG12" i="40"/>
  <c r="AF12" i="40"/>
  <c r="AE12" i="40"/>
  <c r="Y12" i="40"/>
  <c r="X12" i="40"/>
  <c r="W12" i="40"/>
  <c r="V12" i="40"/>
  <c r="U12" i="40"/>
  <c r="T12" i="40"/>
  <c r="S12" i="40"/>
  <c r="R12" i="40"/>
  <c r="Q12" i="40"/>
  <c r="P12" i="40"/>
  <c r="O12" i="40"/>
  <c r="N12" i="40"/>
  <c r="M12" i="40"/>
  <c r="L12" i="40"/>
  <c r="K12" i="40"/>
  <c r="J12" i="40"/>
  <c r="I12" i="40"/>
  <c r="H12" i="40"/>
  <c r="G12" i="40"/>
  <c r="F12" i="40"/>
  <c r="E12" i="40"/>
  <c r="D12" i="40"/>
  <c r="C12" i="40"/>
  <c r="SW11" i="40"/>
  <c r="SS11" i="40"/>
  <c r="SP11" i="40"/>
  <c r="SL11" i="40"/>
  <c r="SK11" i="40"/>
  <c r="SJ11" i="40"/>
  <c r="SI11" i="40"/>
  <c r="SC11" i="40"/>
  <c r="RV11" i="40"/>
  <c r="RU11" i="40"/>
  <c r="RQ11" i="40"/>
  <c r="RP11" i="40"/>
  <c r="RJ11" i="40"/>
  <c r="RI11" i="40"/>
  <c r="RH11" i="40"/>
  <c r="RG11" i="40"/>
  <c r="RB11" i="40"/>
  <c r="RA11" i="40"/>
  <c r="QZ11" i="40"/>
  <c r="QY11" i="40"/>
  <c r="QX11" i="40"/>
  <c r="QW11" i="40"/>
  <c r="QV11" i="40"/>
  <c r="QU11" i="40"/>
  <c r="QT11" i="40"/>
  <c r="QS11" i="40"/>
  <c r="QR11" i="40"/>
  <c r="QQ11" i="40"/>
  <c r="QP11" i="40"/>
  <c r="QO11" i="40"/>
  <c r="QN11" i="40"/>
  <c r="QM11" i="40"/>
  <c r="QL11" i="40"/>
  <c r="QK11" i="40"/>
  <c r="QJ11" i="40"/>
  <c r="QI11" i="40"/>
  <c r="QH11" i="40"/>
  <c r="QG11" i="40"/>
  <c r="QF11" i="40"/>
  <c r="QE11" i="40"/>
  <c r="QD11" i="40"/>
  <c r="QC11" i="40"/>
  <c r="QB11" i="40"/>
  <c r="QA11" i="40"/>
  <c r="PZ11" i="40"/>
  <c r="PY11" i="40"/>
  <c r="PX11" i="40"/>
  <c r="PW11" i="40"/>
  <c r="PV11" i="40"/>
  <c r="PU11" i="40"/>
  <c r="PT11" i="40"/>
  <c r="PS11" i="40"/>
  <c r="PR11" i="40"/>
  <c r="PQ11" i="40"/>
  <c r="PP11" i="40"/>
  <c r="PO11" i="40"/>
  <c r="PN11" i="40"/>
  <c r="PM11" i="40"/>
  <c r="PL11" i="40"/>
  <c r="PK11" i="40"/>
  <c r="PJ11" i="40"/>
  <c r="PI11" i="40"/>
  <c r="PH11" i="40"/>
  <c r="PG11" i="40"/>
  <c r="PF11" i="40"/>
  <c r="PE11" i="40"/>
  <c r="PD11" i="40"/>
  <c r="PC11" i="40"/>
  <c r="PB11" i="40"/>
  <c r="PA11" i="40"/>
  <c r="OZ11" i="40"/>
  <c r="OY11" i="40"/>
  <c r="OX11" i="40"/>
  <c r="OW11" i="40"/>
  <c r="OV11" i="40"/>
  <c r="OU11" i="40"/>
  <c r="OT11" i="40"/>
  <c r="OS11" i="40"/>
  <c r="OR11" i="40"/>
  <c r="OQ11" i="40"/>
  <c r="OP11" i="40"/>
  <c r="OO11" i="40"/>
  <c r="ON11" i="40"/>
  <c r="OM11" i="40"/>
  <c r="OL11" i="40"/>
  <c r="OK11" i="40"/>
  <c r="OJ11" i="40"/>
  <c r="OI11" i="40"/>
  <c r="OH11" i="40"/>
  <c r="OG11" i="40"/>
  <c r="OF11" i="40"/>
  <c r="OE11" i="40"/>
  <c r="OD11" i="40"/>
  <c r="OC11" i="40"/>
  <c r="OB11" i="40"/>
  <c r="OA11" i="40"/>
  <c r="NZ11" i="40"/>
  <c r="NY11" i="40"/>
  <c r="NX11" i="40"/>
  <c r="NW11" i="40"/>
  <c r="NV11" i="40"/>
  <c r="NU11" i="40"/>
  <c r="NT11" i="40"/>
  <c r="NS11" i="40"/>
  <c r="NR11" i="40"/>
  <c r="NQ11" i="40"/>
  <c r="NP11" i="40"/>
  <c r="NO11" i="40"/>
  <c r="NN11" i="40"/>
  <c r="NM11" i="40"/>
  <c r="NL11" i="40"/>
  <c r="NK11" i="40"/>
  <c r="NJ11" i="40"/>
  <c r="NI11" i="40"/>
  <c r="NH11" i="40"/>
  <c r="NG11" i="40"/>
  <c r="NF11" i="40"/>
  <c r="NE11" i="40"/>
  <c r="ND11" i="40"/>
  <c r="NC11" i="40"/>
  <c r="NB11" i="40"/>
  <c r="NA11" i="40"/>
  <c r="MZ11" i="40"/>
  <c r="MY11" i="40"/>
  <c r="MX11" i="40"/>
  <c r="MW11" i="40"/>
  <c r="MV11" i="40"/>
  <c r="MU11" i="40"/>
  <c r="MT11" i="40"/>
  <c r="MS11" i="40"/>
  <c r="MR11" i="40"/>
  <c r="MQ11" i="40"/>
  <c r="MP11" i="40"/>
  <c r="MO11" i="40"/>
  <c r="MN11" i="40"/>
  <c r="MM11" i="40"/>
  <c r="ML11" i="40"/>
  <c r="MK11" i="40"/>
  <c r="MJ11" i="40"/>
  <c r="MI11" i="40"/>
  <c r="MH11" i="40"/>
  <c r="MG11" i="40"/>
  <c r="MF11" i="40"/>
  <c r="ME11" i="40"/>
  <c r="MD11" i="40"/>
  <c r="MC11" i="40"/>
  <c r="MB11" i="40"/>
  <c r="MA11" i="40"/>
  <c r="LZ11" i="40"/>
  <c r="LY11" i="40"/>
  <c r="LX11" i="40"/>
  <c r="LW11" i="40"/>
  <c r="LV11" i="40"/>
  <c r="LU11" i="40"/>
  <c r="LT11" i="40"/>
  <c r="LS11" i="40"/>
  <c r="LR11" i="40"/>
  <c r="LQ11" i="40"/>
  <c r="LP11" i="40"/>
  <c r="LO11" i="40"/>
  <c r="LN11" i="40"/>
  <c r="LM11" i="40"/>
  <c r="LL11" i="40"/>
  <c r="LK11" i="40"/>
  <c r="LJ11" i="40"/>
  <c r="LI11" i="40"/>
  <c r="LH11" i="40"/>
  <c r="LG11" i="40"/>
  <c r="LF11" i="40"/>
  <c r="LE11" i="40"/>
  <c r="LD11" i="40"/>
  <c r="LC11" i="40"/>
  <c r="LB11" i="40"/>
  <c r="LA11" i="40"/>
  <c r="KZ11" i="40"/>
  <c r="KY11" i="40"/>
  <c r="KX11" i="40"/>
  <c r="KW11" i="40"/>
  <c r="KV11" i="40"/>
  <c r="KU11" i="40"/>
  <c r="KT11" i="40"/>
  <c r="KS11" i="40"/>
  <c r="KR11" i="40"/>
  <c r="KQ11" i="40"/>
  <c r="KP11" i="40"/>
  <c r="KO11" i="40"/>
  <c r="KN11" i="40"/>
  <c r="KM11" i="40"/>
  <c r="KL11" i="40"/>
  <c r="KK11" i="40"/>
  <c r="KJ11" i="40"/>
  <c r="KI11" i="40"/>
  <c r="KH11" i="40"/>
  <c r="KG11" i="40"/>
  <c r="KF11" i="40"/>
  <c r="KE11" i="40"/>
  <c r="KD11" i="40"/>
  <c r="KC11" i="40"/>
  <c r="KB11" i="40"/>
  <c r="KA11" i="40"/>
  <c r="JZ11" i="40"/>
  <c r="JY11" i="40"/>
  <c r="JX11" i="40"/>
  <c r="JW11" i="40"/>
  <c r="JV11" i="40"/>
  <c r="JU11" i="40"/>
  <c r="JT11" i="40"/>
  <c r="JS11" i="40"/>
  <c r="JR11" i="40"/>
  <c r="JQ11" i="40"/>
  <c r="JP11" i="40"/>
  <c r="JO11" i="40"/>
  <c r="JN11" i="40"/>
  <c r="JM11" i="40"/>
  <c r="JL11" i="40"/>
  <c r="JK11" i="40"/>
  <c r="JJ11" i="40"/>
  <c r="JI11" i="40"/>
  <c r="JH11" i="40"/>
  <c r="JG11" i="40"/>
  <c r="JF11" i="40"/>
  <c r="JE11" i="40"/>
  <c r="JD11" i="40"/>
  <c r="JC11" i="40"/>
  <c r="JB11" i="40"/>
  <c r="JA11" i="40"/>
  <c r="IZ11" i="40"/>
  <c r="IY11" i="40"/>
  <c r="IX11" i="40"/>
  <c r="IW11" i="40"/>
  <c r="IV11" i="40"/>
  <c r="IU11" i="40"/>
  <c r="IT11" i="40"/>
  <c r="IS11" i="40"/>
  <c r="IR11" i="40"/>
  <c r="IQ11" i="40"/>
  <c r="IP11" i="40"/>
  <c r="IO11" i="40"/>
  <c r="IN11" i="40"/>
  <c r="IM11" i="40"/>
  <c r="IL11" i="40"/>
  <c r="IK11" i="40"/>
  <c r="IJ11" i="40"/>
  <c r="II11" i="40"/>
  <c r="IH11" i="40"/>
  <c r="IG11" i="40"/>
  <c r="IF11" i="40"/>
  <c r="IE11" i="40"/>
  <c r="ID11" i="40"/>
  <c r="IC11" i="40"/>
  <c r="IB11" i="40"/>
  <c r="IA11" i="40"/>
  <c r="HZ11" i="40"/>
  <c r="HY11" i="40"/>
  <c r="HX11" i="40"/>
  <c r="HW11" i="40"/>
  <c r="HV11" i="40"/>
  <c r="HU11" i="40"/>
  <c r="HT11" i="40"/>
  <c r="HS11" i="40"/>
  <c r="HR11" i="40"/>
  <c r="HQ11" i="40"/>
  <c r="HP11" i="40"/>
  <c r="HO11" i="40"/>
  <c r="HN11" i="40"/>
  <c r="HM11" i="40"/>
  <c r="HL11" i="40"/>
  <c r="HK11" i="40"/>
  <c r="HJ11" i="40"/>
  <c r="HI11" i="40"/>
  <c r="HH11" i="40"/>
  <c r="HG11" i="40"/>
  <c r="HF11" i="40"/>
  <c r="HE11" i="40"/>
  <c r="HD11" i="40"/>
  <c r="HC11" i="40"/>
  <c r="HB11" i="40"/>
  <c r="HA11" i="40"/>
  <c r="GZ11" i="40"/>
  <c r="GY11" i="40"/>
  <c r="GX11" i="40"/>
  <c r="GW11" i="40"/>
  <c r="GV11" i="40"/>
  <c r="GU11" i="40"/>
  <c r="GT11" i="40"/>
  <c r="GS11" i="40"/>
  <c r="GR11" i="40"/>
  <c r="GQ11" i="40"/>
  <c r="GP11" i="40"/>
  <c r="GO11" i="40"/>
  <c r="GN11" i="40"/>
  <c r="GM11" i="40"/>
  <c r="GL11" i="40"/>
  <c r="GK11" i="40"/>
  <c r="GJ11" i="40"/>
  <c r="GI11" i="40"/>
  <c r="GH11" i="40"/>
  <c r="GG11" i="40"/>
  <c r="GF11" i="40"/>
  <c r="GE11" i="40"/>
  <c r="GD11" i="40"/>
  <c r="GC11" i="40"/>
  <c r="GB11" i="40"/>
  <c r="GA11" i="40"/>
  <c r="FZ11" i="40"/>
  <c r="FY11" i="40"/>
  <c r="FX11" i="40"/>
  <c r="FW11" i="40"/>
  <c r="FV11" i="40"/>
  <c r="FU11" i="40"/>
  <c r="FT11" i="40"/>
  <c r="FS11" i="40"/>
  <c r="FR11" i="40"/>
  <c r="FQ11" i="40"/>
  <c r="FP11" i="40"/>
  <c r="FO11" i="40"/>
  <c r="FN11" i="40"/>
  <c r="FM11" i="40"/>
  <c r="FL11" i="40"/>
  <c r="FK11" i="40"/>
  <c r="FJ11" i="40"/>
  <c r="FI11" i="40"/>
  <c r="FH11" i="40"/>
  <c r="FG11" i="40"/>
  <c r="FF11" i="40"/>
  <c r="FE11" i="40"/>
  <c r="FD11" i="40"/>
  <c r="FC11" i="40"/>
  <c r="FB11" i="40"/>
  <c r="FA11" i="40"/>
  <c r="EZ11" i="40"/>
  <c r="EY11" i="40"/>
  <c r="EX11" i="40"/>
  <c r="EW11" i="40"/>
  <c r="EV11" i="40"/>
  <c r="EU11" i="40"/>
  <c r="ET11" i="40"/>
  <c r="ES11" i="40"/>
  <c r="ER11" i="40"/>
  <c r="EQ11" i="40"/>
  <c r="EP11" i="40"/>
  <c r="EO11" i="40"/>
  <c r="EN11" i="40"/>
  <c r="EM11" i="40"/>
  <c r="EL11" i="40"/>
  <c r="EK11" i="40"/>
  <c r="EJ11" i="40"/>
  <c r="EI11" i="40"/>
  <c r="EH11" i="40"/>
  <c r="EG11" i="40"/>
  <c r="EF11" i="40"/>
  <c r="EE11" i="40"/>
  <c r="ED11" i="40"/>
  <c r="EC11" i="40"/>
  <c r="EB11" i="40"/>
  <c r="EA11" i="40"/>
  <c r="DZ11" i="40"/>
  <c r="DY11" i="40"/>
  <c r="DX11" i="40"/>
  <c r="DW11" i="40"/>
  <c r="DV11" i="40"/>
  <c r="DU11" i="40"/>
  <c r="DT11" i="40"/>
  <c r="DS11" i="40"/>
  <c r="DR11" i="40"/>
  <c r="DQ11" i="40"/>
  <c r="DP11" i="40"/>
  <c r="DO11" i="40"/>
  <c r="DN11" i="40"/>
  <c r="DM11" i="40"/>
  <c r="DL11" i="40"/>
  <c r="DK11" i="40"/>
  <c r="DJ11" i="40"/>
  <c r="DI11" i="40"/>
  <c r="DH11" i="40"/>
  <c r="DG11" i="40"/>
  <c r="DF11" i="40"/>
  <c r="DE11" i="40"/>
  <c r="DD11" i="40"/>
  <c r="DC11" i="40"/>
  <c r="DB11" i="40"/>
  <c r="DA11" i="40"/>
  <c r="CZ11" i="40"/>
  <c r="CY11" i="40"/>
  <c r="CX11" i="40"/>
  <c r="CW11" i="40"/>
  <c r="CV11" i="40"/>
  <c r="CU11" i="40"/>
  <c r="CT11" i="40"/>
  <c r="CS11" i="40"/>
  <c r="CR11" i="40"/>
  <c r="CQ11" i="40"/>
  <c r="CP11" i="40"/>
  <c r="CO11" i="40"/>
  <c r="CN11" i="40"/>
  <c r="CM11" i="40"/>
  <c r="CL11" i="40"/>
  <c r="CK11" i="40"/>
  <c r="CJ11" i="40"/>
  <c r="CI11" i="40"/>
  <c r="CH11" i="40"/>
  <c r="CG11" i="40"/>
  <c r="CF11" i="40"/>
  <c r="CE11" i="40"/>
  <c r="CD11" i="40"/>
  <c r="CC11" i="40"/>
  <c r="CB11" i="40"/>
  <c r="CA11" i="40"/>
  <c r="BZ11" i="40"/>
  <c r="BY11" i="40"/>
  <c r="BX11" i="40"/>
  <c r="BW11" i="40"/>
  <c r="BV11" i="40"/>
  <c r="BU11" i="40"/>
  <c r="BT11" i="40"/>
  <c r="BS11" i="40"/>
  <c r="BR11" i="40"/>
  <c r="BQ11" i="40"/>
  <c r="BP11" i="40"/>
  <c r="BO11" i="40"/>
  <c r="BN11" i="40"/>
  <c r="BM11" i="40"/>
  <c r="BL11" i="40"/>
  <c r="BK11" i="40"/>
  <c r="BJ11" i="40"/>
  <c r="BI11" i="40"/>
  <c r="BH11" i="40"/>
  <c r="BG11" i="40"/>
  <c r="BF11" i="40"/>
  <c r="BE11"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Y11" i="40"/>
  <c r="X11" i="40"/>
  <c r="W11" i="40"/>
  <c r="V11" i="40"/>
  <c r="U11" i="40"/>
  <c r="T11" i="40"/>
  <c r="S11" i="40"/>
  <c r="R11" i="40"/>
  <c r="Q11" i="40"/>
  <c r="P11" i="40"/>
  <c r="O11" i="40"/>
  <c r="N11" i="40"/>
  <c r="M11" i="40"/>
  <c r="L11" i="40"/>
  <c r="K11" i="40"/>
  <c r="J11" i="40"/>
  <c r="I11" i="40"/>
  <c r="H11" i="40"/>
  <c r="G11" i="40"/>
  <c r="F11" i="40"/>
  <c r="E11" i="40"/>
  <c r="D11" i="40"/>
  <c r="C11" i="40"/>
  <c r="SV10" i="40"/>
  <c r="SU10" i="40"/>
  <c r="ST10" i="40"/>
  <c r="SP10" i="40"/>
  <c r="SO10" i="40"/>
  <c r="SI10" i="40"/>
  <c r="SF10" i="40"/>
  <c r="SB10" i="40"/>
  <c r="SA10" i="40"/>
  <c r="RT10" i="40"/>
  <c r="RS10" i="40"/>
  <c r="RR10" i="40"/>
  <c r="RI10" i="40"/>
  <c r="RH10" i="40"/>
  <c r="RG10" i="40"/>
  <c r="RD10" i="40"/>
  <c r="RB10" i="40"/>
  <c r="RA10" i="40"/>
  <c r="QZ10" i="40"/>
  <c r="QY10" i="40"/>
  <c r="QX10" i="40"/>
  <c r="QW10" i="40"/>
  <c r="QV10" i="40"/>
  <c r="QU10" i="40"/>
  <c r="QT10" i="40"/>
  <c r="QS10" i="40"/>
  <c r="QR10" i="40"/>
  <c r="QQ10" i="40"/>
  <c r="QP10" i="40"/>
  <c r="QO10" i="40"/>
  <c r="QN10" i="40"/>
  <c r="QM10" i="40"/>
  <c r="QL10" i="40"/>
  <c r="QK10" i="40"/>
  <c r="QJ10" i="40"/>
  <c r="QI10" i="40"/>
  <c r="QH10" i="40"/>
  <c r="QG10" i="40"/>
  <c r="QF10" i="40"/>
  <c r="QE10" i="40"/>
  <c r="QD10" i="40"/>
  <c r="QC10" i="40"/>
  <c r="QB10" i="40"/>
  <c r="QA10" i="40"/>
  <c r="PZ10" i="40"/>
  <c r="PY10" i="40"/>
  <c r="PX10" i="40"/>
  <c r="PW10" i="40"/>
  <c r="PV10" i="40"/>
  <c r="PU10" i="40"/>
  <c r="PT10" i="40"/>
  <c r="PS10" i="40"/>
  <c r="PR10" i="40"/>
  <c r="PQ10" i="40"/>
  <c r="PP10" i="40"/>
  <c r="PO10" i="40"/>
  <c r="PN10" i="40"/>
  <c r="PM10" i="40"/>
  <c r="PL10" i="40"/>
  <c r="PK10" i="40"/>
  <c r="PJ10" i="40"/>
  <c r="PI10" i="40"/>
  <c r="PH10" i="40"/>
  <c r="PG10" i="40"/>
  <c r="PF10" i="40"/>
  <c r="PE10" i="40"/>
  <c r="PD10" i="40"/>
  <c r="PC10" i="40"/>
  <c r="PB10" i="40"/>
  <c r="PA10" i="40"/>
  <c r="OZ10" i="40"/>
  <c r="OY10" i="40"/>
  <c r="OX10" i="40"/>
  <c r="OW10" i="40"/>
  <c r="OV10" i="40"/>
  <c r="OU10" i="40"/>
  <c r="OT10" i="40"/>
  <c r="OS10" i="40"/>
  <c r="OR10" i="40"/>
  <c r="OQ10" i="40"/>
  <c r="OP10" i="40"/>
  <c r="OO10" i="40"/>
  <c r="ON10" i="40"/>
  <c r="OM10" i="40"/>
  <c r="OL10" i="40"/>
  <c r="OK10" i="40"/>
  <c r="OJ10" i="40"/>
  <c r="OI10" i="40"/>
  <c r="OH10" i="40"/>
  <c r="OG10" i="40"/>
  <c r="OF10" i="40"/>
  <c r="OE10" i="40"/>
  <c r="OD10" i="40"/>
  <c r="OC10" i="40"/>
  <c r="OB10" i="40"/>
  <c r="OA10" i="40"/>
  <c r="NZ10" i="40"/>
  <c r="NY10" i="40"/>
  <c r="NX10" i="40"/>
  <c r="NW10" i="40"/>
  <c r="NV10" i="40"/>
  <c r="NU10" i="40"/>
  <c r="NT10" i="40"/>
  <c r="NS10" i="40"/>
  <c r="NR10" i="40"/>
  <c r="NQ10" i="40"/>
  <c r="NP10" i="40"/>
  <c r="NO10" i="40"/>
  <c r="NN10" i="40"/>
  <c r="NM10" i="40"/>
  <c r="NL10" i="40"/>
  <c r="NK10" i="40"/>
  <c r="NJ10" i="40"/>
  <c r="NI10" i="40"/>
  <c r="NH10" i="40"/>
  <c r="NG10" i="40"/>
  <c r="NF10" i="40"/>
  <c r="NE10" i="40"/>
  <c r="ND10" i="40"/>
  <c r="NC10" i="40"/>
  <c r="NB10" i="40"/>
  <c r="NA10" i="40"/>
  <c r="MZ10" i="40"/>
  <c r="MY10" i="40"/>
  <c r="MX10" i="40"/>
  <c r="MW10" i="40"/>
  <c r="MV10" i="40"/>
  <c r="MU10" i="40"/>
  <c r="MT10" i="40"/>
  <c r="MS10" i="40"/>
  <c r="MR10" i="40"/>
  <c r="MQ10" i="40"/>
  <c r="MP10" i="40"/>
  <c r="MO10" i="40"/>
  <c r="MN10" i="40"/>
  <c r="MM10" i="40"/>
  <c r="ML10" i="40"/>
  <c r="MK10" i="40"/>
  <c r="MJ10" i="40"/>
  <c r="MI10" i="40"/>
  <c r="MH10" i="40"/>
  <c r="MG10" i="40"/>
  <c r="MF10" i="40"/>
  <c r="ME10" i="40"/>
  <c r="MD10" i="40"/>
  <c r="MC10" i="40"/>
  <c r="MB10" i="40"/>
  <c r="MA10" i="40"/>
  <c r="LZ10" i="40"/>
  <c r="LY10" i="40"/>
  <c r="LX10" i="40"/>
  <c r="LW10" i="40"/>
  <c r="LV10" i="40"/>
  <c r="LU10" i="40"/>
  <c r="LT10" i="40"/>
  <c r="LS10" i="40"/>
  <c r="LR10" i="40"/>
  <c r="LQ10" i="40"/>
  <c r="LP10" i="40"/>
  <c r="LO10" i="40"/>
  <c r="LN10" i="40"/>
  <c r="LM10" i="40"/>
  <c r="LL10" i="40"/>
  <c r="LK10" i="40"/>
  <c r="LJ10" i="40"/>
  <c r="LI10" i="40"/>
  <c r="LH10" i="40"/>
  <c r="LG10" i="40"/>
  <c r="LF10" i="40"/>
  <c r="LE10" i="40"/>
  <c r="LD10" i="40"/>
  <c r="LC10" i="40"/>
  <c r="LB10" i="40"/>
  <c r="LA10" i="40"/>
  <c r="KZ10" i="40"/>
  <c r="KY10" i="40"/>
  <c r="KX10" i="40"/>
  <c r="KW10" i="40"/>
  <c r="KV10" i="40"/>
  <c r="KU10" i="40"/>
  <c r="KT10" i="40"/>
  <c r="KS10" i="40"/>
  <c r="KR10" i="40"/>
  <c r="KQ10" i="40"/>
  <c r="KP10" i="40"/>
  <c r="KO10" i="40"/>
  <c r="KN10" i="40"/>
  <c r="KM10" i="40"/>
  <c r="KL10" i="40"/>
  <c r="KK10" i="40"/>
  <c r="KJ10" i="40"/>
  <c r="KI10" i="40"/>
  <c r="KH10" i="40"/>
  <c r="KG10" i="40"/>
  <c r="KF10" i="40"/>
  <c r="KE10" i="40"/>
  <c r="KD10" i="40"/>
  <c r="KC10" i="40"/>
  <c r="KB10" i="40"/>
  <c r="KA10" i="40"/>
  <c r="JZ10" i="40"/>
  <c r="JY10" i="40"/>
  <c r="JX10" i="40"/>
  <c r="JW10" i="40"/>
  <c r="JV10" i="40"/>
  <c r="JU10" i="40"/>
  <c r="JT10" i="40"/>
  <c r="JS10" i="40"/>
  <c r="JR10" i="40"/>
  <c r="JQ10" i="40"/>
  <c r="JP10" i="40"/>
  <c r="JO10" i="40"/>
  <c r="JN10" i="40"/>
  <c r="JM10" i="40"/>
  <c r="JL10" i="40"/>
  <c r="JK10" i="40"/>
  <c r="JJ10" i="40"/>
  <c r="JI10" i="40"/>
  <c r="JH10" i="40"/>
  <c r="JG10" i="40"/>
  <c r="JF10" i="40"/>
  <c r="JE10" i="40"/>
  <c r="JD10" i="40"/>
  <c r="JC10" i="40"/>
  <c r="JB10" i="40"/>
  <c r="JA10" i="40"/>
  <c r="IZ10" i="40"/>
  <c r="IY10" i="40"/>
  <c r="IX10" i="40"/>
  <c r="IW10" i="40"/>
  <c r="IV10" i="40"/>
  <c r="IU10" i="40"/>
  <c r="IT10" i="40"/>
  <c r="IS10" i="40"/>
  <c r="IR10" i="40"/>
  <c r="IQ10" i="40"/>
  <c r="IP10" i="40"/>
  <c r="IO10" i="40"/>
  <c r="IN10" i="40"/>
  <c r="IM10" i="40"/>
  <c r="IL10" i="40"/>
  <c r="IK10" i="40"/>
  <c r="IJ10" i="40"/>
  <c r="II10" i="40"/>
  <c r="IH10" i="40"/>
  <c r="IG10" i="40"/>
  <c r="IF10" i="40"/>
  <c r="IE10" i="40"/>
  <c r="ID10" i="40"/>
  <c r="IC10" i="40"/>
  <c r="IB10" i="40"/>
  <c r="IA10" i="40"/>
  <c r="HZ10" i="40"/>
  <c r="HY10" i="40"/>
  <c r="HX10" i="40"/>
  <c r="HW10" i="40"/>
  <c r="HV10" i="40"/>
  <c r="HU10" i="40"/>
  <c r="HT10" i="40"/>
  <c r="HS10" i="40"/>
  <c r="HR10" i="40"/>
  <c r="HQ10" i="40"/>
  <c r="HP10" i="40"/>
  <c r="HO10" i="40"/>
  <c r="HN10" i="40"/>
  <c r="HM10" i="40"/>
  <c r="HL10" i="40"/>
  <c r="HK10" i="40"/>
  <c r="HJ10" i="40"/>
  <c r="HI10" i="40"/>
  <c r="HH10" i="40"/>
  <c r="HG10" i="40"/>
  <c r="HF10" i="40"/>
  <c r="HE10" i="40"/>
  <c r="HD10" i="40"/>
  <c r="HC10" i="40"/>
  <c r="HB10" i="40"/>
  <c r="HA10" i="40"/>
  <c r="GZ10" i="40"/>
  <c r="GY10" i="40"/>
  <c r="GX10" i="40"/>
  <c r="GW10" i="40"/>
  <c r="GV10" i="40"/>
  <c r="GU10" i="40"/>
  <c r="GT10" i="40"/>
  <c r="GS10" i="40"/>
  <c r="GR10" i="40"/>
  <c r="GQ10" i="40"/>
  <c r="GP10" i="40"/>
  <c r="GO10" i="40"/>
  <c r="GN10" i="40"/>
  <c r="GM10" i="40"/>
  <c r="GL10" i="40"/>
  <c r="GK10" i="40"/>
  <c r="GJ10" i="40"/>
  <c r="GI10" i="40"/>
  <c r="GH10" i="40"/>
  <c r="GG10" i="40"/>
  <c r="GF10" i="40"/>
  <c r="GE10" i="40"/>
  <c r="GD10" i="40"/>
  <c r="GC10" i="40"/>
  <c r="GB10" i="40"/>
  <c r="GA10" i="40"/>
  <c r="FZ10" i="40"/>
  <c r="FY10" i="40"/>
  <c r="FX10" i="40"/>
  <c r="FW10" i="40"/>
  <c r="FV10" i="40"/>
  <c r="FU10" i="40"/>
  <c r="FT10" i="40"/>
  <c r="FS10" i="40"/>
  <c r="FR10" i="40"/>
  <c r="FQ10" i="40"/>
  <c r="FP10" i="40"/>
  <c r="FO10" i="40"/>
  <c r="FN10" i="40"/>
  <c r="FM10" i="40"/>
  <c r="FL10" i="40"/>
  <c r="FK10" i="40"/>
  <c r="FJ10" i="40"/>
  <c r="FI10" i="40"/>
  <c r="FH10" i="40"/>
  <c r="FG10" i="40"/>
  <c r="FF10" i="40"/>
  <c r="FE10" i="40"/>
  <c r="FD10" i="40"/>
  <c r="FC10" i="40"/>
  <c r="FB10" i="40"/>
  <c r="FA10" i="40"/>
  <c r="EZ10" i="40"/>
  <c r="EY10" i="40"/>
  <c r="EX10" i="40"/>
  <c r="EW10" i="40"/>
  <c r="EV10" i="40"/>
  <c r="EU10" i="40"/>
  <c r="ET10" i="40"/>
  <c r="ES10" i="40"/>
  <c r="ER10" i="40"/>
  <c r="EQ10" i="40"/>
  <c r="EP10" i="40"/>
  <c r="EO10" i="40"/>
  <c r="EN10" i="40"/>
  <c r="EM10" i="40"/>
  <c r="EL10" i="40"/>
  <c r="EK10" i="40"/>
  <c r="EJ10" i="40"/>
  <c r="EI10" i="40"/>
  <c r="EH10" i="40"/>
  <c r="EG10" i="40"/>
  <c r="EF10" i="40"/>
  <c r="EE10" i="40"/>
  <c r="ED10" i="40"/>
  <c r="EC10" i="40"/>
  <c r="EB10" i="40"/>
  <c r="EA10" i="40"/>
  <c r="DZ10" i="40"/>
  <c r="DY10" i="40"/>
  <c r="DX10" i="40"/>
  <c r="DW10" i="40"/>
  <c r="DV10" i="40"/>
  <c r="DU10" i="40"/>
  <c r="DT10" i="40"/>
  <c r="DS10" i="40"/>
  <c r="DR10" i="40"/>
  <c r="DQ10" i="40"/>
  <c r="DP10" i="40"/>
  <c r="DO10" i="40"/>
  <c r="DN10" i="40"/>
  <c r="DM10" i="40"/>
  <c r="DL10" i="40"/>
  <c r="DK10" i="40"/>
  <c r="DJ10" i="40"/>
  <c r="DI10" i="40"/>
  <c r="DH10" i="40"/>
  <c r="DG10" i="40"/>
  <c r="DF10" i="40"/>
  <c r="DE10" i="40"/>
  <c r="DD10" i="40"/>
  <c r="DC10" i="40"/>
  <c r="DB10" i="40"/>
  <c r="DA10" i="40"/>
  <c r="CZ10" i="40"/>
  <c r="CY10" i="40"/>
  <c r="CX10" i="40"/>
  <c r="CW10" i="40"/>
  <c r="CV10" i="40"/>
  <c r="CU10" i="40"/>
  <c r="CT10" i="40"/>
  <c r="CS10" i="40"/>
  <c r="CR10" i="40"/>
  <c r="CQ10" i="40"/>
  <c r="CP10" i="40"/>
  <c r="CO10" i="40"/>
  <c r="CN10" i="40"/>
  <c r="CM10" i="40"/>
  <c r="CL10" i="40"/>
  <c r="CK10" i="40"/>
  <c r="CJ10" i="40"/>
  <c r="CI10" i="40"/>
  <c r="CH10" i="40"/>
  <c r="CG10" i="40"/>
  <c r="CF10" i="40"/>
  <c r="CE10" i="40"/>
  <c r="CD10" i="40"/>
  <c r="CC10" i="40"/>
  <c r="CB10" i="40"/>
  <c r="CA10" i="40"/>
  <c r="BZ10" i="40"/>
  <c r="BY10" i="40"/>
  <c r="BX10" i="40"/>
  <c r="BW10" i="40"/>
  <c r="BV10" i="40"/>
  <c r="BU10" i="40"/>
  <c r="BT10" i="40"/>
  <c r="BS10" i="40"/>
  <c r="BR10" i="40"/>
  <c r="BQ10" i="40"/>
  <c r="BP10" i="40"/>
  <c r="BO10" i="40"/>
  <c r="BN10" i="40"/>
  <c r="BM10" i="40"/>
  <c r="BL10" i="40"/>
  <c r="BK10" i="40"/>
  <c r="BJ10" i="40"/>
  <c r="BI10" i="40"/>
  <c r="BH10" i="40"/>
  <c r="BG10" i="40"/>
  <c r="BF10" i="40"/>
  <c r="BE10" i="40"/>
  <c r="BD10" i="40"/>
  <c r="BC10" i="40"/>
  <c r="BB10" i="40"/>
  <c r="BA10" i="40"/>
  <c r="AZ10" i="40"/>
  <c r="AY10" i="40"/>
  <c r="AX10" i="40"/>
  <c r="AW10" i="40"/>
  <c r="AV10" i="40"/>
  <c r="AU10" i="40"/>
  <c r="AT10" i="40"/>
  <c r="AS10" i="40"/>
  <c r="AR10" i="40"/>
  <c r="AQ10" i="40"/>
  <c r="AP10" i="40"/>
  <c r="AO10" i="40"/>
  <c r="AN10" i="40"/>
  <c r="AM10" i="40"/>
  <c r="AL10" i="40"/>
  <c r="AK10" i="40"/>
  <c r="AJ10" i="40"/>
  <c r="AI10" i="40"/>
  <c r="AH10" i="40"/>
  <c r="AG10" i="40"/>
  <c r="AF10" i="40"/>
  <c r="AE10" i="40"/>
  <c r="Y10" i="40"/>
  <c r="X10" i="40"/>
  <c r="W10" i="40"/>
  <c r="V10" i="40"/>
  <c r="U10" i="40"/>
  <c r="T10" i="40"/>
  <c r="S10" i="40"/>
  <c r="R10" i="40"/>
  <c r="Q10" i="40"/>
  <c r="P10" i="40"/>
  <c r="O10" i="40"/>
  <c r="N10" i="40"/>
  <c r="M10" i="40"/>
  <c r="L10" i="40"/>
  <c r="K10" i="40"/>
  <c r="J10" i="40"/>
  <c r="I10" i="40"/>
  <c r="H10" i="40"/>
  <c r="G10" i="40"/>
  <c r="F10" i="40"/>
  <c r="E10" i="40"/>
  <c r="D10" i="40"/>
  <c r="C10" i="40"/>
  <c r="TA9" i="40"/>
  <c r="SZ9" i="40"/>
  <c r="SY9" i="40"/>
  <c r="SU9" i="40"/>
  <c r="ST9" i="40"/>
  <c r="SM9" i="40"/>
  <c r="SL9" i="40"/>
  <c r="SK9" i="40"/>
  <c r="SJ9" i="40"/>
  <c r="SG9" i="40"/>
  <c r="SF9" i="40"/>
  <c r="SE9" i="40"/>
  <c r="SD9" i="40"/>
  <c r="SC9" i="40"/>
  <c r="RY9" i="40"/>
  <c r="RX9" i="40"/>
  <c r="RW9" i="40"/>
  <c r="RS9" i="40"/>
  <c r="RR9" i="40"/>
  <c r="RO9" i="40"/>
  <c r="RK9" i="40"/>
  <c r="RJ9" i="40"/>
  <c r="RI9" i="40"/>
  <c r="RE9" i="40"/>
  <c r="RD9" i="40"/>
  <c r="RC9" i="40"/>
  <c r="RB9" i="40"/>
  <c r="RA9" i="40"/>
  <c r="QZ9" i="40"/>
  <c r="QY9" i="40"/>
  <c r="QX9" i="40"/>
  <c r="QW9" i="40"/>
  <c r="QV9" i="40"/>
  <c r="QU9" i="40"/>
  <c r="QT9" i="40"/>
  <c r="QS9" i="40"/>
  <c r="QR9" i="40"/>
  <c r="QQ9" i="40"/>
  <c r="QP9" i="40"/>
  <c r="QO9" i="40"/>
  <c r="QN9" i="40"/>
  <c r="QM9" i="40"/>
  <c r="QL9" i="40"/>
  <c r="QK9" i="40"/>
  <c r="QJ9" i="40"/>
  <c r="QI9" i="40"/>
  <c r="QH9" i="40"/>
  <c r="QG9" i="40"/>
  <c r="QF9" i="40"/>
  <c r="QE9" i="40"/>
  <c r="QD9" i="40"/>
  <c r="QC9" i="40"/>
  <c r="QB9" i="40"/>
  <c r="QA9" i="40"/>
  <c r="PZ9" i="40"/>
  <c r="PY9" i="40"/>
  <c r="PX9" i="40"/>
  <c r="PW9" i="40"/>
  <c r="PV9" i="40"/>
  <c r="PU9" i="40"/>
  <c r="PT9" i="40"/>
  <c r="PS9" i="40"/>
  <c r="PR9" i="40"/>
  <c r="PQ9" i="40"/>
  <c r="PP9" i="40"/>
  <c r="PO9" i="40"/>
  <c r="PN9" i="40"/>
  <c r="PM9" i="40"/>
  <c r="PL9" i="40"/>
  <c r="PK9" i="40"/>
  <c r="PJ9" i="40"/>
  <c r="PI9" i="40"/>
  <c r="PH9" i="40"/>
  <c r="PG9" i="40"/>
  <c r="PF9" i="40"/>
  <c r="PE9" i="40"/>
  <c r="PD9" i="40"/>
  <c r="PC9" i="40"/>
  <c r="PB9" i="40"/>
  <c r="PA9" i="40"/>
  <c r="OZ9" i="40"/>
  <c r="OY9" i="40"/>
  <c r="OX9" i="40"/>
  <c r="OW9" i="40"/>
  <c r="OV9" i="40"/>
  <c r="OU9" i="40"/>
  <c r="OT9" i="40"/>
  <c r="OS9" i="40"/>
  <c r="OR9" i="40"/>
  <c r="OQ9" i="40"/>
  <c r="OP9" i="40"/>
  <c r="OO9" i="40"/>
  <c r="ON9" i="40"/>
  <c r="OM9" i="40"/>
  <c r="OL9" i="40"/>
  <c r="OK9" i="40"/>
  <c r="OJ9" i="40"/>
  <c r="OI9" i="40"/>
  <c r="OH9" i="40"/>
  <c r="OG9" i="40"/>
  <c r="OF9" i="40"/>
  <c r="OE9" i="40"/>
  <c r="OD9" i="40"/>
  <c r="OC9" i="40"/>
  <c r="OB9" i="40"/>
  <c r="OA9" i="40"/>
  <c r="NZ9" i="40"/>
  <c r="NY9" i="40"/>
  <c r="NX9" i="40"/>
  <c r="NW9" i="40"/>
  <c r="NV9" i="40"/>
  <c r="NU9" i="40"/>
  <c r="NT9" i="40"/>
  <c r="NS9" i="40"/>
  <c r="NR9" i="40"/>
  <c r="NQ9" i="40"/>
  <c r="NP9" i="40"/>
  <c r="NO9" i="40"/>
  <c r="NN9" i="40"/>
  <c r="NM9" i="40"/>
  <c r="NL9" i="40"/>
  <c r="NK9" i="40"/>
  <c r="NJ9" i="40"/>
  <c r="NI9" i="40"/>
  <c r="NH9" i="40"/>
  <c r="NG9" i="40"/>
  <c r="NF9" i="40"/>
  <c r="NE9" i="40"/>
  <c r="ND9" i="40"/>
  <c r="NC9" i="40"/>
  <c r="NB9" i="40"/>
  <c r="NA9" i="40"/>
  <c r="MZ9" i="40"/>
  <c r="MY9" i="40"/>
  <c r="MX9" i="40"/>
  <c r="MW9" i="40"/>
  <c r="MV9" i="40"/>
  <c r="MU9" i="40"/>
  <c r="MT9" i="40"/>
  <c r="MS9" i="40"/>
  <c r="MR9" i="40"/>
  <c r="MQ9" i="40"/>
  <c r="MP9" i="40"/>
  <c r="MO9" i="40"/>
  <c r="MN9" i="40"/>
  <c r="MM9" i="40"/>
  <c r="ML9" i="40"/>
  <c r="MK9" i="40"/>
  <c r="MJ9" i="40"/>
  <c r="MI9" i="40"/>
  <c r="MH9" i="40"/>
  <c r="MG9" i="40"/>
  <c r="MF9" i="40"/>
  <c r="ME9" i="40"/>
  <c r="MD9" i="40"/>
  <c r="MC9" i="40"/>
  <c r="MB9" i="40"/>
  <c r="MA9" i="40"/>
  <c r="LZ9" i="40"/>
  <c r="LY9" i="40"/>
  <c r="LX9" i="40"/>
  <c r="LW9" i="40"/>
  <c r="LV9" i="40"/>
  <c r="LU9" i="40"/>
  <c r="LT9" i="40"/>
  <c r="LS9" i="40"/>
  <c r="LR9" i="40"/>
  <c r="LQ9" i="40"/>
  <c r="LP9" i="40"/>
  <c r="LO9" i="40"/>
  <c r="LN9" i="40"/>
  <c r="LM9" i="40"/>
  <c r="LL9" i="40"/>
  <c r="LK9" i="40"/>
  <c r="LJ9" i="40"/>
  <c r="LI9" i="40"/>
  <c r="LH9" i="40"/>
  <c r="LG9" i="40"/>
  <c r="LF9" i="40"/>
  <c r="LE9" i="40"/>
  <c r="LD9" i="40"/>
  <c r="LC9" i="40"/>
  <c r="LB9" i="40"/>
  <c r="LA9" i="40"/>
  <c r="KZ9" i="40"/>
  <c r="KY9" i="40"/>
  <c r="KX9" i="40"/>
  <c r="KW9" i="40"/>
  <c r="KV9" i="40"/>
  <c r="KU9" i="40"/>
  <c r="KT9" i="40"/>
  <c r="KS9" i="40"/>
  <c r="KR9" i="40"/>
  <c r="KQ9" i="40"/>
  <c r="KP9" i="40"/>
  <c r="KO9" i="40"/>
  <c r="KN9" i="40"/>
  <c r="KM9" i="40"/>
  <c r="KL9" i="40"/>
  <c r="KK9" i="40"/>
  <c r="KJ9" i="40"/>
  <c r="KI9" i="40"/>
  <c r="KH9" i="40"/>
  <c r="KG9" i="40"/>
  <c r="KF9" i="40"/>
  <c r="KE9" i="40"/>
  <c r="KD9" i="40"/>
  <c r="KC9" i="40"/>
  <c r="KB9" i="40"/>
  <c r="KA9" i="40"/>
  <c r="JZ9" i="40"/>
  <c r="JY9" i="40"/>
  <c r="JX9" i="40"/>
  <c r="JW9" i="40"/>
  <c r="JV9" i="40"/>
  <c r="JU9" i="40"/>
  <c r="JT9" i="40"/>
  <c r="JS9" i="40"/>
  <c r="JR9" i="40"/>
  <c r="JQ9" i="40"/>
  <c r="JP9" i="40"/>
  <c r="JO9" i="40"/>
  <c r="JN9" i="40"/>
  <c r="JM9" i="40"/>
  <c r="JL9" i="40"/>
  <c r="JK9" i="40"/>
  <c r="JJ9" i="40"/>
  <c r="JI9" i="40"/>
  <c r="JH9" i="40"/>
  <c r="JG9" i="40"/>
  <c r="JF9" i="40"/>
  <c r="JE9" i="40"/>
  <c r="JD9" i="40"/>
  <c r="JC9" i="40"/>
  <c r="JB9" i="40"/>
  <c r="JA9" i="40"/>
  <c r="IZ9" i="40"/>
  <c r="IY9" i="40"/>
  <c r="IX9" i="40"/>
  <c r="IW9" i="40"/>
  <c r="IV9" i="40"/>
  <c r="IU9" i="40"/>
  <c r="IT9" i="40"/>
  <c r="IS9" i="40"/>
  <c r="IR9" i="40"/>
  <c r="IQ9" i="40"/>
  <c r="IP9" i="40"/>
  <c r="IO9" i="40"/>
  <c r="IN9" i="40"/>
  <c r="IM9" i="40"/>
  <c r="IL9" i="40"/>
  <c r="IK9" i="40"/>
  <c r="IJ9" i="40"/>
  <c r="II9" i="40"/>
  <c r="IH9" i="40"/>
  <c r="IG9" i="40"/>
  <c r="IF9" i="40"/>
  <c r="IE9" i="40"/>
  <c r="ID9" i="40"/>
  <c r="IC9" i="40"/>
  <c r="IB9" i="40"/>
  <c r="IA9" i="40"/>
  <c r="HZ9" i="40"/>
  <c r="HY9" i="40"/>
  <c r="HX9" i="40"/>
  <c r="HW9" i="40"/>
  <c r="HV9" i="40"/>
  <c r="HU9" i="40"/>
  <c r="HT9" i="40"/>
  <c r="HS9" i="40"/>
  <c r="HR9" i="40"/>
  <c r="HQ9" i="40"/>
  <c r="HP9" i="40"/>
  <c r="HO9" i="40"/>
  <c r="HN9" i="40"/>
  <c r="HM9" i="40"/>
  <c r="HL9" i="40"/>
  <c r="HK9" i="40"/>
  <c r="HJ9" i="40"/>
  <c r="HI9" i="40"/>
  <c r="HH9" i="40"/>
  <c r="HG9" i="40"/>
  <c r="HF9" i="40"/>
  <c r="HE9" i="40"/>
  <c r="HD9" i="40"/>
  <c r="HC9" i="40"/>
  <c r="HB9" i="40"/>
  <c r="HA9" i="40"/>
  <c r="GZ9" i="40"/>
  <c r="GY9" i="40"/>
  <c r="GX9" i="40"/>
  <c r="GW9" i="40"/>
  <c r="GV9" i="40"/>
  <c r="GU9" i="40"/>
  <c r="GT9" i="40"/>
  <c r="GS9" i="40"/>
  <c r="GR9" i="40"/>
  <c r="GQ9" i="40"/>
  <c r="GP9" i="40"/>
  <c r="GO9" i="40"/>
  <c r="GN9" i="40"/>
  <c r="GM9" i="40"/>
  <c r="GL9" i="40"/>
  <c r="GK9" i="40"/>
  <c r="GJ9" i="40"/>
  <c r="GI9" i="40"/>
  <c r="GH9" i="40"/>
  <c r="GG9" i="40"/>
  <c r="GF9" i="40"/>
  <c r="GE9" i="40"/>
  <c r="GD9" i="40"/>
  <c r="GC9" i="40"/>
  <c r="GB9" i="40"/>
  <c r="GA9" i="40"/>
  <c r="FZ9" i="40"/>
  <c r="FY9" i="40"/>
  <c r="FX9" i="40"/>
  <c r="FW9" i="40"/>
  <c r="FV9" i="40"/>
  <c r="FU9" i="40"/>
  <c r="FT9" i="40"/>
  <c r="FS9" i="40"/>
  <c r="FR9" i="40"/>
  <c r="FQ9" i="40"/>
  <c r="FP9" i="40"/>
  <c r="FO9" i="40"/>
  <c r="FN9" i="40"/>
  <c r="FM9" i="40"/>
  <c r="FL9" i="40"/>
  <c r="FK9" i="40"/>
  <c r="FJ9" i="40"/>
  <c r="FI9" i="40"/>
  <c r="FH9" i="40"/>
  <c r="FG9" i="40"/>
  <c r="FF9" i="40"/>
  <c r="FE9" i="40"/>
  <c r="FD9" i="40"/>
  <c r="FC9" i="40"/>
  <c r="FB9" i="40"/>
  <c r="FA9" i="40"/>
  <c r="EZ9" i="40"/>
  <c r="EY9" i="40"/>
  <c r="EX9" i="40"/>
  <c r="EW9" i="40"/>
  <c r="EV9" i="40"/>
  <c r="EU9" i="40"/>
  <c r="ET9" i="40"/>
  <c r="ES9" i="40"/>
  <c r="ER9" i="40"/>
  <c r="EQ9" i="40"/>
  <c r="EP9" i="40"/>
  <c r="EO9" i="40"/>
  <c r="EN9" i="40"/>
  <c r="EM9" i="40"/>
  <c r="EL9" i="40"/>
  <c r="EK9" i="40"/>
  <c r="EJ9" i="40"/>
  <c r="EI9" i="40"/>
  <c r="EH9" i="40"/>
  <c r="EG9" i="40"/>
  <c r="EF9" i="40"/>
  <c r="EE9" i="40"/>
  <c r="ED9" i="40"/>
  <c r="EC9" i="40"/>
  <c r="EB9" i="40"/>
  <c r="EA9" i="40"/>
  <c r="DZ9" i="40"/>
  <c r="DY9" i="40"/>
  <c r="DX9" i="40"/>
  <c r="DW9" i="40"/>
  <c r="DV9" i="40"/>
  <c r="DU9" i="40"/>
  <c r="DT9" i="40"/>
  <c r="DS9" i="40"/>
  <c r="DR9" i="40"/>
  <c r="DQ9" i="40"/>
  <c r="DP9" i="40"/>
  <c r="DO9" i="40"/>
  <c r="DN9" i="40"/>
  <c r="DM9" i="40"/>
  <c r="DL9" i="40"/>
  <c r="DK9" i="40"/>
  <c r="DJ9" i="40"/>
  <c r="DI9" i="40"/>
  <c r="DH9" i="40"/>
  <c r="DG9" i="40"/>
  <c r="DF9" i="40"/>
  <c r="DE9" i="40"/>
  <c r="DD9" i="40"/>
  <c r="DC9" i="40"/>
  <c r="DB9" i="40"/>
  <c r="DA9" i="40"/>
  <c r="CZ9" i="40"/>
  <c r="CY9" i="40"/>
  <c r="CX9" i="40"/>
  <c r="CW9" i="40"/>
  <c r="CV9" i="40"/>
  <c r="CU9" i="40"/>
  <c r="CT9" i="40"/>
  <c r="CS9" i="40"/>
  <c r="CR9" i="40"/>
  <c r="CQ9" i="40"/>
  <c r="CP9" i="40"/>
  <c r="CO9" i="40"/>
  <c r="CN9" i="40"/>
  <c r="CM9" i="40"/>
  <c r="CL9" i="40"/>
  <c r="CK9" i="40"/>
  <c r="CJ9" i="40"/>
  <c r="CI9" i="40"/>
  <c r="CH9" i="40"/>
  <c r="CG9" i="40"/>
  <c r="CF9" i="40"/>
  <c r="CE9" i="40"/>
  <c r="CD9" i="40"/>
  <c r="CC9" i="40"/>
  <c r="CB9" i="40"/>
  <c r="CA9" i="40"/>
  <c r="BZ9" i="40"/>
  <c r="BY9" i="40"/>
  <c r="BX9" i="40"/>
  <c r="BW9" i="40"/>
  <c r="BV9" i="40"/>
  <c r="BU9" i="40"/>
  <c r="BT9" i="40"/>
  <c r="BS9" i="40"/>
  <c r="BR9" i="40"/>
  <c r="BQ9" i="40"/>
  <c r="BP9" i="40"/>
  <c r="BO9" i="40"/>
  <c r="BN9" i="40"/>
  <c r="BM9" i="40"/>
  <c r="BL9" i="40"/>
  <c r="BK9" i="40"/>
  <c r="BJ9" i="40"/>
  <c r="BI9" i="40"/>
  <c r="BH9" i="40"/>
  <c r="BG9" i="40"/>
  <c r="BF9" i="40"/>
  <c r="BE9"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Y9" i="40"/>
  <c r="X9" i="40"/>
  <c r="W9" i="40"/>
  <c r="V9" i="40"/>
  <c r="U9" i="40"/>
  <c r="T9" i="40"/>
  <c r="S9" i="40"/>
  <c r="R9" i="40"/>
  <c r="Q9" i="40"/>
  <c r="P9" i="40"/>
  <c r="O9" i="40"/>
  <c r="N9" i="40"/>
  <c r="M9" i="40"/>
  <c r="L9" i="40"/>
  <c r="K9" i="40"/>
  <c r="J9" i="40"/>
  <c r="I9" i="40"/>
  <c r="H9" i="40"/>
  <c r="G9" i="40"/>
  <c r="F9" i="40"/>
  <c r="E9" i="40"/>
  <c r="D9" i="40"/>
  <c r="C9" i="40"/>
  <c r="SX8" i="40"/>
  <c r="SV8" i="40"/>
  <c r="SU8" i="40"/>
  <c r="ST8" i="40"/>
  <c r="SS8" i="40"/>
  <c r="SR8" i="40"/>
  <c r="SQ8" i="40"/>
  <c r="SJ8" i="40"/>
  <c r="SI8" i="40"/>
  <c r="SH8" i="40"/>
  <c r="SE8" i="40"/>
  <c r="SD8" i="40"/>
  <c r="SC8" i="40"/>
  <c r="SB8" i="40"/>
  <c r="SA8" i="40"/>
  <c r="RZ8" i="40"/>
  <c r="RV8" i="40"/>
  <c r="RQ8" i="40"/>
  <c r="RN8" i="40"/>
  <c r="RM8" i="40"/>
  <c r="RL8" i="40"/>
  <c r="RH8" i="40"/>
  <c r="RC8" i="40"/>
  <c r="RB8" i="40"/>
  <c r="RA8" i="40"/>
  <c r="QZ8" i="40"/>
  <c r="QY8" i="40"/>
  <c r="QX8" i="40"/>
  <c r="QW8" i="40"/>
  <c r="QV8" i="40"/>
  <c r="QU8" i="40"/>
  <c r="QT8" i="40"/>
  <c r="QS8" i="40"/>
  <c r="QR8" i="40"/>
  <c r="QQ8" i="40"/>
  <c r="QP8" i="40"/>
  <c r="QO8" i="40"/>
  <c r="QN8" i="40"/>
  <c r="QM8" i="40"/>
  <c r="QL8" i="40"/>
  <c r="QK8" i="40"/>
  <c r="QJ8" i="40"/>
  <c r="QI8" i="40"/>
  <c r="QH8" i="40"/>
  <c r="QG8" i="40"/>
  <c r="QF8" i="40"/>
  <c r="QE8" i="40"/>
  <c r="QD8" i="40"/>
  <c r="QC8" i="40"/>
  <c r="QB8" i="40"/>
  <c r="QA8" i="40"/>
  <c r="PZ8" i="40"/>
  <c r="PY8" i="40"/>
  <c r="PX8" i="40"/>
  <c r="PW8" i="40"/>
  <c r="PV8" i="40"/>
  <c r="PU8" i="40"/>
  <c r="PT8" i="40"/>
  <c r="PS8" i="40"/>
  <c r="PR8" i="40"/>
  <c r="PQ8" i="40"/>
  <c r="PP8" i="40"/>
  <c r="PO8" i="40"/>
  <c r="PN8" i="40"/>
  <c r="PM8" i="40"/>
  <c r="PL8" i="40"/>
  <c r="PK8" i="40"/>
  <c r="PJ8" i="40"/>
  <c r="PI8" i="40"/>
  <c r="PH8" i="40"/>
  <c r="PG8" i="40"/>
  <c r="PF8" i="40"/>
  <c r="PE8" i="40"/>
  <c r="PD8" i="40"/>
  <c r="PC8" i="40"/>
  <c r="PB8" i="40"/>
  <c r="PA8" i="40"/>
  <c r="OZ8" i="40"/>
  <c r="OY8" i="40"/>
  <c r="OX8" i="40"/>
  <c r="OW8" i="40"/>
  <c r="OV8" i="40"/>
  <c r="OU8" i="40"/>
  <c r="OT8" i="40"/>
  <c r="OS8" i="40"/>
  <c r="OR8" i="40"/>
  <c r="OQ8" i="40"/>
  <c r="OP8" i="40"/>
  <c r="OO8" i="40"/>
  <c r="ON8" i="40"/>
  <c r="OM8" i="40"/>
  <c r="OL8" i="40"/>
  <c r="OK8" i="40"/>
  <c r="OJ8" i="40"/>
  <c r="OI8" i="40"/>
  <c r="OH8" i="40"/>
  <c r="OG8" i="40"/>
  <c r="OF8" i="40"/>
  <c r="OE8" i="40"/>
  <c r="OD8" i="40"/>
  <c r="OC8" i="40"/>
  <c r="OB8" i="40"/>
  <c r="OA8" i="40"/>
  <c r="NZ8" i="40"/>
  <c r="NY8" i="40"/>
  <c r="NX8" i="40"/>
  <c r="NW8" i="40"/>
  <c r="NV8" i="40"/>
  <c r="NU8" i="40"/>
  <c r="NT8" i="40"/>
  <c r="NS8" i="40"/>
  <c r="NR8" i="40"/>
  <c r="NQ8" i="40"/>
  <c r="NP8" i="40"/>
  <c r="NO8" i="40"/>
  <c r="NN8" i="40"/>
  <c r="NM8" i="40"/>
  <c r="NL8" i="40"/>
  <c r="NK8" i="40"/>
  <c r="NJ8" i="40"/>
  <c r="NI8" i="40"/>
  <c r="NH8" i="40"/>
  <c r="NG8" i="40"/>
  <c r="NF8" i="40"/>
  <c r="NE8" i="40"/>
  <c r="ND8" i="40"/>
  <c r="NC8" i="40"/>
  <c r="NB8" i="40"/>
  <c r="NA8" i="40"/>
  <c r="MZ8" i="40"/>
  <c r="MY8" i="40"/>
  <c r="MX8" i="40"/>
  <c r="MW8" i="40"/>
  <c r="MV8" i="40"/>
  <c r="MU8" i="40"/>
  <c r="MT8" i="40"/>
  <c r="MS8" i="40"/>
  <c r="MR8" i="40"/>
  <c r="MQ8" i="40"/>
  <c r="MP8" i="40"/>
  <c r="MO8" i="40"/>
  <c r="MN8" i="40"/>
  <c r="MM8" i="40"/>
  <c r="ML8" i="40"/>
  <c r="MK8" i="40"/>
  <c r="MJ8" i="40"/>
  <c r="MI8" i="40"/>
  <c r="MH8" i="40"/>
  <c r="MG8" i="40"/>
  <c r="MF8" i="40"/>
  <c r="ME8" i="40"/>
  <c r="MD8" i="40"/>
  <c r="MC8" i="40"/>
  <c r="MB8" i="40"/>
  <c r="MA8" i="40"/>
  <c r="LZ8" i="40"/>
  <c r="LY8" i="40"/>
  <c r="LX8" i="40"/>
  <c r="LW8" i="40"/>
  <c r="LV8" i="40"/>
  <c r="LU8" i="40"/>
  <c r="LT8" i="40"/>
  <c r="LS8" i="40"/>
  <c r="LR8" i="40"/>
  <c r="LQ8" i="40"/>
  <c r="LP8" i="40"/>
  <c r="LO8" i="40"/>
  <c r="LN8" i="40"/>
  <c r="LM8" i="40"/>
  <c r="LL8" i="40"/>
  <c r="LK8" i="40"/>
  <c r="LJ8" i="40"/>
  <c r="LI8" i="40"/>
  <c r="LH8" i="40"/>
  <c r="LG8" i="40"/>
  <c r="LF8" i="40"/>
  <c r="LE8" i="40"/>
  <c r="LD8" i="40"/>
  <c r="LC8" i="40"/>
  <c r="LB8" i="40"/>
  <c r="LA8" i="40"/>
  <c r="KZ8" i="40"/>
  <c r="KY8" i="40"/>
  <c r="KX8" i="40"/>
  <c r="KW8" i="40"/>
  <c r="KV8" i="40"/>
  <c r="KU8" i="40"/>
  <c r="KT8" i="40"/>
  <c r="KS8" i="40"/>
  <c r="KR8" i="40"/>
  <c r="KQ8" i="40"/>
  <c r="KP8" i="40"/>
  <c r="KO8" i="40"/>
  <c r="KN8" i="40"/>
  <c r="KM8" i="40"/>
  <c r="KL8" i="40"/>
  <c r="KK8" i="40"/>
  <c r="KJ8" i="40"/>
  <c r="KI8" i="40"/>
  <c r="KH8" i="40"/>
  <c r="KG8" i="40"/>
  <c r="KF8" i="40"/>
  <c r="KE8" i="40"/>
  <c r="KD8" i="40"/>
  <c r="KC8" i="40"/>
  <c r="KB8" i="40"/>
  <c r="KA8" i="40"/>
  <c r="JZ8" i="40"/>
  <c r="JY8" i="40"/>
  <c r="JX8" i="40"/>
  <c r="JW8" i="40"/>
  <c r="JV8" i="40"/>
  <c r="JU8" i="40"/>
  <c r="JT8" i="40"/>
  <c r="JS8" i="40"/>
  <c r="JR8" i="40"/>
  <c r="JQ8" i="40"/>
  <c r="JP8" i="40"/>
  <c r="JO8" i="40"/>
  <c r="JN8" i="40"/>
  <c r="JM8" i="40"/>
  <c r="JL8" i="40"/>
  <c r="JK8" i="40"/>
  <c r="JJ8" i="40"/>
  <c r="JI8" i="40"/>
  <c r="JH8" i="40"/>
  <c r="JG8" i="40"/>
  <c r="JF8" i="40"/>
  <c r="JE8" i="40"/>
  <c r="JD8" i="40"/>
  <c r="JC8" i="40"/>
  <c r="JB8" i="40"/>
  <c r="JA8" i="40"/>
  <c r="IZ8" i="40"/>
  <c r="IY8" i="40"/>
  <c r="IX8" i="40"/>
  <c r="IW8" i="40"/>
  <c r="IV8" i="40"/>
  <c r="IU8" i="40"/>
  <c r="IT8" i="40"/>
  <c r="IS8" i="40"/>
  <c r="IR8" i="40"/>
  <c r="IQ8" i="40"/>
  <c r="IP8" i="40"/>
  <c r="IO8" i="40"/>
  <c r="IN8" i="40"/>
  <c r="IM8" i="40"/>
  <c r="IL8" i="40"/>
  <c r="IK8" i="40"/>
  <c r="IJ8" i="40"/>
  <c r="II8" i="40"/>
  <c r="IH8" i="40"/>
  <c r="IG8" i="40"/>
  <c r="IF8" i="40"/>
  <c r="IE8" i="40"/>
  <c r="ID8" i="40"/>
  <c r="IC8" i="40"/>
  <c r="IB8" i="40"/>
  <c r="IA8" i="40"/>
  <c r="HZ8" i="40"/>
  <c r="HY8" i="40"/>
  <c r="HX8" i="40"/>
  <c r="HW8" i="40"/>
  <c r="HV8" i="40"/>
  <c r="HU8" i="40"/>
  <c r="HT8" i="40"/>
  <c r="HS8" i="40"/>
  <c r="HR8" i="40"/>
  <c r="HQ8" i="40"/>
  <c r="HP8" i="40"/>
  <c r="HO8" i="40"/>
  <c r="HN8" i="40"/>
  <c r="HM8" i="40"/>
  <c r="HL8" i="40"/>
  <c r="HK8" i="40"/>
  <c r="HJ8" i="40"/>
  <c r="HI8" i="40"/>
  <c r="HH8" i="40"/>
  <c r="HG8" i="40"/>
  <c r="HF8" i="40"/>
  <c r="HE8" i="40"/>
  <c r="HD8" i="40"/>
  <c r="HC8" i="40"/>
  <c r="HB8" i="40"/>
  <c r="HA8" i="40"/>
  <c r="GZ8" i="40"/>
  <c r="GY8" i="40"/>
  <c r="GX8" i="40"/>
  <c r="GW8" i="40"/>
  <c r="GV8" i="40"/>
  <c r="GU8" i="40"/>
  <c r="GT8" i="40"/>
  <c r="GS8" i="40"/>
  <c r="GR8" i="40"/>
  <c r="GQ8" i="40"/>
  <c r="GP8" i="40"/>
  <c r="GO8" i="40"/>
  <c r="GN8" i="40"/>
  <c r="GM8" i="40"/>
  <c r="GL8" i="40"/>
  <c r="GK8" i="40"/>
  <c r="GJ8" i="40"/>
  <c r="GI8" i="40"/>
  <c r="GH8" i="40"/>
  <c r="GG8" i="40"/>
  <c r="GF8" i="40"/>
  <c r="GE8" i="40"/>
  <c r="GD8" i="40"/>
  <c r="GC8" i="40"/>
  <c r="GB8" i="40"/>
  <c r="GA8" i="40"/>
  <c r="FZ8" i="40"/>
  <c r="FY8" i="40"/>
  <c r="FX8" i="40"/>
  <c r="FW8" i="40"/>
  <c r="FV8" i="40"/>
  <c r="FU8" i="40"/>
  <c r="FT8" i="40"/>
  <c r="FS8" i="40"/>
  <c r="FR8" i="40"/>
  <c r="FQ8" i="40"/>
  <c r="FP8" i="40"/>
  <c r="FO8" i="40"/>
  <c r="FN8" i="40"/>
  <c r="FM8" i="40"/>
  <c r="FL8" i="40"/>
  <c r="FK8" i="40"/>
  <c r="FJ8" i="40"/>
  <c r="FI8" i="40"/>
  <c r="FH8" i="40"/>
  <c r="FG8" i="40"/>
  <c r="FF8" i="40"/>
  <c r="FE8" i="40"/>
  <c r="FD8" i="40"/>
  <c r="FC8" i="40"/>
  <c r="FB8" i="40"/>
  <c r="FA8" i="40"/>
  <c r="EZ8" i="40"/>
  <c r="EY8" i="40"/>
  <c r="EX8" i="40"/>
  <c r="EW8" i="40"/>
  <c r="EV8" i="40"/>
  <c r="EU8" i="40"/>
  <c r="ET8" i="40"/>
  <c r="ES8" i="40"/>
  <c r="ER8" i="40"/>
  <c r="EQ8" i="40"/>
  <c r="EP8" i="40"/>
  <c r="EO8" i="40"/>
  <c r="EN8" i="40"/>
  <c r="EM8" i="40"/>
  <c r="EL8" i="40"/>
  <c r="EK8" i="40"/>
  <c r="EJ8" i="40"/>
  <c r="EI8" i="40"/>
  <c r="EH8" i="40"/>
  <c r="EG8" i="40"/>
  <c r="EF8" i="40"/>
  <c r="EE8" i="40"/>
  <c r="ED8" i="40"/>
  <c r="EC8" i="40"/>
  <c r="EB8" i="40"/>
  <c r="EA8" i="40"/>
  <c r="DZ8" i="40"/>
  <c r="DY8" i="40"/>
  <c r="DX8" i="40"/>
  <c r="DW8" i="40"/>
  <c r="DV8" i="40"/>
  <c r="DU8" i="40"/>
  <c r="DT8" i="40"/>
  <c r="DS8" i="40"/>
  <c r="DR8" i="40"/>
  <c r="DQ8" i="40"/>
  <c r="DP8" i="40"/>
  <c r="DO8" i="40"/>
  <c r="DN8" i="40"/>
  <c r="DM8" i="40"/>
  <c r="DL8" i="40"/>
  <c r="DK8" i="40"/>
  <c r="DJ8" i="40"/>
  <c r="DI8" i="40"/>
  <c r="DH8" i="40"/>
  <c r="DG8" i="40"/>
  <c r="DF8" i="40"/>
  <c r="DE8" i="40"/>
  <c r="DD8" i="40"/>
  <c r="DC8" i="40"/>
  <c r="DB8" i="40"/>
  <c r="DA8" i="40"/>
  <c r="CZ8" i="40"/>
  <c r="CY8" i="40"/>
  <c r="CX8" i="40"/>
  <c r="CW8" i="40"/>
  <c r="CV8" i="40"/>
  <c r="CU8" i="40"/>
  <c r="CT8" i="40"/>
  <c r="CS8" i="40"/>
  <c r="CR8" i="40"/>
  <c r="CQ8" i="40"/>
  <c r="CP8" i="40"/>
  <c r="CO8" i="40"/>
  <c r="CN8" i="40"/>
  <c r="CM8" i="40"/>
  <c r="CL8" i="40"/>
  <c r="CK8" i="40"/>
  <c r="CJ8" i="40"/>
  <c r="CI8" i="40"/>
  <c r="CH8" i="40"/>
  <c r="CG8" i="40"/>
  <c r="CF8" i="40"/>
  <c r="CE8" i="40"/>
  <c r="CD8" i="40"/>
  <c r="CC8" i="40"/>
  <c r="CB8" i="40"/>
  <c r="CA8" i="40"/>
  <c r="BZ8" i="40"/>
  <c r="BY8" i="40"/>
  <c r="BX8" i="40"/>
  <c r="BW8" i="40"/>
  <c r="BV8" i="40"/>
  <c r="BU8" i="40"/>
  <c r="BT8" i="40"/>
  <c r="BS8" i="40"/>
  <c r="BR8" i="40"/>
  <c r="BQ8" i="40"/>
  <c r="BP8" i="40"/>
  <c r="BO8" i="40"/>
  <c r="BN8" i="40"/>
  <c r="BM8" i="40"/>
  <c r="BL8" i="40"/>
  <c r="BK8" i="40"/>
  <c r="BJ8" i="40"/>
  <c r="BI8" i="40"/>
  <c r="BH8" i="40"/>
  <c r="BG8" i="40"/>
  <c r="BF8" i="40"/>
  <c r="BE8" i="40"/>
  <c r="BD8" i="40"/>
  <c r="BC8" i="40"/>
  <c r="BB8" i="40"/>
  <c r="BA8" i="40"/>
  <c r="AZ8" i="40"/>
  <c r="AY8" i="40"/>
  <c r="AX8" i="40"/>
  <c r="AW8" i="40"/>
  <c r="AV8" i="40"/>
  <c r="AU8" i="40"/>
  <c r="AT8" i="40"/>
  <c r="AS8" i="40"/>
  <c r="AR8" i="40"/>
  <c r="AQ8" i="40"/>
  <c r="AP8" i="40"/>
  <c r="AO8" i="40"/>
  <c r="AN8" i="40"/>
  <c r="AM8" i="40"/>
  <c r="AL8" i="40"/>
  <c r="AK8" i="40"/>
  <c r="AJ8" i="40"/>
  <c r="AI8" i="40"/>
  <c r="AH8" i="40"/>
  <c r="AG8" i="40"/>
  <c r="AF8" i="40"/>
  <c r="AE8" i="40"/>
  <c r="Y8" i="40"/>
  <c r="X8" i="40"/>
  <c r="W8" i="40"/>
  <c r="V8" i="40"/>
  <c r="U8" i="40"/>
  <c r="T8" i="40"/>
  <c r="S8" i="40"/>
  <c r="R8" i="40"/>
  <c r="Q8" i="40"/>
  <c r="P8" i="40"/>
  <c r="O8" i="40"/>
  <c r="N8" i="40"/>
  <c r="M8" i="40"/>
  <c r="L8" i="40"/>
  <c r="K8" i="40"/>
  <c r="J8" i="40"/>
  <c r="I8" i="40"/>
  <c r="H8" i="40"/>
  <c r="G8" i="40"/>
  <c r="F8" i="40"/>
  <c r="E8" i="40"/>
  <c r="D8" i="40"/>
  <c r="C8" i="40"/>
  <c r="TB7" i="40"/>
  <c r="TA7" i="40"/>
  <c r="SY7" i="40"/>
  <c r="SS7" i="40"/>
  <c r="SR7" i="40"/>
  <c r="SM7" i="40"/>
  <c r="SK7" i="40"/>
  <c r="SG7" i="40"/>
  <c r="SE7" i="40"/>
  <c r="SD7" i="40"/>
  <c r="SC7" i="40"/>
  <c r="SA7" i="40"/>
  <c r="RZ7" i="40"/>
  <c r="RY7" i="40"/>
  <c r="RW7" i="40"/>
  <c r="RS7" i="40"/>
  <c r="RR7" i="40"/>
  <c r="RQ7" i="40"/>
  <c r="RP7" i="40"/>
  <c r="RM7" i="40"/>
  <c r="RL7" i="40"/>
  <c r="RK7" i="40"/>
  <c r="RJ7" i="40"/>
  <c r="RI7" i="40"/>
  <c r="RC7" i="40"/>
  <c r="RB7" i="40"/>
  <c r="RA7" i="40"/>
  <c r="QZ7" i="40"/>
  <c r="QY7" i="40"/>
  <c r="QX7" i="40"/>
  <c r="QW7" i="40"/>
  <c r="QV7" i="40"/>
  <c r="QU7" i="40"/>
  <c r="QT7" i="40"/>
  <c r="QS7" i="40"/>
  <c r="QR7" i="40"/>
  <c r="QQ7" i="40"/>
  <c r="QP7" i="40"/>
  <c r="QO7" i="40"/>
  <c r="QN7" i="40"/>
  <c r="QM7" i="40"/>
  <c r="QL7" i="40"/>
  <c r="QK7" i="40"/>
  <c r="QJ7" i="40"/>
  <c r="QI7" i="40"/>
  <c r="QH7" i="40"/>
  <c r="QG7" i="40"/>
  <c r="QF7" i="40"/>
  <c r="QE7" i="40"/>
  <c r="QD7" i="40"/>
  <c r="QC7" i="40"/>
  <c r="QB7" i="40"/>
  <c r="QA7" i="40"/>
  <c r="PZ7" i="40"/>
  <c r="PY7" i="40"/>
  <c r="PX7" i="40"/>
  <c r="PW7" i="40"/>
  <c r="PV7" i="40"/>
  <c r="PU7" i="40"/>
  <c r="PT7" i="40"/>
  <c r="PS7" i="40"/>
  <c r="PR7" i="40"/>
  <c r="PQ7" i="40"/>
  <c r="PP7" i="40"/>
  <c r="PO7" i="40"/>
  <c r="PN7" i="40"/>
  <c r="PM7" i="40"/>
  <c r="PL7" i="40"/>
  <c r="PK7" i="40"/>
  <c r="PJ7" i="40"/>
  <c r="PI7" i="40"/>
  <c r="PH7" i="40"/>
  <c r="PG7" i="40"/>
  <c r="PF7" i="40"/>
  <c r="PE7" i="40"/>
  <c r="PD7" i="40"/>
  <c r="PC7" i="40"/>
  <c r="PB7" i="40"/>
  <c r="PA7" i="40"/>
  <c r="OZ7" i="40"/>
  <c r="OY7" i="40"/>
  <c r="OX7" i="40"/>
  <c r="OW7" i="40"/>
  <c r="OV7" i="40"/>
  <c r="OU7" i="40"/>
  <c r="OT7" i="40"/>
  <c r="OS7" i="40"/>
  <c r="OR7" i="40"/>
  <c r="OQ7" i="40"/>
  <c r="OP7" i="40"/>
  <c r="OO7" i="40"/>
  <c r="ON7" i="40"/>
  <c r="OM7" i="40"/>
  <c r="OL7" i="40"/>
  <c r="OK7" i="40"/>
  <c r="OJ7" i="40"/>
  <c r="OI7" i="40"/>
  <c r="OH7" i="40"/>
  <c r="OG7" i="40"/>
  <c r="OF7" i="40"/>
  <c r="OE7" i="40"/>
  <c r="OD7" i="40"/>
  <c r="OC7" i="40"/>
  <c r="OB7" i="40"/>
  <c r="OA7" i="40"/>
  <c r="NZ7" i="40"/>
  <c r="NY7" i="40"/>
  <c r="NX7" i="40"/>
  <c r="NW7" i="40"/>
  <c r="NV7" i="40"/>
  <c r="NU7" i="40"/>
  <c r="NT7" i="40"/>
  <c r="NS7" i="40"/>
  <c r="NR7" i="40"/>
  <c r="NQ7" i="40"/>
  <c r="NP7" i="40"/>
  <c r="NO7" i="40"/>
  <c r="NN7" i="40"/>
  <c r="NM7" i="40"/>
  <c r="NL7" i="40"/>
  <c r="NK7" i="40"/>
  <c r="NJ7" i="40"/>
  <c r="NI7" i="40"/>
  <c r="NH7" i="40"/>
  <c r="NG7" i="40"/>
  <c r="NF7" i="40"/>
  <c r="NE7" i="40"/>
  <c r="ND7" i="40"/>
  <c r="NC7" i="40"/>
  <c r="NB7" i="40"/>
  <c r="NA7" i="40"/>
  <c r="MZ7" i="40"/>
  <c r="MY7" i="40"/>
  <c r="MX7" i="40"/>
  <c r="MW7" i="40"/>
  <c r="MV7" i="40"/>
  <c r="MU7" i="40"/>
  <c r="MT7" i="40"/>
  <c r="MS7" i="40"/>
  <c r="MR7" i="40"/>
  <c r="MQ7" i="40"/>
  <c r="MP7" i="40"/>
  <c r="MO7" i="40"/>
  <c r="MN7" i="40"/>
  <c r="MM7" i="40"/>
  <c r="ML7" i="40"/>
  <c r="MK7" i="40"/>
  <c r="MJ7" i="40"/>
  <c r="MI7" i="40"/>
  <c r="MH7" i="40"/>
  <c r="MG7" i="40"/>
  <c r="MF7" i="40"/>
  <c r="ME7" i="40"/>
  <c r="MD7" i="40"/>
  <c r="MC7" i="40"/>
  <c r="MB7" i="40"/>
  <c r="MA7" i="40"/>
  <c r="LZ7" i="40"/>
  <c r="LY7" i="40"/>
  <c r="LX7" i="40"/>
  <c r="LW7" i="40"/>
  <c r="LV7" i="40"/>
  <c r="LU7" i="40"/>
  <c r="LT7" i="40"/>
  <c r="LS7" i="40"/>
  <c r="LR7" i="40"/>
  <c r="LQ7" i="40"/>
  <c r="LP7" i="40"/>
  <c r="LO7" i="40"/>
  <c r="LN7" i="40"/>
  <c r="LM7" i="40"/>
  <c r="LL7" i="40"/>
  <c r="LK7" i="40"/>
  <c r="LJ7" i="40"/>
  <c r="LI7" i="40"/>
  <c r="LH7" i="40"/>
  <c r="LG7" i="40"/>
  <c r="LF7" i="40"/>
  <c r="LE7" i="40"/>
  <c r="LD7" i="40"/>
  <c r="LC7" i="40"/>
  <c r="LB7" i="40"/>
  <c r="LA7" i="40"/>
  <c r="KZ7" i="40"/>
  <c r="KY7" i="40"/>
  <c r="KX7" i="40"/>
  <c r="KW7" i="40"/>
  <c r="KV7" i="40"/>
  <c r="KU7" i="40"/>
  <c r="KT7" i="40"/>
  <c r="KS7" i="40"/>
  <c r="KR7" i="40"/>
  <c r="KQ7" i="40"/>
  <c r="KP7" i="40"/>
  <c r="KO7" i="40"/>
  <c r="KN7" i="40"/>
  <c r="KM7" i="40"/>
  <c r="KL7" i="40"/>
  <c r="KK7" i="40"/>
  <c r="KJ7" i="40"/>
  <c r="KI7" i="40"/>
  <c r="KH7" i="40"/>
  <c r="KG7" i="40"/>
  <c r="KF7" i="40"/>
  <c r="KE7" i="40"/>
  <c r="KD7" i="40"/>
  <c r="KC7" i="40"/>
  <c r="KB7" i="40"/>
  <c r="KA7" i="40"/>
  <c r="JZ7" i="40"/>
  <c r="JY7" i="40"/>
  <c r="JX7" i="40"/>
  <c r="JW7" i="40"/>
  <c r="JV7" i="40"/>
  <c r="JU7" i="40"/>
  <c r="JT7" i="40"/>
  <c r="JS7" i="40"/>
  <c r="JR7" i="40"/>
  <c r="JQ7" i="40"/>
  <c r="JP7" i="40"/>
  <c r="JO7" i="40"/>
  <c r="JN7" i="40"/>
  <c r="JM7" i="40"/>
  <c r="JL7" i="40"/>
  <c r="JK7" i="40"/>
  <c r="JJ7" i="40"/>
  <c r="JI7" i="40"/>
  <c r="JH7" i="40"/>
  <c r="JG7" i="40"/>
  <c r="JF7" i="40"/>
  <c r="JE7" i="40"/>
  <c r="JD7" i="40"/>
  <c r="JC7" i="40"/>
  <c r="JB7" i="40"/>
  <c r="JA7" i="40"/>
  <c r="IZ7" i="40"/>
  <c r="IY7" i="40"/>
  <c r="IX7" i="40"/>
  <c r="IW7" i="40"/>
  <c r="IV7" i="40"/>
  <c r="IU7" i="40"/>
  <c r="IT7" i="40"/>
  <c r="IS7" i="40"/>
  <c r="IR7" i="40"/>
  <c r="IQ7" i="40"/>
  <c r="IP7" i="40"/>
  <c r="IO7" i="40"/>
  <c r="IN7" i="40"/>
  <c r="IM7" i="40"/>
  <c r="IL7" i="40"/>
  <c r="IK7" i="40"/>
  <c r="IJ7" i="40"/>
  <c r="II7" i="40"/>
  <c r="IH7" i="40"/>
  <c r="IG7" i="40"/>
  <c r="IF7" i="40"/>
  <c r="IE7" i="40"/>
  <c r="ID7" i="40"/>
  <c r="IC7" i="40"/>
  <c r="IB7" i="40"/>
  <c r="IA7" i="40"/>
  <c r="HZ7" i="40"/>
  <c r="HY7" i="40"/>
  <c r="HX7" i="40"/>
  <c r="HW7" i="40"/>
  <c r="HV7" i="40"/>
  <c r="HU7" i="40"/>
  <c r="HT7" i="40"/>
  <c r="HS7" i="40"/>
  <c r="HR7" i="40"/>
  <c r="HQ7" i="40"/>
  <c r="HP7" i="40"/>
  <c r="HO7" i="40"/>
  <c r="HN7" i="40"/>
  <c r="HM7" i="40"/>
  <c r="HL7" i="40"/>
  <c r="HK7" i="40"/>
  <c r="HJ7" i="40"/>
  <c r="HI7" i="40"/>
  <c r="HH7" i="40"/>
  <c r="HG7" i="40"/>
  <c r="HF7" i="40"/>
  <c r="HE7" i="40"/>
  <c r="HD7" i="40"/>
  <c r="HC7" i="40"/>
  <c r="HB7" i="40"/>
  <c r="HA7" i="40"/>
  <c r="GZ7" i="40"/>
  <c r="GY7" i="40"/>
  <c r="GX7" i="40"/>
  <c r="GW7" i="40"/>
  <c r="GV7" i="40"/>
  <c r="GU7" i="40"/>
  <c r="GT7" i="40"/>
  <c r="GS7" i="40"/>
  <c r="GR7" i="40"/>
  <c r="GQ7" i="40"/>
  <c r="GP7" i="40"/>
  <c r="GO7" i="40"/>
  <c r="GN7" i="40"/>
  <c r="GM7" i="40"/>
  <c r="GL7" i="40"/>
  <c r="GK7" i="40"/>
  <c r="GJ7" i="40"/>
  <c r="GI7" i="40"/>
  <c r="GH7" i="40"/>
  <c r="GG7" i="40"/>
  <c r="GF7" i="40"/>
  <c r="GE7" i="40"/>
  <c r="GD7" i="40"/>
  <c r="GC7" i="40"/>
  <c r="GB7" i="40"/>
  <c r="GA7" i="40"/>
  <c r="FZ7" i="40"/>
  <c r="FY7" i="40"/>
  <c r="FX7" i="40"/>
  <c r="FW7" i="40"/>
  <c r="FV7" i="40"/>
  <c r="FU7" i="40"/>
  <c r="FT7" i="40"/>
  <c r="FS7" i="40"/>
  <c r="FR7" i="40"/>
  <c r="FQ7" i="40"/>
  <c r="FP7" i="40"/>
  <c r="FO7" i="40"/>
  <c r="FN7" i="40"/>
  <c r="FM7" i="40"/>
  <c r="FL7" i="40"/>
  <c r="FK7" i="40"/>
  <c r="FJ7" i="40"/>
  <c r="FI7" i="40"/>
  <c r="FH7" i="40"/>
  <c r="FG7" i="40"/>
  <c r="FF7" i="40"/>
  <c r="FE7" i="40"/>
  <c r="FD7" i="40"/>
  <c r="FC7" i="40"/>
  <c r="FB7" i="40"/>
  <c r="FA7" i="40"/>
  <c r="EZ7" i="40"/>
  <c r="EY7" i="40"/>
  <c r="EX7" i="40"/>
  <c r="EW7" i="40"/>
  <c r="EV7" i="40"/>
  <c r="EU7" i="40"/>
  <c r="ET7" i="40"/>
  <c r="ES7" i="40"/>
  <c r="ER7" i="40"/>
  <c r="EQ7" i="40"/>
  <c r="EP7" i="40"/>
  <c r="EO7" i="40"/>
  <c r="EN7" i="40"/>
  <c r="EM7" i="40"/>
  <c r="EL7" i="40"/>
  <c r="EK7" i="40"/>
  <c r="EJ7" i="40"/>
  <c r="EI7" i="40"/>
  <c r="EH7" i="40"/>
  <c r="EG7" i="40"/>
  <c r="EF7" i="40"/>
  <c r="EE7" i="40"/>
  <c r="ED7" i="40"/>
  <c r="EC7" i="40"/>
  <c r="EB7" i="40"/>
  <c r="EA7" i="40"/>
  <c r="DZ7" i="40"/>
  <c r="DY7" i="40"/>
  <c r="DX7" i="40"/>
  <c r="DW7" i="40"/>
  <c r="DV7" i="40"/>
  <c r="DU7" i="40"/>
  <c r="DT7" i="40"/>
  <c r="DS7" i="40"/>
  <c r="DR7" i="40"/>
  <c r="DQ7" i="40"/>
  <c r="DP7" i="40"/>
  <c r="DO7" i="40"/>
  <c r="DN7" i="40"/>
  <c r="DM7" i="40"/>
  <c r="DL7" i="40"/>
  <c r="DK7" i="40"/>
  <c r="DJ7" i="40"/>
  <c r="DI7" i="40"/>
  <c r="DH7" i="40"/>
  <c r="DG7" i="40"/>
  <c r="DF7" i="40"/>
  <c r="DE7" i="40"/>
  <c r="DD7" i="40"/>
  <c r="DC7" i="40"/>
  <c r="DB7" i="40"/>
  <c r="DA7" i="40"/>
  <c r="CZ7" i="40"/>
  <c r="CY7" i="40"/>
  <c r="CX7" i="40"/>
  <c r="CW7" i="40"/>
  <c r="CV7" i="40"/>
  <c r="CU7" i="40"/>
  <c r="CT7" i="40"/>
  <c r="CS7" i="40"/>
  <c r="CR7" i="40"/>
  <c r="CQ7" i="40"/>
  <c r="CP7" i="40"/>
  <c r="CO7" i="40"/>
  <c r="CN7" i="40"/>
  <c r="CM7" i="40"/>
  <c r="CL7" i="40"/>
  <c r="CK7" i="40"/>
  <c r="CJ7" i="40"/>
  <c r="CI7" i="40"/>
  <c r="CH7" i="40"/>
  <c r="CG7" i="40"/>
  <c r="CF7" i="40"/>
  <c r="CE7" i="40"/>
  <c r="CD7" i="40"/>
  <c r="CC7" i="40"/>
  <c r="CB7" i="40"/>
  <c r="CA7" i="40"/>
  <c r="BZ7" i="40"/>
  <c r="BY7" i="40"/>
  <c r="BX7" i="40"/>
  <c r="BW7" i="40"/>
  <c r="BV7" i="40"/>
  <c r="BU7" i="40"/>
  <c r="BT7" i="40"/>
  <c r="BS7" i="40"/>
  <c r="BR7" i="40"/>
  <c r="BQ7" i="40"/>
  <c r="BP7" i="40"/>
  <c r="BO7" i="40"/>
  <c r="BN7" i="40"/>
  <c r="BM7" i="40"/>
  <c r="BL7" i="40"/>
  <c r="BK7" i="40"/>
  <c r="BJ7" i="40"/>
  <c r="BI7" i="40"/>
  <c r="BH7" i="40"/>
  <c r="BG7" i="40"/>
  <c r="BF7" i="40"/>
  <c r="BE7" i="40"/>
  <c r="BD7" i="40"/>
  <c r="BC7" i="40"/>
  <c r="BB7" i="40"/>
  <c r="BA7" i="40"/>
  <c r="AZ7" i="40"/>
  <c r="AY7" i="40"/>
  <c r="AX7" i="40"/>
  <c r="AW7" i="40"/>
  <c r="AV7" i="40"/>
  <c r="AU7" i="40"/>
  <c r="AT7" i="40"/>
  <c r="AS7" i="40"/>
  <c r="AR7" i="40"/>
  <c r="AQ7" i="40"/>
  <c r="AP7" i="40"/>
  <c r="AO7" i="40"/>
  <c r="AN7" i="40"/>
  <c r="AM7" i="40"/>
  <c r="AL7" i="40"/>
  <c r="AK7" i="40"/>
  <c r="AJ7" i="40"/>
  <c r="AI7" i="40"/>
  <c r="AH7" i="40"/>
  <c r="AG7" i="40"/>
  <c r="AF7" i="40"/>
  <c r="AE7" i="40"/>
  <c r="Y7" i="40"/>
  <c r="X7" i="40"/>
  <c r="W7" i="40"/>
  <c r="V7" i="40"/>
  <c r="U7" i="40"/>
  <c r="T7" i="40"/>
  <c r="S7" i="40"/>
  <c r="R7" i="40"/>
  <c r="Q7" i="40"/>
  <c r="P7" i="40"/>
  <c r="O7" i="40"/>
  <c r="N7" i="40"/>
  <c r="M7" i="40"/>
  <c r="L7" i="40"/>
  <c r="K7" i="40"/>
  <c r="J7" i="40"/>
  <c r="I7" i="40"/>
  <c r="H7" i="40"/>
  <c r="G7" i="40"/>
  <c r="F7" i="40"/>
  <c r="E7" i="40"/>
  <c r="D7" i="40"/>
  <c r="C7" i="40"/>
  <c r="TB6" i="40"/>
  <c r="SW6" i="40"/>
  <c r="SV6" i="40"/>
  <c r="SQ6" i="40"/>
  <c r="SP6" i="40"/>
  <c r="SO6" i="40"/>
  <c r="SK6" i="40"/>
  <c r="SC6" i="40"/>
  <c r="SB6" i="40"/>
  <c r="SA6" i="40"/>
  <c r="RZ6" i="40"/>
  <c r="RO6" i="40"/>
  <c r="RM6" i="40"/>
  <c r="RL6" i="40"/>
  <c r="RI6" i="40"/>
  <c r="RH6" i="40"/>
  <c r="RG6" i="40"/>
  <c r="RB6" i="40"/>
  <c r="RA6" i="40"/>
  <c r="QZ6" i="40"/>
  <c r="QY6" i="40"/>
  <c r="QX6" i="40"/>
  <c r="QW6" i="40"/>
  <c r="QV6" i="40"/>
  <c r="QU6" i="40"/>
  <c r="QT6" i="40"/>
  <c r="QS6" i="40"/>
  <c r="QR6" i="40"/>
  <c r="QQ6" i="40"/>
  <c r="QP6" i="40"/>
  <c r="QO6" i="40"/>
  <c r="QN6" i="40"/>
  <c r="QM6" i="40"/>
  <c r="QL6" i="40"/>
  <c r="QK6" i="40"/>
  <c r="QJ6" i="40"/>
  <c r="QI6" i="40"/>
  <c r="QH6" i="40"/>
  <c r="QG6" i="40"/>
  <c r="QF6" i="40"/>
  <c r="QE6" i="40"/>
  <c r="QD6" i="40"/>
  <c r="QC6" i="40"/>
  <c r="QB6" i="40"/>
  <c r="QA6" i="40"/>
  <c r="PZ6" i="40"/>
  <c r="PY6" i="40"/>
  <c r="PX6" i="40"/>
  <c r="PW6" i="40"/>
  <c r="PV6" i="40"/>
  <c r="PU6" i="40"/>
  <c r="PT6" i="40"/>
  <c r="PS6" i="40"/>
  <c r="PR6" i="40"/>
  <c r="PQ6" i="40"/>
  <c r="PP6" i="40"/>
  <c r="PO6" i="40"/>
  <c r="PN6" i="40"/>
  <c r="PM6" i="40"/>
  <c r="PL6" i="40"/>
  <c r="PK6" i="40"/>
  <c r="PJ6" i="40"/>
  <c r="PI6" i="40"/>
  <c r="PH6" i="40"/>
  <c r="PG6" i="40"/>
  <c r="PF6" i="40"/>
  <c r="PE6" i="40"/>
  <c r="PD6" i="40"/>
  <c r="PC6" i="40"/>
  <c r="PB6" i="40"/>
  <c r="PA6" i="40"/>
  <c r="OZ6" i="40"/>
  <c r="OY6" i="40"/>
  <c r="OX6" i="40"/>
  <c r="OW6" i="40"/>
  <c r="OV6" i="40"/>
  <c r="OU6" i="40"/>
  <c r="OT6" i="40"/>
  <c r="OS6" i="40"/>
  <c r="OR6" i="40"/>
  <c r="OQ6" i="40"/>
  <c r="OP6" i="40"/>
  <c r="OO6" i="40"/>
  <c r="ON6" i="40"/>
  <c r="OM6" i="40"/>
  <c r="OL6" i="40"/>
  <c r="OK6" i="40"/>
  <c r="OJ6" i="40"/>
  <c r="OI6" i="40"/>
  <c r="OH6" i="40"/>
  <c r="OG6" i="40"/>
  <c r="OF6" i="40"/>
  <c r="OE6" i="40"/>
  <c r="OD6" i="40"/>
  <c r="OC6" i="40"/>
  <c r="OB6" i="40"/>
  <c r="OA6" i="40"/>
  <c r="NZ6" i="40"/>
  <c r="NY6" i="40"/>
  <c r="NX6" i="40"/>
  <c r="NW6" i="40"/>
  <c r="NV6" i="40"/>
  <c r="NU6" i="40"/>
  <c r="NT6" i="40"/>
  <c r="NS6" i="40"/>
  <c r="NR6" i="40"/>
  <c r="NQ6" i="40"/>
  <c r="NP6" i="40"/>
  <c r="NO6" i="40"/>
  <c r="NN6" i="40"/>
  <c r="NM6" i="40"/>
  <c r="NL6" i="40"/>
  <c r="NK6" i="40"/>
  <c r="NJ6" i="40"/>
  <c r="NI6" i="40"/>
  <c r="NH6" i="40"/>
  <c r="NG6" i="40"/>
  <c r="NF6" i="40"/>
  <c r="NE6" i="40"/>
  <c r="ND6" i="40"/>
  <c r="NC6" i="40"/>
  <c r="NB6" i="40"/>
  <c r="NA6" i="40"/>
  <c r="MZ6" i="40"/>
  <c r="MY6" i="40"/>
  <c r="MX6" i="40"/>
  <c r="MW6" i="40"/>
  <c r="MV6" i="40"/>
  <c r="MU6" i="40"/>
  <c r="MT6" i="40"/>
  <c r="MS6" i="40"/>
  <c r="MR6" i="40"/>
  <c r="MQ6" i="40"/>
  <c r="MP6" i="40"/>
  <c r="MO6" i="40"/>
  <c r="MN6" i="40"/>
  <c r="MM6" i="40"/>
  <c r="ML6" i="40"/>
  <c r="MK6" i="40"/>
  <c r="MJ6" i="40"/>
  <c r="MI6" i="40"/>
  <c r="MH6" i="40"/>
  <c r="MG6" i="40"/>
  <c r="MF6" i="40"/>
  <c r="ME6" i="40"/>
  <c r="MD6" i="40"/>
  <c r="MC6" i="40"/>
  <c r="MB6" i="40"/>
  <c r="MA6" i="40"/>
  <c r="LZ6" i="40"/>
  <c r="LY6" i="40"/>
  <c r="LX6" i="40"/>
  <c r="LW6" i="40"/>
  <c r="LV6" i="40"/>
  <c r="LU6" i="40"/>
  <c r="LT6" i="40"/>
  <c r="LS6" i="40"/>
  <c r="LR6" i="40"/>
  <c r="LQ6" i="40"/>
  <c r="LP6" i="40"/>
  <c r="LO6" i="40"/>
  <c r="LN6" i="40"/>
  <c r="LM6" i="40"/>
  <c r="LL6" i="40"/>
  <c r="LK6" i="40"/>
  <c r="LJ6" i="40"/>
  <c r="LI6" i="40"/>
  <c r="LH6" i="40"/>
  <c r="LG6" i="40"/>
  <c r="LF6" i="40"/>
  <c r="LE6" i="40"/>
  <c r="LD6" i="40"/>
  <c r="LC6" i="40"/>
  <c r="LB6" i="40"/>
  <c r="LA6" i="40"/>
  <c r="KZ6" i="40"/>
  <c r="KY6" i="40"/>
  <c r="KX6" i="40"/>
  <c r="KW6" i="40"/>
  <c r="KV6" i="40"/>
  <c r="KU6" i="40"/>
  <c r="KT6" i="40"/>
  <c r="KS6" i="40"/>
  <c r="KR6" i="40"/>
  <c r="KQ6" i="40"/>
  <c r="KP6" i="40"/>
  <c r="KO6" i="40"/>
  <c r="KN6" i="40"/>
  <c r="KM6" i="40"/>
  <c r="KL6" i="40"/>
  <c r="KK6" i="40"/>
  <c r="KJ6" i="40"/>
  <c r="KI6" i="40"/>
  <c r="KH6" i="40"/>
  <c r="KG6" i="40"/>
  <c r="KF6" i="40"/>
  <c r="KE6" i="40"/>
  <c r="KD6" i="40"/>
  <c r="KC6" i="40"/>
  <c r="KB6" i="40"/>
  <c r="KA6" i="40"/>
  <c r="JZ6" i="40"/>
  <c r="JY6" i="40"/>
  <c r="JX6" i="40"/>
  <c r="JW6" i="40"/>
  <c r="JV6" i="40"/>
  <c r="JU6" i="40"/>
  <c r="JT6" i="40"/>
  <c r="JS6" i="40"/>
  <c r="JR6" i="40"/>
  <c r="JQ6" i="40"/>
  <c r="JP6" i="40"/>
  <c r="JO6" i="40"/>
  <c r="JN6" i="40"/>
  <c r="JM6" i="40"/>
  <c r="JL6" i="40"/>
  <c r="JK6" i="40"/>
  <c r="JJ6" i="40"/>
  <c r="JI6" i="40"/>
  <c r="JH6" i="40"/>
  <c r="JG6" i="40"/>
  <c r="JF6" i="40"/>
  <c r="JE6" i="40"/>
  <c r="JD6" i="40"/>
  <c r="JC6" i="40"/>
  <c r="JB6" i="40"/>
  <c r="JA6" i="40"/>
  <c r="IZ6" i="40"/>
  <c r="IY6" i="40"/>
  <c r="IX6" i="40"/>
  <c r="IW6" i="40"/>
  <c r="IV6" i="40"/>
  <c r="IU6" i="40"/>
  <c r="IT6" i="40"/>
  <c r="IS6" i="40"/>
  <c r="IR6" i="40"/>
  <c r="IQ6" i="40"/>
  <c r="IP6" i="40"/>
  <c r="IO6" i="40"/>
  <c r="IN6" i="40"/>
  <c r="IM6" i="40"/>
  <c r="IL6" i="40"/>
  <c r="IK6" i="40"/>
  <c r="IJ6" i="40"/>
  <c r="II6" i="40"/>
  <c r="IH6" i="40"/>
  <c r="IG6" i="40"/>
  <c r="IF6" i="40"/>
  <c r="IE6" i="40"/>
  <c r="ID6" i="40"/>
  <c r="IC6" i="40"/>
  <c r="IB6" i="40"/>
  <c r="IA6" i="40"/>
  <c r="HZ6" i="40"/>
  <c r="HY6" i="40"/>
  <c r="HX6" i="40"/>
  <c r="HW6" i="40"/>
  <c r="HV6" i="40"/>
  <c r="HU6" i="40"/>
  <c r="HT6" i="40"/>
  <c r="HS6" i="40"/>
  <c r="HR6" i="40"/>
  <c r="HQ6" i="40"/>
  <c r="HP6" i="40"/>
  <c r="HO6" i="40"/>
  <c r="HN6" i="40"/>
  <c r="HM6" i="40"/>
  <c r="HL6" i="40"/>
  <c r="HK6" i="40"/>
  <c r="HJ6" i="40"/>
  <c r="HI6" i="40"/>
  <c r="HH6" i="40"/>
  <c r="HG6" i="40"/>
  <c r="HF6" i="40"/>
  <c r="HE6" i="40"/>
  <c r="HD6" i="40"/>
  <c r="HC6" i="40"/>
  <c r="HB6" i="40"/>
  <c r="HA6" i="40"/>
  <c r="GZ6" i="40"/>
  <c r="GY6" i="40"/>
  <c r="GX6" i="40"/>
  <c r="GW6" i="40"/>
  <c r="GV6" i="40"/>
  <c r="GU6" i="40"/>
  <c r="GT6" i="40"/>
  <c r="GS6" i="40"/>
  <c r="GR6" i="40"/>
  <c r="GQ6" i="40"/>
  <c r="GP6" i="40"/>
  <c r="GO6" i="40"/>
  <c r="GN6" i="40"/>
  <c r="GM6" i="40"/>
  <c r="GL6" i="40"/>
  <c r="GK6" i="40"/>
  <c r="GJ6" i="40"/>
  <c r="GI6" i="40"/>
  <c r="GH6" i="40"/>
  <c r="GG6" i="40"/>
  <c r="GF6" i="40"/>
  <c r="GE6" i="40"/>
  <c r="GD6" i="40"/>
  <c r="GC6" i="40"/>
  <c r="GB6" i="40"/>
  <c r="GA6" i="40"/>
  <c r="FZ6" i="40"/>
  <c r="FY6" i="40"/>
  <c r="FX6" i="40"/>
  <c r="FW6" i="40"/>
  <c r="FV6" i="40"/>
  <c r="FU6" i="40"/>
  <c r="FT6" i="40"/>
  <c r="FS6" i="40"/>
  <c r="FR6" i="40"/>
  <c r="FQ6" i="40"/>
  <c r="FP6" i="40"/>
  <c r="FO6" i="40"/>
  <c r="FN6" i="40"/>
  <c r="FM6" i="40"/>
  <c r="FL6" i="40"/>
  <c r="FK6" i="40"/>
  <c r="FJ6" i="40"/>
  <c r="FI6" i="40"/>
  <c r="FH6" i="40"/>
  <c r="FG6" i="40"/>
  <c r="FF6" i="40"/>
  <c r="FE6" i="40"/>
  <c r="FD6" i="40"/>
  <c r="FC6" i="40"/>
  <c r="FB6" i="40"/>
  <c r="FA6" i="40"/>
  <c r="EZ6" i="40"/>
  <c r="EY6" i="40"/>
  <c r="EX6" i="40"/>
  <c r="EW6" i="40"/>
  <c r="EV6" i="40"/>
  <c r="EU6" i="40"/>
  <c r="ET6" i="40"/>
  <c r="ES6" i="40"/>
  <c r="ER6" i="40"/>
  <c r="EQ6" i="40"/>
  <c r="EP6" i="40"/>
  <c r="EO6" i="40"/>
  <c r="EN6" i="40"/>
  <c r="EM6" i="40"/>
  <c r="EL6" i="40"/>
  <c r="EK6" i="40"/>
  <c r="EJ6" i="40"/>
  <c r="EI6" i="40"/>
  <c r="EH6" i="40"/>
  <c r="EG6" i="40"/>
  <c r="EF6" i="40"/>
  <c r="EE6" i="40"/>
  <c r="ED6" i="40"/>
  <c r="EC6" i="40"/>
  <c r="EB6" i="40"/>
  <c r="EA6" i="40"/>
  <c r="DZ6" i="40"/>
  <c r="DY6" i="40"/>
  <c r="DX6" i="40"/>
  <c r="DW6" i="40"/>
  <c r="DV6" i="40"/>
  <c r="DU6" i="40"/>
  <c r="DT6" i="40"/>
  <c r="DS6" i="40"/>
  <c r="DR6" i="40"/>
  <c r="DQ6" i="40"/>
  <c r="DP6" i="40"/>
  <c r="DO6" i="40"/>
  <c r="DN6" i="40"/>
  <c r="DM6" i="40"/>
  <c r="DL6" i="40"/>
  <c r="DK6" i="40"/>
  <c r="DJ6" i="40"/>
  <c r="DI6" i="40"/>
  <c r="DH6" i="40"/>
  <c r="DG6" i="40"/>
  <c r="DF6" i="40"/>
  <c r="DE6" i="40"/>
  <c r="DD6" i="40"/>
  <c r="DC6" i="40"/>
  <c r="DB6" i="40"/>
  <c r="DA6" i="40"/>
  <c r="CZ6" i="40"/>
  <c r="CY6" i="40"/>
  <c r="CX6" i="40"/>
  <c r="CW6" i="40"/>
  <c r="CV6" i="40"/>
  <c r="CU6" i="40"/>
  <c r="CT6" i="40"/>
  <c r="CS6" i="40"/>
  <c r="CR6" i="40"/>
  <c r="CQ6" i="40"/>
  <c r="CP6" i="40"/>
  <c r="CO6" i="40"/>
  <c r="CN6" i="40"/>
  <c r="CM6" i="40"/>
  <c r="CL6" i="40"/>
  <c r="CK6" i="40"/>
  <c r="CJ6" i="40"/>
  <c r="CI6" i="40"/>
  <c r="CH6" i="40"/>
  <c r="CG6" i="40"/>
  <c r="CF6" i="40"/>
  <c r="CE6" i="40"/>
  <c r="CD6" i="40"/>
  <c r="CC6" i="40"/>
  <c r="CB6" i="40"/>
  <c r="CA6" i="40"/>
  <c r="BZ6" i="40"/>
  <c r="BY6" i="40"/>
  <c r="BX6" i="40"/>
  <c r="BW6" i="40"/>
  <c r="BV6" i="40"/>
  <c r="BU6" i="40"/>
  <c r="BT6" i="40"/>
  <c r="BS6" i="40"/>
  <c r="BR6" i="40"/>
  <c r="BQ6" i="40"/>
  <c r="BP6" i="40"/>
  <c r="BO6" i="40"/>
  <c r="BN6" i="40"/>
  <c r="BM6" i="40"/>
  <c r="BL6" i="40"/>
  <c r="BK6" i="40"/>
  <c r="BJ6" i="40"/>
  <c r="BI6" i="40"/>
  <c r="BH6" i="40"/>
  <c r="BG6" i="40"/>
  <c r="BF6" i="40"/>
  <c r="BE6" i="40"/>
  <c r="BD6" i="40"/>
  <c r="BC6" i="40"/>
  <c r="BB6" i="40"/>
  <c r="BA6" i="40"/>
  <c r="AZ6" i="40"/>
  <c r="AY6" i="40"/>
  <c r="AX6" i="40"/>
  <c r="AW6" i="40"/>
  <c r="AV6" i="40"/>
  <c r="AU6" i="40"/>
  <c r="AT6" i="40"/>
  <c r="AS6" i="40"/>
  <c r="AR6" i="40"/>
  <c r="AQ6" i="40"/>
  <c r="AP6" i="40"/>
  <c r="AO6" i="40"/>
  <c r="AN6" i="40"/>
  <c r="AM6" i="40"/>
  <c r="AL6" i="40"/>
  <c r="AK6" i="40"/>
  <c r="AJ6" i="40"/>
  <c r="AI6" i="40"/>
  <c r="AH6" i="40"/>
  <c r="AG6" i="40"/>
  <c r="AF6" i="40"/>
  <c r="AE6" i="40"/>
  <c r="Y6" i="40"/>
  <c r="X6" i="40"/>
  <c r="W6" i="40"/>
  <c r="V6" i="40"/>
  <c r="U6" i="40"/>
  <c r="T6" i="40"/>
  <c r="S6" i="40"/>
  <c r="R6" i="40"/>
  <c r="Q6" i="40"/>
  <c r="P6" i="40"/>
  <c r="O6" i="40"/>
  <c r="N6" i="40"/>
  <c r="M6" i="40"/>
  <c r="L6" i="40"/>
  <c r="K6" i="40"/>
  <c r="J6" i="40"/>
  <c r="I6" i="40"/>
  <c r="H6" i="40"/>
  <c r="G6" i="40"/>
  <c r="F6" i="40"/>
  <c r="E6" i="40"/>
  <c r="D6" i="40"/>
  <c r="C6" i="40"/>
  <c r="TB5" i="40"/>
  <c r="TA5" i="40"/>
  <c r="SX5" i="40"/>
  <c r="SW5" i="40"/>
  <c r="SV5" i="40"/>
  <c r="SU5" i="40"/>
  <c r="ST5" i="40"/>
  <c r="SP5" i="40"/>
  <c r="SJ5" i="40"/>
  <c r="SG5" i="40"/>
  <c r="SF5" i="40"/>
  <c r="SB5" i="40"/>
  <c r="SA5" i="40"/>
  <c r="RZ5" i="40"/>
  <c r="RW5" i="40"/>
  <c r="RV5" i="40"/>
  <c r="RU5" i="40"/>
  <c r="RN5" i="40"/>
  <c r="RM5" i="40"/>
  <c r="RL5" i="40"/>
  <c r="RK5" i="40"/>
  <c r="RJ5" i="40"/>
  <c r="RH5" i="40"/>
  <c r="RG5" i="40"/>
  <c r="RF5" i="40"/>
  <c r="RE5" i="40"/>
  <c r="RD5" i="40"/>
  <c r="RB5" i="40"/>
  <c r="RA5" i="40"/>
  <c r="QZ5" i="40"/>
  <c r="QY5" i="40"/>
  <c r="QX5" i="40"/>
  <c r="QW5" i="40"/>
  <c r="QV5" i="40"/>
  <c r="QU5" i="40"/>
  <c r="QT5" i="40"/>
  <c r="QS5" i="40"/>
  <c r="QR5" i="40"/>
  <c r="QQ5" i="40"/>
  <c r="QP5" i="40"/>
  <c r="QO5" i="40"/>
  <c r="QN5" i="40"/>
  <c r="QM5" i="40"/>
  <c r="QL5" i="40"/>
  <c r="QK5" i="40"/>
  <c r="QJ5" i="40"/>
  <c r="QI5" i="40"/>
  <c r="QH5" i="40"/>
  <c r="QG5" i="40"/>
  <c r="QF5" i="40"/>
  <c r="QE5" i="40"/>
  <c r="QD5" i="40"/>
  <c r="QC5" i="40"/>
  <c r="QB5" i="40"/>
  <c r="QA5" i="40"/>
  <c r="PZ5" i="40"/>
  <c r="PY5" i="40"/>
  <c r="PX5" i="40"/>
  <c r="PW5" i="40"/>
  <c r="PV5" i="40"/>
  <c r="PU5" i="40"/>
  <c r="PT5" i="40"/>
  <c r="PS5" i="40"/>
  <c r="PR5" i="40"/>
  <c r="PQ5" i="40"/>
  <c r="PP5" i="40"/>
  <c r="PO5" i="40"/>
  <c r="PN5" i="40"/>
  <c r="PM5" i="40"/>
  <c r="PL5" i="40"/>
  <c r="PK5" i="40"/>
  <c r="PJ5" i="40"/>
  <c r="PI5" i="40"/>
  <c r="PH5" i="40"/>
  <c r="PG5" i="40"/>
  <c r="PF5" i="40"/>
  <c r="PE5" i="40"/>
  <c r="PD5" i="40"/>
  <c r="PC5" i="40"/>
  <c r="PB5" i="40"/>
  <c r="PA5" i="40"/>
  <c r="OZ5" i="40"/>
  <c r="OY5" i="40"/>
  <c r="OX5" i="40"/>
  <c r="OW5" i="40"/>
  <c r="OV5" i="40"/>
  <c r="OU5" i="40"/>
  <c r="OT5" i="40"/>
  <c r="OS5" i="40"/>
  <c r="OR5" i="40"/>
  <c r="OQ5" i="40"/>
  <c r="OP5" i="40"/>
  <c r="OO5" i="40"/>
  <c r="ON5" i="40"/>
  <c r="OM5" i="40"/>
  <c r="OL5" i="40"/>
  <c r="OK5" i="40"/>
  <c r="OJ5" i="40"/>
  <c r="OI5" i="40"/>
  <c r="OH5" i="40"/>
  <c r="OG5" i="40"/>
  <c r="OF5" i="40"/>
  <c r="OE5" i="40"/>
  <c r="OD5" i="40"/>
  <c r="OC5" i="40"/>
  <c r="OB5" i="40"/>
  <c r="OA5" i="40"/>
  <c r="NZ5" i="40"/>
  <c r="NY5" i="40"/>
  <c r="NX5" i="40"/>
  <c r="NW5" i="40"/>
  <c r="NV5" i="40"/>
  <c r="NU5" i="40"/>
  <c r="NT5" i="40"/>
  <c r="NS5" i="40"/>
  <c r="NR5" i="40"/>
  <c r="NQ5" i="40"/>
  <c r="NP5" i="40"/>
  <c r="NO5" i="40"/>
  <c r="NN5" i="40"/>
  <c r="NM5" i="40"/>
  <c r="NL5" i="40"/>
  <c r="NK5" i="40"/>
  <c r="NJ5" i="40"/>
  <c r="NI5" i="40"/>
  <c r="NH5" i="40"/>
  <c r="NG5" i="40"/>
  <c r="NF5" i="40"/>
  <c r="NE5" i="40"/>
  <c r="ND5" i="40"/>
  <c r="NC5" i="40"/>
  <c r="NB5" i="40"/>
  <c r="NA5" i="40"/>
  <c r="MZ5" i="40"/>
  <c r="MY5" i="40"/>
  <c r="MX5" i="40"/>
  <c r="MW5" i="40"/>
  <c r="MV5" i="40"/>
  <c r="MU5" i="40"/>
  <c r="MT5" i="40"/>
  <c r="MS5" i="40"/>
  <c r="MR5" i="40"/>
  <c r="MQ5" i="40"/>
  <c r="MP5" i="40"/>
  <c r="MO5" i="40"/>
  <c r="MN5" i="40"/>
  <c r="MM5" i="40"/>
  <c r="ML5" i="40"/>
  <c r="MK5" i="40"/>
  <c r="MJ5" i="40"/>
  <c r="MI5" i="40"/>
  <c r="MH5" i="40"/>
  <c r="MG5" i="40"/>
  <c r="MF5" i="40"/>
  <c r="ME5" i="40"/>
  <c r="MD5" i="40"/>
  <c r="MC5" i="40"/>
  <c r="MB5" i="40"/>
  <c r="MA5" i="40"/>
  <c r="LZ5" i="40"/>
  <c r="LY5" i="40"/>
  <c r="LX5" i="40"/>
  <c r="LW5" i="40"/>
  <c r="LV5" i="40"/>
  <c r="LU5" i="40"/>
  <c r="LT5" i="40"/>
  <c r="LS5" i="40"/>
  <c r="LR5" i="40"/>
  <c r="LQ5" i="40"/>
  <c r="LP5" i="40"/>
  <c r="LO5" i="40"/>
  <c r="LN5" i="40"/>
  <c r="LM5" i="40"/>
  <c r="LL5" i="40"/>
  <c r="LK5" i="40"/>
  <c r="LJ5" i="40"/>
  <c r="LI5" i="40"/>
  <c r="LH5" i="40"/>
  <c r="LG5" i="40"/>
  <c r="LF5" i="40"/>
  <c r="LE5" i="40"/>
  <c r="LD5" i="40"/>
  <c r="LC5" i="40"/>
  <c r="LB5" i="40"/>
  <c r="LA5" i="40"/>
  <c r="KZ5" i="40"/>
  <c r="KY5" i="40"/>
  <c r="KX5" i="40"/>
  <c r="KW5" i="40"/>
  <c r="KV5" i="40"/>
  <c r="KU5" i="40"/>
  <c r="KT5" i="40"/>
  <c r="KS5" i="40"/>
  <c r="KR5" i="40"/>
  <c r="KQ5" i="40"/>
  <c r="KP5" i="40"/>
  <c r="KO5" i="40"/>
  <c r="KN5" i="40"/>
  <c r="KM5" i="40"/>
  <c r="KL5" i="40"/>
  <c r="KK5" i="40"/>
  <c r="KJ5" i="40"/>
  <c r="KI5" i="40"/>
  <c r="KH5" i="40"/>
  <c r="KG5" i="40"/>
  <c r="KF5" i="40"/>
  <c r="KE5" i="40"/>
  <c r="KD5" i="40"/>
  <c r="KC5" i="40"/>
  <c r="KB5" i="40"/>
  <c r="KA5" i="40"/>
  <c r="JZ5" i="40"/>
  <c r="JY5" i="40"/>
  <c r="JX5" i="40"/>
  <c r="JW5" i="40"/>
  <c r="JV5" i="40"/>
  <c r="JU5" i="40"/>
  <c r="JT5" i="40"/>
  <c r="JS5" i="40"/>
  <c r="JR5" i="40"/>
  <c r="JQ5" i="40"/>
  <c r="JP5" i="40"/>
  <c r="JO5" i="40"/>
  <c r="JN5" i="40"/>
  <c r="JM5" i="40"/>
  <c r="JL5" i="40"/>
  <c r="JK5" i="40"/>
  <c r="JJ5" i="40"/>
  <c r="JI5" i="40"/>
  <c r="JH5" i="40"/>
  <c r="JG5" i="40"/>
  <c r="JF5" i="40"/>
  <c r="JE5" i="40"/>
  <c r="JD5" i="40"/>
  <c r="JC5" i="40"/>
  <c r="JB5" i="40"/>
  <c r="JA5" i="40"/>
  <c r="IZ5" i="40"/>
  <c r="IY5" i="40"/>
  <c r="IX5" i="40"/>
  <c r="IW5" i="40"/>
  <c r="IV5" i="40"/>
  <c r="IU5" i="40"/>
  <c r="IT5" i="40"/>
  <c r="IS5" i="40"/>
  <c r="IR5" i="40"/>
  <c r="IQ5" i="40"/>
  <c r="IP5" i="40"/>
  <c r="IO5" i="40"/>
  <c r="IN5" i="40"/>
  <c r="IM5" i="40"/>
  <c r="IL5" i="40"/>
  <c r="IK5" i="40"/>
  <c r="IJ5" i="40"/>
  <c r="II5" i="40"/>
  <c r="IH5" i="40"/>
  <c r="IG5" i="40"/>
  <c r="IF5" i="40"/>
  <c r="IE5" i="40"/>
  <c r="ID5" i="40"/>
  <c r="IC5" i="40"/>
  <c r="IB5" i="40"/>
  <c r="IA5" i="40"/>
  <c r="HZ5" i="40"/>
  <c r="HY5" i="40"/>
  <c r="HX5" i="40"/>
  <c r="HW5" i="40"/>
  <c r="HV5" i="40"/>
  <c r="HU5" i="40"/>
  <c r="HT5" i="40"/>
  <c r="HS5" i="40"/>
  <c r="HR5" i="40"/>
  <c r="HQ5" i="40"/>
  <c r="HP5" i="40"/>
  <c r="HO5" i="40"/>
  <c r="HN5" i="40"/>
  <c r="HM5" i="40"/>
  <c r="HL5" i="40"/>
  <c r="HK5" i="40"/>
  <c r="HJ5" i="40"/>
  <c r="HI5" i="40"/>
  <c r="HH5" i="40"/>
  <c r="HG5" i="40"/>
  <c r="HF5" i="40"/>
  <c r="HE5" i="40"/>
  <c r="HD5" i="40"/>
  <c r="HC5" i="40"/>
  <c r="HB5" i="40"/>
  <c r="HA5" i="40"/>
  <c r="GZ5" i="40"/>
  <c r="GY5" i="40"/>
  <c r="GX5" i="40"/>
  <c r="GW5" i="40"/>
  <c r="GV5" i="40"/>
  <c r="GU5" i="40"/>
  <c r="GT5" i="40"/>
  <c r="GS5" i="40"/>
  <c r="GR5" i="40"/>
  <c r="GQ5" i="40"/>
  <c r="GP5" i="40"/>
  <c r="GO5" i="40"/>
  <c r="GN5" i="40"/>
  <c r="GM5" i="40"/>
  <c r="GL5" i="40"/>
  <c r="GK5" i="40"/>
  <c r="GJ5" i="40"/>
  <c r="GI5" i="40"/>
  <c r="GH5" i="40"/>
  <c r="GG5" i="40"/>
  <c r="GF5" i="40"/>
  <c r="GE5" i="40"/>
  <c r="GD5" i="40"/>
  <c r="GC5" i="40"/>
  <c r="GB5" i="40"/>
  <c r="GA5" i="40"/>
  <c r="FZ5" i="40"/>
  <c r="FY5" i="40"/>
  <c r="FX5" i="40"/>
  <c r="FW5" i="40"/>
  <c r="FV5" i="40"/>
  <c r="FU5" i="40"/>
  <c r="FT5" i="40"/>
  <c r="FS5" i="40"/>
  <c r="FR5" i="40"/>
  <c r="FQ5" i="40"/>
  <c r="FP5" i="40"/>
  <c r="FO5" i="40"/>
  <c r="FN5" i="40"/>
  <c r="FM5" i="40"/>
  <c r="FL5" i="40"/>
  <c r="FK5" i="40"/>
  <c r="FJ5" i="40"/>
  <c r="FI5" i="40"/>
  <c r="FH5" i="40"/>
  <c r="FG5" i="40"/>
  <c r="FF5" i="40"/>
  <c r="FE5" i="40"/>
  <c r="FD5" i="40"/>
  <c r="FC5" i="40"/>
  <c r="FB5" i="40"/>
  <c r="FA5" i="40"/>
  <c r="EZ5" i="40"/>
  <c r="EY5" i="40"/>
  <c r="EX5" i="40"/>
  <c r="EW5" i="40"/>
  <c r="EV5" i="40"/>
  <c r="EU5" i="40"/>
  <c r="ET5" i="40"/>
  <c r="ES5" i="40"/>
  <c r="ER5" i="40"/>
  <c r="EQ5" i="40"/>
  <c r="EP5" i="40"/>
  <c r="EO5" i="40"/>
  <c r="EN5" i="40"/>
  <c r="EM5" i="40"/>
  <c r="EL5" i="40"/>
  <c r="EK5" i="40"/>
  <c r="EJ5" i="40"/>
  <c r="EI5" i="40"/>
  <c r="EH5" i="40"/>
  <c r="EG5" i="40"/>
  <c r="EF5" i="40"/>
  <c r="EE5" i="40"/>
  <c r="ED5" i="40"/>
  <c r="EC5" i="40"/>
  <c r="EB5" i="40"/>
  <c r="EA5" i="40"/>
  <c r="DZ5" i="40"/>
  <c r="DY5" i="40"/>
  <c r="DX5" i="40"/>
  <c r="DW5" i="40"/>
  <c r="DV5" i="40"/>
  <c r="DU5" i="40"/>
  <c r="DT5" i="40"/>
  <c r="DS5" i="40"/>
  <c r="DR5" i="40"/>
  <c r="DQ5" i="40"/>
  <c r="DP5" i="40"/>
  <c r="DO5" i="40"/>
  <c r="DN5" i="40"/>
  <c r="DM5" i="40"/>
  <c r="DL5" i="40"/>
  <c r="DK5" i="40"/>
  <c r="DJ5" i="40"/>
  <c r="DI5" i="40"/>
  <c r="DH5" i="40"/>
  <c r="DG5" i="40"/>
  <c r="DF5" i="40"/>
  <c r="DE5" i="40"/>
  <c r="DD5" i="40"/>
  <c r="DC5" i="40"/>
  <c r="DB5" i="40"/>
  <c r="DA5" i="40"/>
  <c r="CZ5" i="40"/>
  <c r="CY5" i="40"/>
  <c r="CX5" i="40"/>
  <c r="CW5" i="40"/>
  <c r="CV5" i="40"/>
  <c r="CU5" i="40"/>
  <c r="CT5" i="40"/>
  <c r="CS5" i="40"/>
  <c r="CR5" i="40"/>
  <c r="CQ5" i="40"/>
  <c r="CP5" i="40"/>
  <c r="CO5" i="40"/>
  <c r="CN5" i="40"/>
  <c r="CM5" i="40"/>
  <c r="CL5" i="40"/>
  <c r="CK5" i="40"/>
  <c r="CJ5" i="40"/>
  <c r="CI5" i="40"/>
  <c r="CH5" i="40"/>
  <c r="CG5" i="40"/>
  <c r="CF5" i="40"/>
  <c r="CE5" i="40"/>
  <c r="CD5" i="40"/>
  <c r="CC5" i="40"/>
  <c r="CB5" i="40"/>
  <c r="CA5" i="40"/>
  <c r="BZ5" i="40"/>
  <c r="BY5" i="40"/>
  <c r="BX5" i="40"/>
  <c r="BW5" i="40"/>
  <c r="BV5" i="40"/>
  <c r="BU5" i="40"/>
  <c r="BT5" i="40"/>
  <c r="BS5" i="40"/>
  <c r="BR5" i="40"/>
  <c r="BQ5" i="40"/>
  <c r="BP5" i="40"/>
  <c r="BO5" i="40"/>
  <c r="BN5" i="40"/>
  <c r="BM5" i="40"/>
  <c r="BL5" i="40"/>
  <c r="BK5" i="40"/>
  <c r="BJ5" i="40"/>
  <c r="BI5" i="40"/>
  <c r="BH5" i="40"/>
  <c r="BG5" i="40"/>
  <c r="BF5" i="40"/>
  <c r="BE5"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Y5" i="40"/>
  <c r="X5" i="40"/>
  <c r="W5" i="40"/>
  <c r="V5" i="40"/>
  <c r="U5" i="40"/>
  <c r="T5" i="40"/>
  <c r="S5" i="40"/>
  <c r="R5" i="40"/>
  <c r="Q5" i="40"/>
  <c r="P5" i="40"/>
  <c r="O5" i="40"/>
  <c r="N5" i="40"/>
  <c r="M5" i="40"/>
  <c r="L5" i="40"/>
  <c r="K5" i="40"/>
  <c r="J5" i="40"/>
  <c r="I5" i="40"/>
  <c r="H5" i="40"/>
  <c r="G5" i="40"/>
  <c r="F5" i="40"/>
  <c r="E5" i="40"/>
  <c r="D5" i="40"/>
  <c r="C5" i="40"/>
  <c r="TB4" i="40"/>
  <c r="TA4" i="40"/>
  <c r="SZ4" i="40"/>
  <c r="SY4" i="40"/>
  <c r="SX4" i="40"/>
  <c r="SW4" i="40"/>
  <c r="SV4" i="40"/>
  <c r="SU4" i="40"/>
  <c r="ST4" i="40"/>
  <c r="SS4" i="40"/>
  <c r="SR4" i="40"/>
  <c r="SQ4" i="40"/>
  <c r="SP4" i="40"/>
  <c r="SO4" i="40"/>
  <c r="SN4" i="40"/>
  <c r="SM4" i="40"/>
  <c r="SL4" i="40"/>
  <c r="SK4" i="40"/>
  <c r="SJ4" i="40"/>
  <c r="SI4" i="40"/>
  <c r="SH4" i="40"/>
  <c r="SG4" i="40"/>
  <c r="SF4" i="40"/>
  <c r="SE4" i="40"/>
  <c r="SD4" i="40"/>
  <c r="SC4" i="40"/>
  <c r="SB4" i="40"/>
  <c r="SA4" i="40"/>
  <c r="RZ4" i="40"/>
  <c r="RY4" i="40"/>
  <c r="RX4" i="40"/>
  <c r="RW4" i="40"/>
  <c r="RV4" i="40"/>
  <c r="RU4" i="40"/>
  <c r="RT4" i="40"/>
  <c r="RS4" i="40"/>
  <c r="RR4" i="40"/>
  <c r="RQ4" i="40"/>
  <c r="RP4" i="40"/>
  <c r="RO4" i="40"/>
  <c r="RN4" i="40"/>
  <c r="RM4" i="40"/>
  <c r="RL4" i="40"/>
  <c r="RK4" i="40"/>
  <c r="RJ4" i="40"/>
  <c r="RI4" i="40"/>
  <c r="RH4" i="40"/>
  <c r="RG4" i="40"/>
  <c r="RF4" i="40"/>
  <c r="RE4" i="40"/>
  <c r="RD4" i="40"/>
  <c r="RC4" i="40"/>
  <c r="RB4" i="40"/>
  <c r="RA4" i="40"/>
  <c r="QZ4" i="40"/>
  <c r="QY4" i="40"/>
  <c r="QX4" i="40"/>
  <c r="QW4" i="40"/>
  <c r="QV4" i="40"/>
  <c r="QU4" i="40"/>
  <c r="QT4" i="40"/>
  <c r="QS4" i="40"/>
  <c r="QR4" i="40"/>
  <c r="QQ4" i="40"/>
  <c r="QP4" i="40"/>
  <c r="QO4" i="40"/>
  <c r="QN4" i="40"/>
  <c r="QM4" i="40"/>
  <c r="QL4" i="40"/>
  <c r="QK4" i="40"/>
  <c r="QJ4" i="40"/>
  <c r="QI4" i="40"/>
  <c r="QH4" i="40"/>
  <c r="QG4" i="40"/>
  <c r="QF4" i="40"/>
  <c r="QE4" i="40"/>
  <c r="QD4" i="40"/>
  <c r="QC4" i="40"/>
  <c r="QB4" i="40"/>
  <c r="QA4" i="40"/>
  <c r="PZ4" i="40"/>
  <c r="PY4" i="40"/>
  <c r="PX4" i="40"/>
  <c r="PW4" i="40"/>
  <c r="PV4" i="40"/>
  <c r="PU4" i="40"/>
  <c r="PT4" i="40"/>
  <c r="PS4" i="40"/>
  <c r="PR4" i="40"/>
  <c r="PQ4" i="40"/>
  <c r="PP4" i="40"/>
  <c r="PO4" i="40"/>
  <c r="PN4" i="40"/>
  <c r="PM4" i="40"/>
  <c r="PL4" i="40"/>
  <c r="PK4" i="40"/>
  <c r="PJ4" i="40"/>
  <c r="PI4" i="40"/>
  <c r="PH4" i="40"/>
  <c r="PG4" i="40"/>
  <c r="PF4" i="40"/>
  <c r="PE4" i="40"/>
  <c r="PD4" i="40"/>
  <c r="PC4" i="40"/>
  <c r="PB4" i="40"/>
  <c r="PA4" i="40"/>
  <c r="OZ4" i="40"/>
  <c r="OY4" i="40"/>
  <c r="OX4" i="40"/>
  <c r="OW4" i="40"/>
  <c r="OV4" i="40"/>
  <c r="OU4" i="40"/>
  <c r="OT4" i="40"/>
  <c r="OS4" i="40"/>
  <c r="OR4" i="40"/>
  <c r="OQ4" i="40"/>
  <c r="OP4" i="40"/>
  <c r="OO4" i="40"/>
  <c r="ON4" i="40"/>
  <c r="OM4" i="40"/>
  <c r="OL4" i="40"/>
  <c r="OK4" i="40"/>
  <c r="OJ4" i="40"/>
  <c r="OI4" i="40"/>
  <c r="OH4" i="40"/>
  <c r="OG4" i="40"/>
  <c r="OF4" i="40"/>
  <c r="OE4" i="40"/>
  <c r="OD4" i="40"/>
  <c r="OC4" i="40"/>
  <c r="OB4" i="40"/>
  <c r="OA4" i="40"/>
  <c r="NZ4" i="40"/>
  <c r="NY4" i="40"/>
  <c r="NX4" i="40"/>
  <c r="NW4" i="40"/>
  <c r="NV4" i="40"/>
  <c r="NU4" i="40"/>
  <c r="NT4" i="40"/>
  <c r="NS4" i="40"/>
  <c r="NR4" i="40"/>
  <c r="NQ4" i="40"/>
  <c r="NP4" i="40"/>
  <c r="NO4" i="40"/>
  <c r="NN4" i="40"/>
  <c r="NM4" i="40"/>
  <c r="NL4" i="40"/>
  <c r="NK4" i="40"/>
  <c r="NJ4" i="40"/>
  <c r="NI4" i="40"/>
  <c r="NH4" i="40"/>
  <c r="NG4" i="40"/>
  <c r="NF4" i="40"/>
  <c r="NE4" i="40"/>
  <c r="ND4" i="40"/>
  <c r="NC4" i="40"/>
  <c r="NB4" i="40"/>
  <c r="NA4" i="40"/>
  <c r="MZ4" i="40"/>
  <c r="MY4" i="40"/>
  <c r="MX4" i="40"/>
  <c r="MW4" i="40"/>
  <c r="MV4" i="40"/>
  <c r="MU4" i="40"/>
  <c r="MT4" i="40"/>
  <c r="MS4" i="40"/>
  <c r="MR4" i="40"/>
  <c r="MQ4" i="40"/>
  <c r="MP4" i="40"/>
  <c r="MO4" i="40"/>
  <c r="MN4" i="40"/>
  <c r="MM4" i="40"/>
  <c r="ML4" i="40"/>
  <c r="MK4" i="40"/>
  <c r="MJ4" i="40"/>
  <c r="MI4" i="40"/>
  <c r="MH4" i="40"/>
  <c r="MG4" i="40"/>
  <c r="MF4" i="40"/>
  <c r="ME4" i="40"/>
  <c r="MD4" i="40"/>
  <c r="MC4" i="40"/>
  <c r="MB4" i="40"/>
  <c r="MA4" i="40"/>
  <c r="LZ4" i="40"/>
  <c r="LY4" i="40"/>
  <c r="LX4" i="40"/>
  <c r="LW4" i="40"/>
  <c r="LV4" i="40"/>
  <c r="LU4" i="40"/>
  <c r="LT4" i="40"/>
  <c r="LS4" i="40"/>
  <c r="LR4" i="40"/>
  <c r="LQ4" i="40"/>
  <c r="LP4" i="40"/>
  <c r="LO4" i="40"/>
  <c r="LN4" i="40"/>
  <c r="LM4" i="40"/>
  <c r="LL4" i="40"/>
  <c r="LK4" i="40"/>
  <c r="LJ4" i="40"/>
  <c r="LI4" i="40"/>
  <c r="LH4" i="40"/>
  <c r="LG4" i="40"/>
  <c r="LF4" i="40"/>
  <c r="LD4" i="40"/>
  <c r="LC4" i="40"/>
  <c r="LB4" i="40"/>
  <c r="LA4" i="40"/>
  <c r="KZ4" i="40"/>
  <c r="KY4" i="40"/>
  <c r="KX4" i="40"/>
  <c r="KW4" i="40"/>
  <c r="KV4" i="40"/>
  <c r="KU4" i="40"/>
  <c r="KT4" i="40"/>
  <c r="KS4" i="40"/>
  <c r="KR4" i="40"/>
  <c r="KQ4" i="40"/>
  <c r="KP4" i="40"/>
  <c r="KO4" i="40"/>
  <c r="KN4" i="40"/>
  <c r="KM4" i="40"/>
  <c r="KL4" i="40"/>
  <c r="KK4" i="40"/>
  <c r="KJ4" i="40"/>
  <c r="KI4" i="40"/>
  <c r="KH4" i="40"/>
  <c r="KG4" i="40"/>
  <c r="KF4" i="40"/>
  <c r="KE4" i="40"/>
  <c r="KD4" i="40"/>
  <c r="KC4" i="40"/>
  <c r="KB4" i="40"/>
  <c r="KA4" i="40"/>
  <c r="JZ4" i="40"/>
  <c r="JY4" i="40"/>
  <c r="JX4" i="40"/>
  <c r="JW4" i="40"/>
  <c r="JV4" i="40"/>
  <c r="JU4" i="40"/>
  <c r="JT4" i="40"/>
  <c r="JS4" i="40"/>
  <c r="JR4" i="40"/>
  <c r="JQ4" i="40"/>
  <c r="JP4" i="40"/>
  <c r="JO4" i="40"/>
  <c r="JN4" i="40"/>
  <c r="JM4" i="40"/>
  <c r="JL4" i="40"/>
  <c r="JK4" i="40"/>
  <c r="JJ4" i="40"/>
  <c r="JI4" i="40"/>
  <c r="JH4" i="40"/>
  <c r="JG4" i="40"/>
  <c r="JF4" i="40"/>
  <c r="JE4" i="40"/>
  <c r="JD4" i="40"/>
  <c r="JC4" i="40"/>
  <c r="JB4" i="40"/>
  <c r="JA4" i="40"/>
  <c r="IZ4" i="40"/>
  <c r="IY4" i="40"/>
  <c r="IX4" i="40"/>
  <c r="IW4" i="40"/>
  <c r="IV4" i="40"/>
  <c r="IU4" i="40"/>
  <c r="IT4" i="40"/>
  <c r="IS4" i="40"/>
  <c r="IR4" i="40"/>
  <c r="IQ4" i="40"/>
  <c r="IP4" i="40"/>
  <c r="IO4" i="40"/>
  <c r="IN4" i="40"/>
  <c r="IM4" i="40"/>
  <c r="IL4" i="40"/>
  <c r="IK4" i="40"/>
  <c r="IJ4" i="40"/>
  <c r="II4" i="40"/>
  <c r="IH4" i="40"/>
  <c r="IG4" i="40"/>
  <c r="IF4" i="40"/>
  <c r="IE4" i="40"/>
  <c r="ID4" i="40"/>
  <c r="IC4" i="40"/>
  <c r="IB4" i="40"/>
  <c r="IA4" i="40"/>
  <c r="HZ4" i="40"/>
  <c r="HY4" i="40"/>
  <c r="HX4" i="40"/>
  <c r="HW4" i="40"/>
  <c r="HV4" i="40"/>
  <c r="HU4" i="40"/>
  <c r="HT4" i="40"/>
  <c r="HS4" i="40"/>
  <c r="HR4" i="40"/>
  <c r="HQ4" i="40"/>
  <c r="HP4" i="40"/>
  <c r="HO4" i="40"/>
  <c r="HN4" i="40"/>
  <c r="HM4" i="40"/>
  <c r="HL4" i="40"/>
  <c r="HK4" i="40"/>
  <c r="HJ4" i="40"/>
  <c r="HI4" i="40"/>
  <c r="HH4" i="40"/>
  <c r="HG4" i="40"/>
  <c r="HF4" i="40"/>
  <c r="HE4" i="40"/>
  <c r="HD4" i="40"/>
  <c r="HC4" i="40"/>
  <c r="HB4" i="40"/>
  <c r="HA4" i="40"/>
  <c r="GZ4" i="40"/>
  <c r="GY4" i="40"/>
  <c r="GX4" i="40"/>
  <c r="GW4" i="40"/>
  <c r="GV4" i="40"/>
  <c r="GU4" i="40"/>
  <c r="GT4" i="40"/>
  <c r="GS4" i="40"/>
  <c r="GR4" i="40"/>
  <c r="GQ4" i="40"/>
  <c r="GP4" i="40"/>
  <c r="GO4" i="40"/>
  <c r="GN4" i="40"/>
  <c r="GM4" i="40"/>
  <c r="GL4" i="40"/>
  <c r="GK4" i="40"/>
  <c r="GJ4" i="40"/>
  <c r="GI4" i="40"/>
  <c r="GH4" i="40"/>
  <c r="GG4" i="40"/>
  <c r="GF4" i="40"/>
  <c r="GE4" i="40"/>
  <c r="GD4" i="40"/>
  <c r="GC4" i="40"/>
  <c r="GB4" i="40"/>
  <c r="GA4" i="40"/>
  <c r="FZ4" i="40"/>
  <c r="FY4" i="40"/>
  <c r="FX4" i="40"/>
  <c r="FW4" i="40"/>
  <c r="FV4" i="40"/>
  <c r="FU4" i="40"/>
  <c r="FT4" i="40"/>
  <c r="FS4" i="40"/>
  <c r="FR4" i="40"/>
  <c r="FQ4" i="40"/>
  <c r="FP4" i="40"/>
  <c r="FO4" i="40"/>
  <c r="FN4" i="40"/>
  <c r="FM4" i="40"/>
  <c r="FL4" i="40"/>
  <c r="FK4" i="40"/>
  <c r="FJ4" i="40"/>
  <c r="FI4" i="40"/>
  <c r="FB4" i="40"/>
  <c r="FA4" i="40"/>
  <c r="EZ4" i="40"/>
  <c r="EY4" i="40"/>
  <c r="EX4" i="40"/>
  <c r="EW4" i="40"/>
  <c r="EV4" i="40"/>
  <c r="EU4" i="40"/>
  <c r="ET4" i="40"/>
  <c r="ES4" i="40"/>
  <c r="ER4" i="40"/>
  <c r="EQ4" i="40"/>
  <c r="EP4" i="40"/>
  <c r="EO4" i="40"/>
  <c r="EN4" i="40"/>
  <c r="EM4" i="40"/>
  <c r="EL4" i="40"/>
  <c r="EK4" i="40"/>
  <c r="EJ4" i="40"/>
  <c r="EI4" i="40"/>
  <c r="EH4" i="40"/>
  <c r="EG4" i="40"/>
  <c r="EF4" i="40"/>
  <c r="EE4" i="40"/>
  <c r="ED4" i="40"/>
  <c r="EC4" i="40"/>
  <c r="EB4" i="40"/>
  <c r="EA4" i="40"/>
  <c r="DZ4" i="40"/>
  <c r="DY4" i="40"/>
  <c r="DX4" i="40"/>
  <c r="DW4" i="40"/>
  <c r="DV4" i="40"/>
  <c r="DU4" i="40"/>
  <c r="DT4" i="40"/>
  <c r="DS4" i="40"/>
  <c r="DR4" i="40"/>
  <c r="DQ4" i="40"/>
  <c r="DP4" i="40"/>
  <c r="DO4" i="40"/>
  <c r="DN4" i="40"/>
  <c r="DM4" i="40"/>
  <c r="DL4" i="40"/>
  <c r="DK4" i="40"/>
  <c r="DJ4" i="40"/>
  <c r="DI4" i="40"/>
  <c r="DH4" i="40"/>
  <c r="DG4" i="40"/>
  <c r="DF4" i="40"/>
  <c r="DE4" i="40"/>
  <c r="DD4" i="40"/>
  <c r="DC4" i="40"/>
  <c r="DB4" i="40"/>
  <c r="DA4" i="40"/>
  <c r="CZ4" i="40"/>
  <c r="CY4" i="40"/>
  <c r="CX4" i="40"/>
  <c r="CW4" i="40"/>
  <c r="CV4" i="40"/>
  <c r="CU4" i="40"/>
  <c r="CT4" i="40"/>
  <c r="CS4" i="40"/>
  <c r="CR4" i="40"/>
  <c r="CQ4" i="40"/>
  <c r="CP4" i="40"/>
  <c r="CO4" i="40"/>
  <c r="CN4" i="40"/>
  <c r="CM4" i="40"/>
  <c r="CL4" i="40"/>
  <c r="CK4" i="40"/>
  <c r="CJ4" i="40"/>
  <c r="CI4" i="40"/>
  <c r="CH4" i="40"/>
  <c r="CG4" i="40"/>
  <c r="CF4" i="40"/>
  <c r="CE4" i="40"/>
  <c r="CD4" i="40"/>
  <c r="CC4" i="40"/>
  <c r="CB4" i="40"/>
  <c r="CA4" i="40"/>
  <c r="BZ4" i="40"/>
  <c r="BY4" i="40"/>
  <c r="BX4" i="40"/>
  <c r="BW4" i="40"/>
  <c r="BV4" i="40"/>
  <c r="BU4" i="40"/>
  <c r="BT4" i="40"/>
  <c r="BS4" i="40"/>
  <c r="BR4" i="40"/>
  <c r="BQ4" i="40"/>
  <c r="BP4" i="40"/>
  <c r="BO4" i="40"/>
  <c r="BN4" i="40"/>
  <c r="BM4" i="40"/>
  <c r="BL4" i="40"/>
  <c r="BK4" i="40"/>
  <c r="BJ4" i="40"/>
  <c r="BI4" i="40"/>
  <c r="BH4" i="40"/>
  <c r="BG4" i="40"/>
  <c r="BF4" i="40"/>
  <c r="BE4" i="40"/>
  <c r="BD4" i="40"/>
  <c r="BC4" i="40"/>
  <c r="BB4" i="40"/>
  <c r="BA4" i="40"/>
  <c r="AZ4" i="40"/>
  <c r="AY4" i="40"/>
  <c r="AX4" i="40"/>
  <c r="AW4" i="40"/>
  <c r="AV4" i="40"/>
  <c r="AU4" i="40"/>
  <c r="AT4" i="40"/>
  <c r="AS4" i="40"/>
  <c r="AR4" i="40"/>
  <c r="AQ4" i="40"/>
  <c r="AP4" i="40"/>
  <c r="AO4" i="40"/>
  <c r="AN4" i="40"/>
  <c r="AM4" i="40"/>
  <c r="AL4" i="40"/>
  <c r="AK4" i="40"/>
  <c r="AJ4" i="40"/>
  <c r="AI4" i="40"/>
  <c r="AH4" i="40"/>
  <c r="AG4" i="40"/>
  <c r="AF4" i="40"/>
  <c r="AE4" i="40"/>
  <c r="X4" i="40"/>
  <c r="W4" i="40"/>
  <c r="V4" i="40"/>
  <c r="T4" i="40"/>
  <c r="S4" i="40"/>
  <c r="R4" i="40"/>
  <c r="P4" i="40"/>
  <c r="O4" i="40"/>
  <c r="N4" i="40"/>
  <c r="L4" i="40"/>
  <c r="K4" i="40"/>
  <c r="J4" i="40"/>
  <c r="I4" i="40"/>
  <c r="H4" i="40"/>
  <c r="G4" i="40"/>
  <c r="E4" i="40"/>
  <c r="D4" i="40"/>
  <c r="C4" i="40"/>
  <c r="BB3" i="40"/>
  <c r="BA3" i="40"/>
  <c r="AZ3" i="40"/>
  <c r="AY3" i="40"/>
  <c r="AX3" i="40"/>
  <c r="AW3" i="40"/>
  <c r="AV3" i="40"/>
  <c r="AU3" i="40"/>
  <c r="AT3" i="40"/>
  <c r="AS3" i="40"/>
  <c r="AR3" i="40"/>
  <c r="AQ3" i="40"/>
  <c r="AP3" i="40"/>
  <c r="AO3" i="40"/>
  <c r="AN3" i="40"/>
  <c r="AM3" i="40"/>
  <c r="AL3" i="40"/>
  <c r="AK3" i="40"/>
  <c r="AJ3" i="40"/>
  <c r="AI3" i="40"/>
  <c r="AH3" i="40"/>
  <c r="AG3" i="40"/>
  <c r="AF3" i="40"/>
  <c r="AE3" i="40"/>
  <c r="P3" i="40"/>
  <c r="O3" i="40"/>
  <c r="N3" i="40"/>
  <c r="L3" i="40"/>
  <c r="K3" i="40"/>
  <c r="J3" i="40"/>
  <c r="I3" i="40"/>
  <c r="H3" i="40"/>
  <c r="X3" i="40"/>
  <c r="W3" i="40"/>
  <c r="V3" i="40"/>
  <c r="T3" i="40"/>
  <c r="S3" i="40"/>
  <c r="R3" i="40"/>
  <c r="G3" i="40"/>
  <c r="E3" i="40"/>
  <c r="D3" i="40"/>
  <c r="C3" i="40"/>
  <c r="TB3" i="40"/>
  <c r="TA3" i="40"/>
  <c r="SZ3" i="40"/>
  <c r="SY3" i="40"/>
  <c r="SX3" i="40"/>
  <c r="SW3" i="40"/>
  <c r="SV3" i="40"/>
  <c r="SU3" i="40"/>
  <c r="ST3" i="40"/>
  <c r="SS3" i="40"/>
  <c r="SR3" i="40"/>
  <c r="SQ3" i="40"/>
  <c r="SP3" i="40"/>
  <c r="SO3" i="40"/>
  <c r="SN3" i="40"/>
  <c r="SM3" i="40"/>
  <c r="SL3" i="40"/>
  <c r="SK3" i="40"/>
  <c r="SJ3" i="40"/>
  <c r="SI3" i="40"/>
  <c r="SH3" i="40"/>
  <c r="SG3" i="40"/>
  <c r="SF3" i="40"/>
  <c r="SE3" i="40"/>
  <c r="SD3" i="40"/>
  <c r="SC3" i="40"/>
  <c r="SB3" i="40"/>
  <c r="SA3" i="40"/>
  <c r="RZ3" i="40"/>
  <c r="RY3" i="40"/>
  <c r="RX3" i="40"/>
  <c r="RW3" i="40"/>
  <c r="RV3" i="40"/>
  <c r="RU3" i="40"/>
  <c r="RT3" i="40"/>
  <c r="RS3" i="40"/>
  <c r="RR3" i="40"/>
  <c r="RQ3" i="40"/>
  <c r="RP3" i="40"/>
  <c r="RO3" i="40"/>
  <c r="RN3" i="40"/>
  <c r="RM3" i="40"/>
  <c r="RL3" i="40"/>
  <c r="RK3" i="40"/>
  <c r="RJ3" i="40"/>
  <c r="RI3" i="40"/>
  <c r="RH3" i="40"/>
  <c r="RG3" i="40"/>
  <c r="RF3" i="40"/>
  <c r="RE3" i="40"/>
  <c r="RD3" i="40"/>
  <c r="RC3" i="40"/>
  <c r="RB3" i="40"/>
  <c r="RA3" i="40"/>
  <c r="QZ3" i="40"/>
  <c r="QY3" i="40"/>
  <c r="QX3" i="40"/>
  <c r="QW3" i="40"/>
  <c r="QV3" i="40"/>
  <c r="QU3" i="40"/>
  <c r="QT3" i="40"/>
  <c r="QS3" i="40"/>
  <c r="QR3" i="40"/>
  <c r="QQ3" i="40"/>
  <c r="QP3" i="40"/>
  <c r="QO3" i="40"/>
  <c r="QN3" i="40"/>
  <c r="QM3" i="40"/>
  <c r="QL3" i="40"/>
  <c r="QK3" i="40"/>
  <c r="QJ3" i="40"/>
  <c r="QI3" i="40"/>
  <c r="QH3" i="40"/>
  <c r="QG3" i="40"/>
  <c r="QF3" i="40"/>
  <c r="QE3" i="40"/>
  <c r="QD3" i="40"/>
  <c r="QC3" i="40"/>
  <c r="QB3" i="40"/>
  <c r="QA3" i="40"/>
  <c r="PZ3" i="40"/>
  <c r="PY3" i="40"/>
  <c r="PX3" i="40"/>
  <c r="PW3" i="40"/>
  <c r="PV3" i="40"/>
  <c r="PU3" i="40"/>
  <c r="PT3" i="40"/>
  <c r="PS3" i="40"/>
  <c r="PR3" i="40"/>
  <c r="PQ3" i="40"/>
  <c r="PP3" i="40"/>
  <c r="PO3" i="40"/>
  <c r="PN3" i="40"/>
  <c r="PM3" i="40"/>
  <c r="PL3" i="40"/>
  <c r="PK3" i="40"/>
  <c r="PJ3" i="40"/>
  <c r="PI3" i="40"/>
  <c r="PH3" i="40"/>
  <c r="PG3" i="40"/>
  <c r="PF3" i="40"/>
  <c r="PE3" i="40"/>
  <c r="PD3" i="40"/>
  <c r="PC3" i="40"/>
  <c r="PB3" i="40"/>
  <c r="PA3" i="40"/>
  <c r="OZ3" i="40"/>
  <c r="OY3" i="40"/>
  <c r="OX3" i="40"/>
  <c r="OW3" i="40"/>
  <c r="OV3" i="40"/>
  <c r="OU3" i="40"/>
  <c r="OT3" i="40"/>
  <c r="OS3" i="40"/>
  <c r="OR3" i="40"/>
  <c r="OQ3" i="40"/>
  <c r="OP3" i="40"/>
  <c r="OO3" i="40"/>
  <c r="ON3" i="40"/>
  <c r="OM3" i="40"/>
  <c r="OL3" i="40"/>
  <c r="OK3" i="40"/>
  <c r="OJ3" i="40"/>
  <c r="OI3" i="40"/>
  <c r="OH3" i="40"/>
  <c r="OG3" i="40"/>
  <c r="OF3" i="40"/>
  <c r="OE3" i="40"/>
  <c r="OD3" i="40"/>
  <c r="OC3" i="40"/>
  <c r="OB3" i="40"/>
  <c r="OA3" i="40"/>
  <c r="NZ3" i="40"/>
  <c r="NY3" i="40"/>
  <c r="NX3" i="40"/>
  <c r="NW3" i="40"/>
  <c r="NV3" i="40"/>
  <c r="NU3" i="40"/>
  <c r="NT3" i="40"/>
  <c r="NS3" i="40"/>
  <c r="NR3" i="40"/>
  <c r="NQ3" i="40"/>
  <c r="NP3" i="40"/>
  <c r="NO3" i="40"/>
  <c r="NN3" i="40"/>
  <c r="NM3" i="40"/>
  <c r="NL3" i="40"/>
  <c r="NK3" i="40"/>
  <c r="NJ3" i="40"/>
  <c r="NI3" i="40"/>
  <c r="NH3" i="40"/>
  <c r="NG3" i="40"/>
  <c r="NF3" i="40"/>
  <c r="NE3" i="40"/>
  <c r="ND3" i="40"/>
  <c r="NC3" i="40"/>
  <c r="NB3" i="40"/>
  <c r="NA3" i="40"/>
  <c r="MZ3" i="40"/>
  <c r="MY3" i="40"/>
  <c r="MX3" i="40"/>
  <c r="MW3" i="40"/>
  <c r="MV3" i="40"/>
  <c r="MU3" i="40"/>
  <c r="MT3" i="40"/>
  <c r="MS3" i="40"/>
  <c r="MR3" i="40"/>
  <c r="MQ3" i="40"/>
  <c r="MP3" i="40"/>
  <c r="MO3" i="40"/>
  <c r="MN3" i="40"/>
  <c r="MM3" i="40"/>
  <c r="ML3" i="40"/>
  <c r="MK3" i="40"/>
  <c r="MJ3" i="40"/>
  <c r="MI3" i="40"/>
  <c r="MH3" i="40"/>
  <c r="MG3" i="40"/>
  <c r="MF3" i="40"/>
  <c r="ME3" i="40"/>
  <c r="MD3" i="40"/>
  <c r="MC3" i="40"/>
  <c r="MB3" i="40"/>
  <c r="MA3" i="40"/>
  <c r="LZ3" i="40"/>
  <c r="LY3" i="40"/>
  <c r="LX3" i="40"/>
  <c r="LW3" i="40"/>
  <c r="LV3" i="40"/>
  <c r="LU3" i="40"/>
  <c r="LT3" i="40"/>
  <c r="LS3" i="40"/>
  <c r="LR3" i="40"/>
  <c r="LQ3" i="40"/>
  <c r="LP3" i="40"/>
  <c r="LO3" i="40"/>
  <c r="LN3" i="40"/>
  <c r="LM3" i="40"/>
  <c r="LL3" i="40"/>
  <c r="LK3" i="40"/>
  <c r="LJ3" i="40"/>
  <c r="LI3" i="40"/>
  <c r="LB3" i="40"/>
  <c r="LA3" i="40"/>
  <c r="KZ3" i="40"/>
  <c r="KY3" i="40"/>
  <c r="KX3" i="40"/>
  <c r="KW3" i="40"/>
  <c r="KV3" i="40"/>
  <c r="KU3" i="40"/>
  <c r="KT3" i="40"/>
  <c r="KS3" i="40"/>
  <c r="KR3" i="40"/>
  <c r="KQ3" i="40"/>
  <c r="KP3" i="40"/>
  <c r="KO3" i="40"/>
  <c r="KN3" i="40"/>
  <c r="KM3" i="40"/>
  <c r="KL3" i="40"/>
  <c r="KK3" i="40"/>
  <c r="KJ3" i="40"/>
  <c r="KI3" i="40"/>
  <c r="KH3" i="40"/>
  <c r="KG3" i="40"/>
  <c r="KF3" i="40"/>
  <c r="KE3" i="40"/>
  <c r="KD3" i="40"/>
  <c r="KC3" i="40"/>
  <c r="KB3" i="40"/>
  <c r="KA3" i="40"/>
  <c r="JZ3" i="40"/>
  <c r="JY3" i="40"/>
  <c r="JX3" i="40"/>
  <c r="JW3" i="40"/>
  <c r="JV3" i="40"/>
  <c r="JU3" i="40"/>
  <c r="JT3" i="40"/>
  <c r="JS3" i="40"/>
  <c r="JR3" i="40"/>
  <c r="JQ3" i="40"/>
  <c r="JP3" i="40"/>
  <c r="JO3" i="40"/>
  <c r="JN3" i="40"/>
  <c r="JM3" i="40"/>
  <c r="JL3" i="40"/>
  <c r="JK3" i="40"/>
  <c r="JJ3" i="40"/>
  <c r="JI3" i="40"/>
  <c r="JH3" i="40"/>
  <c r="JG3" i="40"/>
  <c r="JF3" i="40"/>
  <c r="JE3" i="40"/>
  <c r="JD3" i="40"/>
  <c r="JC3" i="40"/>
  <c r="JB3" i="40"/>
  <c r="JA3" i="40"/>
  <c r="IZ3" i="40"/>
  <c r="IY3" i="40"/>
  <c r="IX3" i="40"/>
  <c r="IW3" i="40"/>
  <c r="IV3" i="40"/>
  <c r="IU3" i="40"/>
  <c r="IT3" i="40"/>
  <c r="IS3" i="40"/>
  <c r="IR3" i="40"/>
  <c r="IQ3" i="40"/>
  <c r="IP3" i="40"/>
  <c r="IO3" i="40"/>
  <c r="IN3" i="40"/>
  <c r="IM3" i="40"/>
  <c r="IL3" i="40"/>
  <c r="IK3" i="40"/>
  <c r="IJ3" i="40"/>
  <c r="II3" i="40"/>
  <c r="IH3" i="40"/>
  <c r="IG3" i="40"/>
  <c r="IF3" i="40"/>
  <c r="IE3" i="40"/>
  <c r="ID3" i="40"/>
  <c r="IC3" i="40"/>
  <c r="IB3" i="40"/>
  <c r="IA3" i="40"/>
  <c r="HZ3" i="40"/>
  <c r="HY3" i="40"/>
  <c r="HX3" i="40"/>
  <c r="HW3" i="40"/>
  <c r="HV3" i="40"/>
  <c r="HU3" i="40"/>
  <c r="HT3" i="40"/>
  <c r="HS3" i="40"/>
  <c r="HR3" i="40"/>
  <c r="HQ3" i="40"/>
  <c r="HP3" i="40"/>
  <c r="HO3" i="40"/>
  <c r="HN3" i="40"/>
  <c r="HM3" i="40"/>
  <c r="HL3" i="40"/>
  <c r="HK3" i="40"/>
  <c r="HJ3" i="40"/>
  <c r="HI3" i="40"/>
  <c r="HH3" i="40"/>
  <c r="HG3" i="40"/>
  <c r="HF3" i="40"/>
  <c r="HE3" i="40"/>
  <c r="HD3" i="40"/>
  <c r="HC3" i="40"/>
  <c r="HB3" i="40"/>
  <c r="HA3" i="40"/>
  <c r="GZ3" i="40"/>
  <c r="GY3" i="40"/>
  <c r="GX3" i="40"/>
  <c r="GW3" i="40"/>
  <c r="GV3" i="40"/>
  <c r="GU3" i="40"/>
  <c r="GT3" i="40"/>
  <c r="GS3" i="40"/>
  <c r="GR3" i="40"/>
  <c r="GQ3" i="40"/>
  <c r="GP3" i="40"/>
  <c r="GO3" i="40"/>
  <c r="GN3" i="40"/>
  <c r="GM3" i="40"/>
  <c r="GL3" i="40"/>
  <c r="GK3" i="40"/>
  <c r="GJ3" i="40"/>
  <c r="GI3" i="40"/>
  <c r="GH3" i="40"/>
  <c r="GG3" i="40"/>
  <c r="GF3" i="40"/>
  <c r="GE3" i="40"/>
  <c r="GD3" i="40"/>
  <c r="GC3" i="40"/>
  <c r="GB3" i="40"/>
  <c r="GA3" i="40"/>
  <c r="FZ3" i="40"/>
  <c r="FY3" i="40"/>
  <c r="FX3" i="40"/>
  <c r="FW3" i="40"/>
  <c r="FV3" i="40"/>
  <c r="FU3" i="40"/>
  <c r="FT3" i="40"/>
  <c r="FS3" i="40"/>
  <c r="FR3" i="40"/>
  <c r="FQ3" i="40"/>
  <c r="FP3" i="40"/>
  <c r="FO3" i="40"/>
  <c r="FN3" i="40"/>
  <c r="FM3" i="40"/>
  <c r="FL3" i="40"/>
  <c r="FK3" i="40"/>
  <c r="FB3" i="40"/>
  <c r="FA3" i="40"/>
  <c r="EZ3" i="40"/>
  <c r="EY3" i="40"/>
  <c r="EX3" i="40"/>
  <c r="EW3" i="40"/>
  <c r="EV3" i="40"/>
  <c r="EU3" i="40"/>
  <c r="ET3" i="40"/>
  <c r="ES3" i="40"/>
  <c r="ER3" i="40"/>
  <c r="EQ3" i="40"/>
  <c r="EP3" i="40"/>
  <c r="EO3" i="40"/>
  <c r="EN3" i="40"/>
  <c r="EM3" i="40"/>
  <c r="EL3" i="40"/>
  <c r="EK3" i="40"/>
  <c r="EJ3" i="40"/>
  <c r="EI3" i="40"/>
  <c r="EH3" i="40"/>
  <c r="EG3" i="40"/>
  <c r="EF3" i="40"/>
  <c r="EE3" i="40"/>
  <c r="ED3" i="40"/>
  <c r="EC3" i="40"/>
  <c r="EB3" i="40"/>
  <c r="EA3" i="40"/>
  <c r="DZ3" i="40"/>
  <c r="DY3" i="40"/>
  <c r="DX3" i="40"/>
  <c r="DW3" i="40"/>
  <c r="DV3" i="40"/>
  <c r="DU3" i="40"/>
  <c r="DT3" i="40"/>
  <c r="DS3" i="40"/>
  <c r="DR3" i="40"/>
  <c r="DQ3" i="40"/>
  <c r="DP3" i="40"/>
  <c r="DO3" i="40"/>
  <c r="DN3" i="40"/>
  <c r="DM3" i="40"/>
  <c r="DL3" i="40"/>
  <c r="DK3" i="40"/>
  <c r="DJ3" i="40"/>
  <c r="DI3" i="40"/>
  <c r="DH3" i="40"/>
  <c r="DG3" i="40"/>
  <c r="DF3" i="40"/>
  <c r="DE3" i="40"/>
  <c r="DD3" i="40"/>
  <c r="DC3" i="40"/>
  <c r="DB3" i="40"/>
  <c r="DA3" i="40"/>
  <c r="CZ3" i="40"/>
  <c r="CY3" i="40"/>
  <c r="CX3" i="40"/>
  <c r="CW3" i="40"/>
  <c r="CV3" i="40"/>
  <c r="CU3" i="40"/>
  <c r="CT3" i="40"/>
  <c r="CS3" i="40"/>
  <c r="CR3" i="40"/>
  <c r="CQ3" i="40"/>
  <c r="CP3" i="40"/>
  <c r="CO3" i="40"/>
  <c r="CN3" i="40"/>
  <c r="CM3" i="40"/>
  <c r="CL3" i="40"/>
  <c r="CK3" i="40"/>
  <c r="CJ3" i="40"/>
  <c r="CI3" i="40"/>
  <c r="CH3" i="40"/>
  <c r="CG3" i="40"/>
  <c r="CF3" i="40"/>
  <c r="CE3" i="40"/>
  <c r="CD3" i="40"/>
  <c r="CC3" i="40"/>
  <c r="CB3" i="40"/>
  <c r="CA3" i="40"/>
  <c r="BZ3" i="40"/>
  <c r="BY3" i="40"/>
  <c r="BX3" i="40"/>
  <c r="BW3" i="40"/>
  <c r="BV3" i="40"/>
  <c r="BU3" i="40"/>
  <c r="BT3" i="40"/>
  <c r="BS3" i="40"/>
  <c r="BR3" i="40"/>
  <c r="BQ3" i="40"/>
  <c r="BP3" i="40"/>
  <c r="BO3" i="40"/>
  <c r="BN3" i="40"/>
  <c r="BM3" i="40"/>
  <c r="BL3" i="40"/>
  <c r="BK3" i="40"/>
  <c r="BD3" i="40"/>
  <c r="BC3" i="40"/>
  <c r="O15" i="9"/>
  <c r="M15" i="9"/>
  <c r="F15" i="9"/>
  <c r="C15" i="9" s="1"/>
  <c r="D15" i="9"/>
  <c r="O14" i="9"/>
  <c r="M14" i="9"/>
  <c r="F14" i="9"/>
  <c r="C14" i="9" s="1"/>
  <c r="D14" i="9"/>
  <c r="O13" i="9"/>
  <c r="M13" i="9"/>
  <c r="F13" i="9"/>
  <c r="K13" i="9" s="1"/>
  <c r="D13" i="9"/>
  <c r="O12" i="9"/>
  <c r="M12" i="9"/>
  <c r="F12" i="9"/>
  <c r="K12" i="9" s="1"/>
  <c r="D12" i="9"/>
  <c r="O11" i="9"/>
  <c r="M11" i="9"/>
  <c r="F11" i="9"/>
  <c r="L11" i="9" s="1"/>
  <c r="O10" i="9"/>
  <c r="M10" i="9"/>
  <c r="F10" i="9"/>
  <c r="L10" i="9" s="1"/>
  <c r="BA42" i="39"/>
  <c r="AZ42" i="39"/>
  <c r="AY42" i="39"/>
  <c r="AX42" i="39"/>
  <c r="AW42" i="39"/>
  <c r="AV42" i="39"/>
  <c r="AU42" i="39"/>
  <c r="AT42" i="39"/>
  <c r="AS42" i="39"/>
  <c r="AR42" i="39"/>
  <c r="AM42" i="39"/>
  <c r="AL42" i="39"/>
  <c r="AK42" i="39"/>
  <c r="AJ42" i="39"/>
  <c r="AI42" i="39"/>
  <c r="AH42" i="39"/>
  <c r="AG42" i="39"/>
  <c r="AF42" i="39"/>
  <c r="AE42" i="39"/>
  <c r="AD42" i="39"/>
  <c r="Y42" i="39"/>
  <c r="X42" i="39"/>
  <c r="W42" i="39"/>
  <c r="V42" i="39"/>
  <c r="U42" i="39"/>
  <c r="T42" i="39"/>
  <c r="S42" i="39"/>
  <c r="R42" i="39"/>
  <c r="Q42" i="39"/>
  <c r="P42" i="39"/>
  <c r="K42" i="39"/>
  <c r="J42" i="39"/>
  <c r="I42" i="39"/>
  <c r="H42" i="39"/>
  <c r="G42" i="39"/>
  <c r="F42" i="39"/>
  <c r="BE41" i="39"/>
  <c r="BD41" i="39"/>
  <c r="BC41" i="39"/>
  <c r="BB41" i="39"/>
  <c r="AW41" i="39"/>
  <c r="AW44" i="39" s="1"/>
  <c r="AV41" i="39"/>
  <c r="AU41" i="39"/>
  <c r="AT41" i="39"/>
  <c r="AS41" i="39"/>
  <c r="AR41" i="39"/>
  <c r="AQ41" i="39"/>
  <c r="AP41" i="39"/>
  <c r="AO41" i="39"/>
  <c r="AN41" i="39"/>
  <c r="AI41" i="39"/>
  <c r="AI44" i="39" s="1"/>
  <c r="AH41" i="39"/>
  <c r="AG41" i="39"/>
  <c r="AF41" i="39"/>
  <c r="AE41" i="39"/>
  <c r="AD41" i="39"/>
  <c r="AC41" i="39"/>
  <c r="AB41" i="39"/>
  <c r="AA41" i="39"/>
  <c r="AA44" i="39" s="1"/>
  <c r="Z41" i="39"/>
  <c r="Z44" i="39" s="1"/>
  <c r="U41" i="39"/>
  <c r="T41" i="39"/>
  <c r="S41" i="39"/>
  <c r="R41" i="39"/>
  <c r="Q41" i="39"/>
  <c r="P41" i="39"/>
  <c r="O41" i="39"/>
  <c r="N41" i="39"/>
  <c r="M41" i="39"/>
  <c r="M44" i="39" s="1"/>
  <c r="L41" i="39"/>
  <c r="G41" i="39"/>
  <c r="F41" i="39"/>
  <c r="BE39" i="39"/>
  <c r="BE45" i="39" s="1"/>
  <c r="BD39" i="39"/>
  <c r="BC39" i="39"/>
  <c r="BB39" i="39"/>
  <c r="BA39" i="39"/>
  <c r="BA45" i="39" s="1"/>
  <c r="AZ39" i="39"/>
  <c r="AY39" i="39"/>
  <c r="AX39" i="39"/>
  <c r="AS39" i="39"/>
  <c r="AS45" i="39" s="1"/>
  <c r="AR39" i="39"/>
  <c r="AR45" i="39" s="1"/>
  <c r="AQ39" i="39"/>
  <c r="AP39" i="39"/>
  <c r="AO39" i="39"/>
  <c r="AN39" i="39"/>
  <c r="AM39" i="39"/>
  <c r="AL39" i="39"/>
  <c r="AK39" i="39"/>
  <c r="AJ39" i="39"/>
  <c r="AE39" i="39"/>
  <c r="AE45" i="39" s="1"/>
  <c r="AD39" i="39"/>
  <c r="AC39" i="39"/>
  <c r="AB39" i="39"/>
  <c r="AA39" i="39"/>
  <c r="Z39" i="39"/>
  <c r="Y39" i="39"/>
  <c r="X39" i="39"/>
  <c r="W39" i="39"/>
  <c r="V39" i="39"/>
  <c r="Q39" i="39"/>
  <c r="Q45" i="39" s="1"/>
  <c r="P39" i="39"/>
  <c r="P45" i="39" s="1"/>
  <c r="O39" i="39"/>
  <c r="N39" i="39"/>
  <c r="M39" i="39"/>
  <c r="L39" i="39"/>
  <c r="K39" i="39"/>
  <c r="J39" i="39"/>
  <c r="I39" i="39"/>
  <c r="I45" i="39" s="1"/>
  <c r="H39" i="39"/>
  <c r="H45" i="39" s="1"/>
  <c r="BC38" i="39"/>
  <c r="BB38" i="39"/>
  <c r="BA38" i="39"/>
  <c r="AZ38" i="39"/>
  <c r="AY38" i="39"/>
  <c r="AX38" i="39"/>
  <c r="AW38" i="39"/>
  <c r="AV38" i="39"/>
  <c r="AU38" i="39"/>
  <c r="AU44" i="39" s="1"/>
  <c r="AT38" i="39"/>
  <c r="AO38" i="39"/>
  <c r="AN38" i="39"/>
  <c r="AN44" i="39" s="1"/>
  <c r="AM38" i="39"/>
  <c r="AL38" i="39"/>
  <c r="AK38" i="39"/>
  <c r="AJ38" i="39"/>
  <c r="AI38" i="39"/>
  <c r="AH38" i="39"/>
  <c r="AG38" i="39"/>
  <c r="AF38" i="39"/>
  <c r="AA38" i="39"/>
  <c r="Z38" i="39"/>
  <c r="Y38" i="39"/>
  <c r="X38" i="39"/>
  <c r="W38" i="39"/>
  <c r="V38" i="39"/>
  <c r="U38" i="39"/>
  <c r="U44" i="39" s="1"/>
  <c r="T38" i="39"/>
  <c r="T44" i="39" s="1"/>
  <c r="S38" i="39"/>
  <c r="R38" i="39"/>
  <c r="M38" i="39"/>
  <c r="L38" i="39"/>
  <c r="K38" i="39"/>
  <c r="J38" i="39"/>
  <c r="I38" i="39"/>
  <c r="H38" i="39"/>
  <c r="G38" i="39"/>
  <c r="G44" i="39" s="1"/>
  <c r="F38" i="39"/>
  <c r="BE35" i="39"/>
  <c r="TB13" i="40" s="1"/>
  <c r="BD35" i="39"/>
  <c r="TA13" i="40" s="1"/>
  <c r="BC35" i="39"/>
  <c r="SZ13" i="40" s="1"/>
  <c r="BB35" i="39"/>
  <c r="SY13" i="40" s="1"/>
  <c r="BA35" i="39"/>
  <c r="SX13" i="40" s="1"/>
  <c r="AZ35" i="39"/>
  <c r="AY35" i="39"/>
  <c r="AX35" i="39"/>
  <c r="SU13" i="40" s="1"/>
  <c r="AW35" i="39"/>
  <c r="ST13" i="40" s="1"/>
  <c r="AV35" i="39"/>
  <c r="SS13" i="40" s="1"/>
  <c r="AU35" i="39"/>
  <c r="AT35" i="39"/>
  <c r="SQ13" i="40" s="1"/>
  <c r="AS35" i="39"/>
  <c r="SP13" i="40" s="1"/>
  <c r="AR35" i="39"/>
  <c r="AQ35" i="39"/>
  <c r="SN13" i="40" s="1"/>
  <c r="AP35" i="39"/>
  <c r="SM13" i="40" s="1"/>
  <c r="AO35" i="39"/>
  <c r="SL13" i="40" s="1"/>
  <c r="AN35" i="39"/>
  <c r="SK13" i="40" s="1"/>
  <c r="AM35" i="39"/>
  <c r="SJ13" i="40" s="1"/>
  <c r="AL35" i="39"/>
  <c r="AK35" i="39"/>
  <c r="AJ35" i="39"/>
  <c r="SG13" i="40" s="1"/>
  <c r="AI35" i="39"/>
  <c r="SF13" i="40" s="1"/>
  <c r="AH35" i="39"/>
  <c r="SE13" i="40" s="1"/>
  <c r="AG35" i="39"/>
  <c r="AF35" i="39"/>
  <c r="AE35" i="39"/>
  <c r="SB13" i="40" s="1"/>
  <c r="AD35" i="39"/>
  <c r="AC35" i="39"/>
  <c r="RZ13" i="40" s="1"/>
  <c r="AB35" i="39"/>
  <c r="RY13" i="40" s="1"/>
  <c r="AA35" i="39"/>
  <c r="RX13" i="40" s="1"/>
  <c r="Z35" i="39"/>
  <c r="RW13" i="40" s="1"/>
  <c r="Y35" i="39"/>
  <c r="RV13" i="40" s="1"/>
  <c r="X35" i="39"/>
  <c r="W35" i="39"/>
  <c r="V35" i="39"/>
  <c r="RS13" i="40" s="1"/>
  <c r="U35" i="39"/>
  <c r="RR13" i="40" s="1"/>
  <c r="T35" i="39"/>
  <c r="RQ13" i="40" s="1"/>
  <c r="S35" i="39"/>
  <c r="RP13" i="40" s="1"/>
  <c r="R35" i="39"/>
  <c r="RO13" i="40" s="1"/>
  <c r="Q35" i="39"/>
  <c r="P35" i="39"/>
  <c r="O35" i="39"/>
  <c r="RL13" i="40" s="1"/>
  <c r="N35" i="39"/>
  <c r="RK13" i="40" s="1"/>
  <c r="M35" i="39"/>
  <c r="RJ13" i="40" s="1"/>
  <c r="L35" i="39"/>
  <c r="RI13" i="40" s="1"/>
  <c r="K35" i="39"/>
  <c r="J35" i="39"/>
  <c r="I35" i="39"/>
  <c r="H35" i="39"/>
  <c r="RE13" i="40" s="1"/>
  <c r="G35" i="39"/>
  <c r="RD13" i="40" s="1"/>
  <c r="F35" i="39"/>
  <c r="RC13" i="40" s="1"/>
  <c r="BE31" i="39"/>
  <c r="BD31" i="39"/>
  <c r="BC31" i="39"/>
  <c r="BB31" i="39"/>
  <c r="BA31" i="39"/>
  <c r="AZ31" i="39"/>
  <c r="AY31" i="39"/>
  <c r="AX31" i="39"/>
  <c r="AW31" i="39"/>
  <c r="AV31" i="39"/>
  <c r="AU31" i="39"/>
  <c r="AT31" i="39"/>
  <c r="AS31" i="39"/>
  <c r="AR31" i="39"/>
  <c r="AQ31"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L31" i="39"/>
  <c r="K31" i="39"/>
  <c r="J31" i="39"/>
  <c r="I31" i="39"/>
  <c r="H31" i="39"/>
  <c r="G31" i="39"/>
  <c r="F31" i="39"/>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H23" i="39"/>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G23" i="39"/>
  <c r="BB21" i="39"/>
  <c r="BB20" i="39"/>
  <c r="BB19" i="39"/>
  <c r="BB18" i="39"/>
  <c r="BB17" i="39"/>
  <c r="BB16" i="39"/>
  <c r="BB15" i="39"/>
  <c r="BB14" i="39"/>
  <c r="BB13" i="39"/>
  <c r="BB12" i="39"/>
  <c r="X12" i="39"/>
  <c r="BE42" i="39" s="1"/>
  <c r="O12" i="39"/>
  <c r="F12" i="39"/>
  <c r="BB11" i="39"/>
  <c r="BB10" i="39"/>
  <c r="F9" i="39"/>
  <c r="F8" i="39"/>
  <c r="AZ3" i="39"/>
  <c r="BE48" i="39" s="1"/>
  <c r="AV3" i="39"/>
  <c r="AO3" i="39"/>
  <c r="BB44" i="38"/>
  <c r="AI44" i="38"/>
  <c r="AH44" i="38"/>
  <c r="BA42" i="38"/>
  <c r="AZ42" i="38"/>
  <c r="AY42" i="38"/>
  <c r="AX42" i="38"/>
  <c r="AW42" i="38"/>
  <c r="AV42" i="38"/>
  <c r="AU42" i="38"/>
  <c r="AT42" i="38"/>
  <c r="AS42" i="38"/>
  <c r="AR42" i="38"/>
  <c r="AM42" i="38"/>
  <c r="AL42" i="38"/>
  <c r="AK42" i="38"/>
  <c r="AJ42" i="38"/>
  <c r="AI42" i="38"/>
  <c r="AH42" i="38"/>
  <c r="AG42" i="38"/>
  <c r="AF42" i="38"/>
  <c r="AE42" i="38"/>
  <c r="AD42" i="38"/>
  <c r="Y42" i="38"/>
  <c r="X42" i="38"/>
  <c r="X45" i="38" s="1"/>
  <c r="W42" i="38"/>
  <c r="V42" i="38"/>
  <c r="U42" i="38"/>
  <c r="T42" i="38"/>
  <c r="S42" i="38"/>
  <c r="R42" i="38"/>
  <c r="Q42" i="38"/>
  <c r="P42" i="38"/>
  <c r="K42" i="38"/>
  <c r="J42" i="38"/>
  <c r="I42" i="38"/>
  <c r="H42" i="38"/>
  <c r="G42" i="38"/>
  <c r="F42" i="38"/>
  <c r="BE41" i="38"/>
  <c r="BD41" i="38"/>
  <c r="BC41" i="38"/>
  <c r="BB41" i="38"/>
  <c r="AW41" i="38"/>
  <c r="AV41" i="38"/>
  <c r="AU41" i="38"/>
  <c r="AT41" i="38"/>
  <c r="AS41" i="38"/>
  <c r="AR41" i="38"/>
  <c r="AQ41" i="38"/>
  <c r="AP41" i="38"/>
  <c r="AO41" i="38"/>
  <c r="AN41" i="38"/>
  <c r="AI41" i="38"/>
  <c r="AH41" i="38"/>
  <c r="AG41" i="38"/>
  <c r="AF41" i="38"/>
  <c r="AE41" i="38"/>
  <c r="AD41" i="38"/>
  <c r="AC41" i="38"/>
  <c r="AB41" i="38"/>
  <c r="AA41" i="38"/>
  <c r="Z41" i="38"/>
  <c r="U41" i="38"/>
  <c r="T41" i="38"/>
  <c r="S41" i="38"/>
  <c r="R41" i="38"/>
  <c r="Q41" i="38"/>
  <c r="P41" i="38"/>
  <c r="O41" i="38"/>
  <c r="N41" i="38"/>
  <c r="M41" i="38"/>
  <c r="L41" i="38"/>
  <c r="G41" i="38"/>
  <c r="F41" i="38"/>
  <c r="BE39" i="38"/>
  <c r="BD39" i="38"/>
  <c r="BC39" i="38"/>
  <c r="BB39" i="38"/>
  <c r="BA39" i="38"/>
  <c r="BA45" i="38" s="1"/>
  <c r="AZ39" i="38"/>
  <c r="AY39" i="38"/>
  <c r="AX39" i="38"/>
  <c r="AS39" i="38"/>
  <c r="AS45" i="38" s="1"/>
  <c r="AR39" i="38"/>
  <c r="AQ39" i="38"/>
  <c r="AP39" i="38"/>
  <c r="AO39" i="38"/>
  <c r="AN39" i="38"/>
  <c r="AM39" i="38"/>
  <c r="AM45" i="38" s="1"/>
  <c r="AL39" i="38"/>
  <c r="AL45" i="38" s="1"/>
  <c r="AK39" i="38"/>
  <c r="AJ39" i="38"/>
  <c r="AJ45" i="38" s="1"/>
  <c r="AE39" i="38"/>
  <c r="AE45" i="38" s="1"/>
  <c r="AD39" i="38"/>
  <c r="AC39" i="38"/>
  <c r="AB39" i="38"/>
  <c r="AA39" i="38"/>
  <c r="Z39" i="38"/>
  <c r="Y39" i="38"/>
  <c r="X39" i="38"/>
  <c r="W39" i="38"/>
  <c r="V39" i="38"/>
  <c r="Q39" i="38"/>
  <c r="Q45" i="38" s="1"/>
  <c r="P39" i="38"/>
  <c r="P45" i="38" s="1"/>
  <c r="O39" i="38"/>
  <c r="N39" i="38"/>
  <c r="M39" i="38"/>
  <c r="L39" i="38"/>
  <c r="K39" i="38"/>
  <c r="J39" i="38"/>
  <c r="I39" i="38"/>
  <c r="H39" i="38"/>
  <c r="BC38" i="38"/>
  <c r="BB38" i="38"/>
  <c r="BA38" i="38"/>
  <c r="AZ38" i="38"/>
  <c r="AY38" i="38"/>
  <c r="AX38" i="38"/>
  <c r="AW38" i="38"/>
  <c r="AV38" i="38"/>
  <c r="AV44" i="38" s="1"/>
  <c r="AU38" i="38"/>
  <c r="AU44" i="38" s="1"/>
  <c r="AT38" i="38"/>
  <c r="AO38" i="38"/>
  <c r="AN38" i="38"/>
  <c r="AM38" i="38"/>
  <c r="AL38" i="38"/>
  <c r="AK38" i="38"/>
  <c r="AJ38" i="38"/>
  <c r="AI38" i="38"/>
  <c r="AH38" i="38"/>
  <c r="AG38" i="38"/>
  <c r="AF38" i="38"/>
  <c r="AA38" i="38"/>
  <c r="AA44" i="38" s="1"/>
  <c r="Z38" i="38"/>
  <c r="Z44" i="38" s="1"/>
  <c r="Y38" i="38"/>
  <c r="X38" i="38"/>
  <c r="W38" i="38"/>
  <c r="V38" i="38"/>
  <c r="U38" i="38"/>
  <c r="T38" i="38"/>
  <c r="S38" i="38"/>
  <c r="R38" i="38"/>
  <c r="M38" i="38"/>
  <c r="M44" i="38" s="1"/>
  <c r="L38" i="38"/>
  <c r="L44" i="38" s="1"/>
  <c r="K38" i="38"/>
  <c r="J38" i="38"/>
  <c r="I38" i="38"/>
  <c r="H38" i="38"/>
  <c r="G38" i="38"/>
  <c r="G44" i="38" s="1"/>
  <c r="F38" i="38"/>
  <c r="BE35" i="38"/>
  <c r="BD35" i="38"/>
  <c r="TA12" i="40" s="1"/>
  <c r="BC35" i="38"/>
  <c r="SZ12" i="40" s="1"/>
  <c r="BB35" i="38"/>
  <c r="SY12" i="40" s="1"/>
  <c r="BA35" i="38"/>
  <c r="SX12" i="40" s="1"/>
  <c r="AZ35" i="38"/>
  <c r="SW12" i="40" s="1"/>
  <c r="AY35" i="38"/>
  <c r="AX35" i="38"/>
  <c r="AW35" i="38"/>
  <c r="AV35" i="38"/>
  <c r="AU35" i="38"/>
  <c r="AT35" i="38"/>
  <c r="SQ12" i="40" s="1"/>
  <c r="AS35" i="38"/>
  <c r="SP12" i="40" s="1"/>
  <c r="AR35" i="38"/>
  <c r="AQ35" i="38"/>
  <c r="AP35" i="38"/>
  <c r="AO35" i="38"/>
  <c r="AN35" i="38"/>
  <c r="SK12" i="40" s="1"/>
  <c r="AM35" i="38"/>
  <c r="SJ12" i="40" s="1"/>
  <c r="AL35" i="38"/>
  <c r="SI12" i="40" s="1"/>
  <c r="AK35" i="38"/>
  <c r="AJ35" i="38"/>
  <c r="SG12" i="40" s="1"/>
  <c r="AI35" i="38"/>
  <c r="SF12" i="40" s="1"/>
  <c r="AH35" i="38"/>
  <c r="SE12" i="40" s="1"/>
  <c r="AG35" i="38"/>
  <c r="AF35" i="38"/>
  <c r="SC12" i="40" s="1"/>
  <c r="AE35" i="38"/>
  <c r="SB12" i="40" s="1"/>
  <c r="AD35" i="38"/>
  <c r="AC35" i="38"/>
  <c r="AB35" i="38"/>
  <c r="RY12" i="40" s="1"/>
  <c r="AA35" i="38"/>
  <c r="RX12" i="40" s="1"/>
  <c r="Z35" i="38"/>
  <c r="RW12" i="40" s="1"/>
  <c r="Y35" i="38"/>
  <c r="RV12" i="40" s="1"/>
  <c r="X35" i="38"/>
  <c r="RU12" i="40" s="1"/>
  <c r="W35" i="38"/>
  <c r="V35" i="38"/>
  <c r="U35" i="38"/>
  <c r="T35" i="38"/>
  <c r="S35" i="38"/>
  <c r="RP12" i="40" s="1"/>
  <c r="R35" i="38"/>
  <c r="RO12" i="40" s="1"/>
  <c r="Q35" i="38"/>
  <c r="RN12" i="40" s="1"/>
  <c r="P35" i="38"/>
  <c r="O35" i="38"/>
  <c r="N35" i="38"/>
  <c r="M35" i="38"/>
  <c r="L35" i="38"/>
  <c r="RI12" i="40" s="1"/>
  <c r="K35" i="38"/>
  <c r="RH12" i="40" s="1"/>
  <c r="J35" i="38"/>
  <c r="RG12" i="40" s="1"/>
  <c r="I35" i="38"/>
  <c r="H35" i="38"/>
  <c r="RE12" i="40" s="1"/>
  <c r="G35" i="38"/>
  <c r="RD12" i="40" s="1"/>
  <c r="F35" i="38"/>
  <c r="BE31" i="38"/>
  <c r="BD31" i="38"/>
  <c r="BC31" i="38"/>
  <c r="BB31" i="38"/>
  <c r="BA31" i="38"/>
  <c r="AZ31" i="38"/>
  <c r="AY31" i="38"/>
  <c r="AX31" i="38"/>
  <c r="AW31" i="38"/>
  <c r="AV31" i="38"/>
  <c r="AU31" i="38"/>
  <c r="AT31" i="38"/>
  <c r="AS31" i="38"/>
  <c r="AR31" i="38"/>
  <c r="AQ31" i="38"/>
  <c r="AP31" i="38"/>
  <c r="AO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H31" i="38"/>
  <c r="G31" i="38"/>
  <c r="F31" i="38"/>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BB21" i="38"/>
  <c r="BB20" i="38"/>
  <c r="BB19" i="38"/>
  <c r="BB18" i="38"/>
  <c r="BB17" i="38"/>
  <c r="BB16" i="38"/>
  <c r="BB15" i="38"/>
  <c r="BB14" i="38"/>
  <c r="BB13" i="38"/>
  <c r="BB12" i="38"/>
  <c r="X12" i="38"/>
  <c r="BE42" i="38" s="1"/>
  <c r="O12" i="38"/>
  <c r="F12" i="38"/>
  <c r="BB11" i="38"/>
  <c r="BB10" i="38"/>
  <c r="F9" i="38"/>
  <c r="F8" i="38"/>
  <c r="AZ3" i="38"/>
  <c r="Q48" i="38" s="1"/>
  <c r="AV3" i="38"/>
  <c r="AO3" i="38"/>
  <c r="AR45" i="36"/>
  <c r="Y45" i="36"/>
  <c r="BA42" i="36"/>
  <c r="AZ42" i="36"/>
  <c r="AY42" i="36"/>
  <c r="AX42" i="36"/>
  <c r="AW42" i="36"/>
  <c r="AV42" i="36"/>
  <c r="AU42" i="36"/>
  <c r="AT42" i="36"/>
  <c r="AS42" i="36"/>
  <c r="AR42" i="36"/>
  <c r="AM42" i="36"/>
  <c r="AL42" i="36"/>
  <c r="AK42" i="36"/>
  <c r="AJ42" i="36"/>
  <c r="AI42" i="36"/>
  <c r="AH42" i="36"/>
  <c r="AG42" i="36"/>
  <c r="AF42" i="36"/>
  <c r="AE42" i="36"/>
  <c r="AD42" i="36"/>
  <c r="AD45" i="36" s="1"/>
  <c r="Y42" i="36"/>
  <c r="X42" i="36"/>
  <c r="X45" i="36" s="1"/>
  <c r="W42" i="36"/>
  <c r="V42" i="36"/>
  <c r="U42" i="36"/>
  <c r="T42" i="36"/>
  <c r="S42" i="36"/>
  <c r="R42" i="36"/>
  <c r="Q42" i="36"/>
  <c r="P42" i="36"/>
  <c r="P45" i="36" s="1"/>
  <c r="K42" i="36"/>
  <c r="J42" i="36"/>
  <c r="I42" i="36"/>
  <c r="H42" i="36"/>
  <c r="G42" i="36"/>
  <c r="F42" i="36"/>
  <c r="BE41" i="36"/>
  <c r="BD41" i="36"/>
  <c r="BC41" i="36"/>
  <c r="BB41" i="36"/>
  <c r="BB44" i="36" s="1"/>
  <c r="AW41" i="36"/>
  <c r="AV41" i="36"/>
  <c r="AU41" i="36"/>
  <c r="AT41" i="36"/>
  <c r="AS41" i="36"/>
  <c r="AR41" i="36"/>
  <c r="AQ41" i="36"/>
  <c r="AP41" i="36"/>
  <c r="AO41" i="36"/>
  <c r="AN41" i="36"/>
  <c r="AI41" i="36"/>
  <c r="AI44" i="36" s="1"/>
  <c r="AH41" i="36"/>
  <c r="AG41" i="36"/>
  <c r="AF41" i="36"/>
  <c r="AE41" i="36"/>
  <c r="AD41" i="36"/>
  <c r="AC41" i="36"/>
  <c r="AB41" i="36"/>
  <c r="AA41" i="36"/>
  <c r="Z41" i="36"/>
  <c r="U41" i="36"/>
  <c r="T41" i="36"/>
  <c r="T44" i="36" s="1"/>
  <c r="S41" i="36"/>
  <c r="R41" i="36"/>
  <c r="Q41" i="36"/>
  <c r="P41" i="36"/>
  <c r="O41" i="36"/>
  <c r="N41" i="36"/>
  <c r="M41" i="36"/>
  <c r="L41" i="36"/>
  <c r="G41" i="36"/>
  <c r="F41" i="36"/>
  <c r="BE39" i="36"/>
  <c r="BD39" i="36"/>
  <c r="BC39" i="36"/>
  <c r="BB39" i="36"/>
  <c r="BA39" i="36"/>
  <c r="AZ39" i="36"/>
  <c r="AY39" i="36"/>
  <c r="AY45" i="36" s="1"/>
  <c r="AX39" i="36"/>
  <c r="AX45" i="36" s="1"/>
  <c r="AS39" i="36"/>
  <c r="AR39" i="36"/>
  <c r="AQ39" i="36"/>
  <c r="AP39" i="36"/>
  <c r="AO39" i="36"/>
  <c r="AN39" i="36"/>
  <c r="AM39" i="36"/>
  <c r="AL39" i="36"/>
  <c r="AK39" i="36"/>
  <c r="AK45" i="36" s="1"/>
  <c r="AJ39" i="36"/>
  <c r="AJ45" i="36" s="1"/>
  <c r="AE39" i="36"/>
  <c r="AD39" i="36"/>
  <c r="AC39" i="36"/>
  <c r="AB39" i="36"/>
  <c r="AA39" i="36"/>
  <c r="Z39" i="36"/>
  <c r="Y39" i="36"/>
  <c r="X39" i="36"/>
  <c r="W39" i="36"/>
  <c r="V39" i="36"/>
  <c r="Q39" i="36"/>
  <c r="P39" i="36"/>
  <c r="O39" i="36"/>
  <c r="N39" i="36"/>
  <c r="M39" i="36"/>
  <c r="L39" i="36"/>
  <c r="K39" i="36"/>
  <c r="K45" i="36" s="1"/>
  <c r="J39" i="36"/>
  <c r="J45" i="36" s="1"/>
  <c r="I39" i="36"/>
  <c r="H39" i="36"/>
  <c r="BC38" i="36"/>
  <c r="BB38" i="36"/>
  <c r="BA38" i="36"/>
  <c r="AZ38" i="36"/>
  <c r="AY38" i="36"/>
  <c r="AX38" i="36"/>
  <c r="AW38" i="36"/>
  <c r="AW44" i="36" s="1"/>
  <c r="AV38" i="36"/>
  <c r="AV44" i="36" s="1"/>
  <c r="AU38" i="36"/>
  <c r="AT38" i="36"/>
  <c r="AO38" i="36"/>
  <c r="AO44" i="36" s="1"/>
  <c r="AN38" i="36"/>
  <c r="AM38" i="36"/>
  <c r="AL38" i="36"/>
  <c r="AK38" i="36"/>
  <c r="AJ38" i="36"/>
  <c r="AI38" i="36"/>
  <c r="AH38" i="36"/>
  <c r="AH44" i="36" s="1"/>
  <c r="AG38" i="36"/>
  <c r="AF38" i="36"/>
  <c r="AA38" i="36"/>
  <c r="AA44" i="36" s="1"/>
  <c r="Z38" i="36"/>
  <c r="Y38" i="36"/>
  <c r="X38" i="36"/>
  <c r="W38" i="36"/>
  <c r="V38" i="36"/>
  <c r="U38" i="36"/>
  <c r="T38" i="36"/>
  <c r="S38" i="36"/>
  <c r="R38" i="36"/>
  <c r="M38" i="36"/>
  <c r="M44" i="36" s="1"/>
  <c r="L38" i="36"/>
  <c r="L44" i="36" s="1"/>
  <c r="K38" i="36"/>
  <c r="J38" i="36"/>
  <c r="I38" i="36"/>
  <c r="H38" i="36"/>
  <c r="G38" i="36"/>
  <c r="F38" i="36"/>
  <c r="BE35" i="36"/>
  <c r="TB11" i="40" s="1"/>
  <c r="BD35" i="36"/>
  <c r="TA11" i="40" s="1"/>
  <c r="BC35" i="36"/>
  <c r="SZ11" i="40" s="1"/>
  <c r="BB35" i="36"/>
  <c r="SY11" i="40" s="1"/>
  <c r="BA35" i="36"/>
  <c r="SX11" i="40" s="1"/>
  <c r="AZ35" i="36"/>
  <c r="AY35" i="36"/>
  <c r="SV11" i="40" s="1"/>
  <c r="AX35" i="36"/>
  <c r="SU11" i="40" s="1"/>
  <c r="AW35" i="36"/>
  <c r="ST11" i="40" s="1"/>
  <c r="AV35" i="36"/>
  <c r="AU35" i="36"/>
  <c r="SR11" i="40" s="1"/>
  <c r="AT35" i="36"/>
  <c r="SQ11" i="40" s="1"/>
  <c r="AS35" i="36"/>
  <c r="AR35" i="36"/>
  <c r="SO11" i="40" s="1"/>
  <c r="AQ35" i="36"/>
  <c r="SN11" i="40" s="1"/>
  <c r="AP35" i="36"/>
  <c r="SM11" i="40" s="1"/>
  <c r="AO35" i="36"/>
  <c r="AN35" i="36"/>
  <c r="AM35" i="36"/>
  <c r="AL35" i="36"/>
  <c r="AK35" i="36"/>
  <c r="SH11" i="40" s="1"/>
  <c r="AJ35" i="36"/>
  <c r="SG11" i="40" s="1"/>
  <c r="AI35" i="36"/>
  <c r="SF11" i="40" s="1"/>
  <c r="AH35" i="36"/>
  <c r="SE11" i="40" s="1"/>
  <c r="AG35" i="36"/>
  <c r="SD11" i="40" s="1"/>
  <c r="AF35" i="36"/>
  <c r="AE35" i="36"/>
  <c r="SB11" i="40" s="1"/>
  <c r="AD35" i="36"/>
  <c r="SA11" i="40" s="1"/>
  <c r="AC35" i="36"/>
  <c r="RZ11" i="40" s="1"/>
  <c r="AB35" i="36"/>
  <c r="RY11" i="40" s="1"/>
  <c r="AA35" i="36"/>
  <c r="RX11" i="40" s="1"/>
  <c r="Z35" i="36"/>
  <c r="RW11" i="40" s="1"/>
  <c r="Y35" i="36"/>
  <c r="X35" i="36"/>
  <c r="W35" i="36"/>
  <c r="RT11" i="40" s="1"/>
  <c r="V35" i="36"/>
  <c r="RS11" i="40" s="1"/>
  <c r="U35" i="36"/>
  <c r="RR11" i="40" s="1"/>
  <c r="T35" i="36"/>
  <c r="S35" i="36"/>
  <c r="R35" i="36"/>
  <c r="RO11" i="40" s="1"/>
  <c r="Q35" i="36"/>
  <c r="RN11" i="40" s="1"/>
  <c r="P35" i="36"/>
  <c r="RM11" i="40" s="1"/>
  <c r="O35" i="36"/>
  <c r="RL11" i="40" s="1"/>
  <c r="N35" i="36"/>
  <c r="RK11" i="40" s="1"/>
  <c r="M35" i="36"/>
  <c r="L35" i="36"/>
  <c r="K35" i="36"/>
  <c r="J35" i="36"/>
  <c r="I35" i="36"/>
  <c r="RF11" i="40" s="1"/>
  <c r="H35" i="36"/>
  <c r="RE11" i="40" s="1"/>
  <c r="G35" i="36"/>
  <c r="RD11" i="40" s="1"/>
  <c r="F35" i="36"/>
  <c r="RC11" i="40" s="1"/>
  <c r="BE31" i="36"/>
  <c r="BD31" i="36"/>
  <c r="BC31" i="36"/>
  <c r="BB31" i="36"/>
  <c r="BA31" i="36"/>
  <c r="AZ31" i="36"/>
  <c r="AY31" i="36"/>
  <c r="AX31" i="36"/>
  <c r="AW31" i="36"/>
  <c r="AV31" i="36"/>
  <c r="AU31" i="36"/>
  <c r="AT31" i="36"/>
  <c r="AS31" i="36"/>
  <c r="AR31" i="36"/>
  <c r="AQ31" i="36"/>
  <c r="AP31" i="36"/>
  <c r="AO31" i="36"/>
  <c r="AN31" i="36"/>
  <c r="AM31" i="36"/>
  <c r="AL31" i="36"/>
  <c r="AK31" i="36"/>
  <c r="AJ31" i="36"/>
  <c r="AI31" i="36"/>
  <c r="AH31" i="36"/>
  <c r="AG31" i="36"/>
  <c r="AF31"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M27" i="36"/>
  <c r="L27" i="36"/>
  <c r="K27" i="36"/>
  <c r="J27" i="36"/>
  <c r="I27" i="36"/>
  <c r="H27" i="36"/>
  <c r="G27" i="36"/>
  <c r="F27" i="36"/>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BB21" i="36"/>
  <c r="BB20" i="36"/>
  <c r="BB19" i="36"/>
  <c r="BB18" i="36"/>
  <c r="BB17" i="36"/>
  <c r="BB16" i="36"/>
  <c r="BB15" i="36"/>
  <c r="BB14" i="36"/>
  <c r="BB13" i="36"/>
  <c r="BB12" i="36"/>
  <c r="X12" i="36"/>
  <c r="BE42" i="36" s="1"/>
  <c r="O12" i="36"/>
  <c r="F12" i="36"/>
  <c r="BB11" i="36"/>
  <c r="BB10" i="36"/>
  <c r="F9" i="36"/>
  <c r="F8" i="36"/>
  <c r="AO3" i="36" s="1"/>
  <c r="AZ3" i="36"/>
  <c r="AV3" i="36"/>
  <c r="BE45" i="35"/>
  <c r="P45" i="35"/>
  <c r="G44" i="35"/>
  <c r="F44" i="35"/>
  <c r="BD42" i="35"/>
  <c r="BD45" i="35" s="1"/>
  <c r="BA42" i="35"/>
  <c r="AZ42" i="35"/>
  <c r="AY42" i="35"/>
  <c r="AX42" i="35"/>
  <c r="AW42" i="35"/>
  <c r="AV42" i="35"/>
  <c r="AU42" i="35"/>
  <c r="AT42" i="35"/>
  <c r="AS42" i="35"/>
  <c r="AR42" i="35"/>
  <c r="AP42" i="35"/>
  <c r="AP45" i="35" s="1"/>
  <c r="AM42" i="35"/>
  <c r="AL42" i="35"/>
  <c r="AK42" i="35"/>
  <c r="AJ42" i="35"/>
  <c r="AI42" i="35"/>
  <c r="AH42" i="35"/>
  <c r="AG42" i="35"/>
  <c r="AF42" i="35"/>
  <c r="AE42" i="35"/>
  <c r="AE45" i="35" s="1"/>
  <c r="AD42" i="35"/>
  <c r="AB42" i="35"/>
  <c r="Y42" i="35"/>
  <c r="X42" i="35"/>
  <c r="X45" i="35" s="1"/>
  <c r="W42" i="35"/>
  <c r="V42" i="35"/>
  <c r="U42" i="35"/>
  <c r="T42" i="35"/>
  <c r="S42" i="35"/>
  <c r="R42" i="35"/>
  <c r="Q42" i="35"/>
  <c r="P42" i="35"/>
  <c r="N42" i="35"/>
  <c r="K42" i="35"/>
  <c r="J42" i="35"/>
  <c r="I42" i="35"/>
  <c r="H42" i="35"/>
  <c r="G42" i="35"/>
  <c r="F42" i="35"/>
  <c r="BE41" i="35"/>
  <c r="BD41" i="35"/>
  <c r="BC41" i="35"/>
  <c r="BC44" i="35" s="1"/>
  <c r="BB41" i="35"/>
  <c r="AZ41" i="35"/>
  <c r="AW41" i="35"/>
  <c r="AV41" i="35"/>
  <c r="AU41" i="35"/>
  <c r="AT41" i="35"/>
  <c r="AS41" i="35"/>
  <c r="AR41" i="35"/>
  <c r="AQ41" i="35"/>
  <c r="AP41" i="35"/>
  <c r="AO41" i="35"/>
  <c r="AO44" i="35" s="1"/>
  <c r="AN41" i="35"/>
  <c r="AN44" i="35" s="1"/>
  <c r="AL41" i="35"/>
  <c r="AI41" i="35"/>
  <c r="AH41" i="35"/>
  <c r="AG41" i="35"/>
  <c r="AF41" i="35"/>
  <c r="AE41" i="35"/>
  <c r="AD41" i="35"/>
  <c r="AC41" i="35"/>
  <c r="AB41" i="35"/>
  <c r="AA41" i="35"/>
  <c r="Z41" i="35"/>
  <c r="X41" i="35"/>
  <c r="X44" i="35" s="1"/>
  <c r="U41" i="35"/>
  <c r="T41" i="35"/>
  <c r="S41" i="35"/>
  <c r="R41" i="35"/>
  <c r="Q41" i="35"/>
  <c r="P41" i="35"/>
  <c r="O41" i="35"/>
  <c r="N41" i="35"/>
  <c r="M41" i="35"/>
  <c r="M44" i="35" s="1"/>
  <c r="L41" i="35"/>
  <c r="J41" i="35"/>
  <c r="G41" i="35"/>
  <c r="F41" i="35"/>
  <c r="BE39" i="35"/>
  <c r="BD39" i="35"/>
  <c r="BC39" i="35"/>
  <c r="BB39" i="35"/>
  <c r="BA39" i="35"/>
  <c r="BA45" i="35" s="1"/>
  <c r="AZ39" i="35"/>
  <c r="AY39" i="35"/>
  <c r="AX39" i="35"/>
  <c r="AV39" i="35"/>
  <c r="AS39" i="35"/>
  <c r="AR39" i="35"/>
  <c r="AQ39" i="35"/>
  <c r="AP39" i="35"/>
  <c r="AO39" i="35"/>
  <c r="AN39" i="35"/>
  <c r="AM39" i="35"/>
  <c r="AM45" i="35" s="1"/>
  <c r="AL39" i="35"/>
  <c r="AL45" i="35" s="1"/>
  <c r="AK39" i="35"/>
  <c r="AJ39" i="35"/>
  <c r="AH39" i="35"/>
  <c r="AE39" i="35"/>
  <c r="AD39" i="35"/>
  <c r="AC39" i="35"/>
  <c r="AB39" i="35"/>
  <c r="AB45" i="35" s="1"/>
  <c r="AA39" i="35"/>
  <c r="Z39" i="35"/>
  <c r="Y39" i="35"/>
  <c r="X39" i="35"/>
  <c r="W39" i="35"/>
  <c r="V39" i="35"/>
  <c r="T39" i="35"/>
  <c r="Q39" i="35"/>
  <c r="Q45" i="35" s="1"/>
  <c r="P39" i="35"/>
  <c r="O39" i="35"/>
  <c r="N39" i="35"/>
  <c r="M39" i="35"/>
  <c r="L39" i="35"/>
  <c r="K39" i="35"/>
  <c r="J39" i="35"/>
  <c r="J45" i="35" s="1"/>
  <c r="I39" i="35"/>
  <c r="H39" i="35"/>
  <c r="F39" i="35"/>
  <c r="BC38" i="35"/>
  <c r="BB38" i="35"/>
  <c r="BA38" i="35"/>
  <c r="AZ38" i="35"/>
  <c r="AZ44" i="35" s="1"/>
  <c r="AY38" i="35"/>
  <c r="AX38" i="35"/>
  <c r="AW38" i="35"/>
  <c r="AW44" i="35" s="1"/>
  <c r="AV38" i="35"/>
  <c r="AU38" i="35"/>
  <c r="AT38" i="35"/>
  <c r="AR38" i="35"/>
  <c r="AO38" i="35"/>
  <c r="AN38" i="35"/>
  <c r="AM38" i="35"/>
  <c r="AL38" i="35"/>
  <c r="AK38" i="35"/>
  <c r="AJ38" i="35"/>
  <c r="AI38" i="35"/>
  <c r="AH38" i="35"/>
  <c r="AG38" i="35"/>
  <c r="AF38" i="35"/>
  <c r="AD38" i="35"/>
  <c r="AA38" i="35"/>
  <c r="AA44" i="35" s="1"/>
  <c r="Z38" i="35"/>
  <c r="Z44" i="35" s="1"/>
  <c r="Y38" i="35"/>
  <c r="X38" i="35"/>
  <c r="W38" i="35"/>
  <c r="V38" i="35"/>
  <c r="U38" i="35"/>
  <c r="U44" i="35" s="1"/>
  <c r="T38" i="35"/>
  <c r="S38" i="35"/>
  <c r="R38" i="35"/>
  <c r="P38" i="35"/>
  <c r="M38" i="35"/>
  <c r="L38" i="35"/>
  <c r="K38" i="35"/>
  <c r="J38" i="35"/>
  <c r="J44" i="35" s="1"/>
  <c r="I38" i="35"/>
  <c r="H38" i="35"/>
  <c r="G38" i="35"/>
  <c r="F38" i="35"/>
  <c r="BE35" i="35"/>
  <c r="TB10" i="40" s="1"/>
  <c r="BD35" i="35"/>
  <c r="TA10" i="40" s="1"/>
  <c r="BC35" i="35"/>
  <c r="SZ10" i="40" s="1"/>
  <c r="BB35" i="35"/>
  <c r="SY10" i="40" s="1"/>
  <c r="BA35" i="35"/>
  <c r="SX10" i="40" s="1"/>
  <c r="AZ35" i="35"/>
  <c r="SW10" i="40" s="1"/>
  <c r="AY35" i="35"/>
  <c r="AX35" i="35"/>
  <c r="AW35" i="35"/>
  <c r="AV35" i="35"/>
  <c r="SS10" i="40" s="1"/>
  <c r="AU35" i="35"/>
  <c r="SR10" i="40" s="1"/>
  <c r="AT35" i="35"/>
  <c r="SQ10" i="40" s="1"/>
  <c r="AS35" i="35"/>
  <c r="AR35" i="35"/>
  <c r="AQ35" i="35"/>
  <c r="SN10" i="40" s="1"/>
  <c r="AP35" i="35"/>
  <c r="SM10" i="40" s="1"/>
  <c r="AO35" i="35"/>
  <c r="SL10" i="40" s="1"/>
  <c r="AN35" i="35"/>
  <c r="SK10" i="40" s="1"/>
  <c r="AM35" i="35"/>
  <c r="SJ10" i="40" s="1"/>
  <c r="AL35" i="35"/>
  <c r="AK35" i="35"/>
  <c r="SH10" i="40" s="1"/>
  <c r="AJ35" i="35"/>
  <c r="SG10" i="40" s="1"/>
  <c r="AI35" i="35"/>
  <c r="AH35" i="35"/>
  <c r="SE10" i="40" s="1"/>
  <c r="AG35" i="35"/>
  <c r="SD10" i="40" s="1"/>
  <c r="AF35" i="35"/>
  <c r="SC10" i="40" s="1"/>
  <c r="AE35" i="35"/>
  <c r="AD35" i="35"/>
  <c r="AC35" i="35"/>
  <c r="RZ10" i="40" s="1"/>
  <c r="AB35" i="35"/>
  <c r="RY10" i="40" s="1"/>
  <c r="AA35" i="35"/>
  <c r="RX10" i="40" s="1"/>
  <c r="Z35" i="35"/>
  <c r="RW10" i="40" s="1"/>
  <c r="Y35" i="35"/>
  <c r="RV10" i="40" s="1"/>
  <c r="X35" i="35"/>
  <c r="RU10" i="40" s="1"/>
  <c r="W35" i="35"/>
  <c r="V35" i="35"/>
  <c r="U35" i="35"/>
  <c r="T35" i="35"/>
  <c r="RQ10" i="40" s="1"/>
  <c r="S35" i="35"/>
  <c r="RP10" i="40" s="1"/>
  <c r="R35" i="35"/>
  <c r="RO10" i="40" s="1"/>
  <c r="Q35" i="35"/>
  <c r="RN10" i="40" s="1"/>
  <c r="P35" i="35"/>
  <c r="RM10" i="40" s="1"/>
  <c r="O35" i="35"/>
  <c r="RL10" i="40" s="1"/>
  <c r="N35" i="35"/>
  <c r="RK10" i="40" s="1"/>
  <c r="M35" i="35"/>
  <c r="RJ10" i="40" s="1"/>
  <c r="L35" i="35"/>
  <c r="K35" i="35"/>
  <c r="J35" i="35"/>
  <c r="I35" i="35"/>
  <c r="RF10" i="40" s="1"/>
  <c r="H35" i="35"/>
  <c r="RE10" i="40" s="1"/>
  <c r="G35" i="35"/>
  <c r="F35" i="35"/>
  <c r="RC10" i="40" s="1"/>
  <c r="BE31" i="35"/>
  <c r="BD31" i="35"/>
  <c r="BC31" i="35"/>
  <c r="BB31" i="35"/>
  <c r="BA31" i="35"/>
  <c r="AZ31" i="35"/>
  <c r="AY31" i="35"/>
  <c r="AX31" i="35"/>
  <c r="AW31" i="35"/>
  <c r="AV31" i="35"/>
  <c r="AU31" i="35"/>
  <c r="AT31" i="35"/>
  <c r="AS31" i="35"/>
  <c r="AR31" i="35"/>
  <c r="AQ31" i="35"/>
  <c r="AP31" i="35"/>
  <c r="AO31" i="35"/>
  <c r="AN31" i="35"/>
  <c r="AM31" i="35"/>
  <c r="AL31" i="35"/>
  <c r="AK31" i="35"/>
  <c r="AJ31" i="35"/>
  <c r="AI31" i="35"/>
  <c r="AH31" i="35"/>
  <c r="AG31" i="35"/>
  <c r="AF31" i="35"/>
  <c r="AE31" i="35"/>
  <c r="AD31" i="35"/>
  <c r="AC31" i="35"/>
  <c r="AB31" i="35"/>
  <c r="AA31" i="35"/>
  <c r="Z31" i="35"/>
  <c r="Y31" i="35"/>
  <c r="X31" i="35"/>
  <c r="W31" i="35"/>
  <c r="V31" i="35"/>
  <c r="U31" i="35"/>
  <c r="T31" i="35"/>
  <c r="S31" i="35"/>
  <c r="R31" i="35"/>
  <c r="Q31" i="35"/>
  <c r="P31" i="35"/>
  <c r="O31" i="35"/>
  <c r="N31" i="35"/>
  <c r="M31" i="35"/>
  <c r="L31" i="35"/>
  <c r="K31" i="35"/>
  <c r="J31" i="35"/>
  <c r="I31" i="35"/>
  <c r="H31" i="35"/>
  <c r="G31" i="35"/>
  <c r="F31" i="35"/>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M27" i="35"/>
  <c r="L27" i="35"/>
  <c r="K27" i="35"/>
  <c r="J27" i="35"/>
  <c r="I27" i="35"/>
  <c r="H27" i="35"/>
  <c r="G27" i="35"/>
  <c r="F27" i="35"/>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BB21" i="35"/>
  <c r="BB20" i="35"/>
  <c r="BB19" i="35"/>
  <c r="BB18" i="35"/>
  <c r="BB17" i="35"/>
  <c r="BB16" i="35"/>
  <c r="BB15" i="35"/>
  <c r="BB14" i="35"/>
  <c r="BB13" i="35"/>
  <c r="BB12" i="35"/>
  <c r="X12" i="35"/>
  <c r="BE42" i="35" s="1"/>
  <c r="O12" i="35"/>
  <c r="F12" i="35"/>
  <c r="BB11" i="35"/>
  <c r="BB10" i="35"/>
  <c r="F9" i="35"/>
  <c r="F8" i="35"/>
  <c r="AZ3" i="35"/>
  <c r="Q48" i="35" s="1"/>
  <c r="AV3" i="35"/>
  <c r="AO3" i="35"/>
  <c r="BA42" i="34"/>
  <c r="AZ42" i="34"/>
  <c r="AY42" i="34"/>
  <c r="AX42" i="34"/>
  <c r="AW42" i="34"/>
  <c r="AV42" i="34"/>
  <c r="AU42" i="34"/>
  <c r="AT42" i="34"/>
  <c r="AS42" i="34"/>
  <c r="AR42" i="34"/>
  <c r="AK42" i="34"/>
  <c r="AJ42" i="34"/>
  <c r="AI42" i="34"/>
  <c r="AH42" i="34"/>
  <c r="AG42" i="34"/>
  <c r="AF42" i="34"/>
  <c r="AE42" i="34"/>
  <c r="AD42" i="34"/>
  <c r="AA42" i="34"/>
  <c r="AA45" i="34" s="1"/>
  <c r="Z42" i="34"/>
  <c r="U42" i="34"/>
  <c r="T42" i="34"/>
  <c r="S42" i="34"/>
  <c r="R42" i="34"/>
  <c r="Q42" i="34"/>
  <c r="P42" i="34"/>
  <c r="M42" i="34"/>
  <c r="L42" i="34"/>
  <c r="K42" i="34"/>
  <c r="K45" i="34" s="1"/>
  <c r="J42" i="34"/>
  <c r="BE41" i="34"/>
  <c r="BD41" i="34"/>
  <c r="BC41" i="34"/>
  <c r="BB41" i="34"/>
  <c r="AY41" i="34"/>
  <c r="AX41" i="34"/>
  <c r="AW41" i="34"/>
  <c r="AV41" i="34"/>
  <c r="AU41" i="34"/>
  <c r="AT41" i="34"/>
  <c r="AO41" i="34"/>
  <c r="AN41" i="34"/>
  <c r="AK41" i="34"/>
  <c r="AJ41" i="34"/>
  <c r="AI41" i="34"/>
  <c r="AH41" i="34"/>
  <c r="AG41" i="34"/>
  <c r="AF41" i="34"/>
  <c r="AE41" i="34"/>
  <c r="AD41" i="34"/>
  <c r="W41" i="34"/>
  <c r="V41" i="34"/>
  <c r="U41" i="34"/>
  <c r="T41" i="34"/>
  <c r="S41" i="34"/>
  <c r="R41" i="34"/>
  <c r="Q41" i="34"/>
  <c r="P41" i="34"/>
  <c r="O41" i="34"/>
  <c r="N41" i="34"/>
  <c r="G41" i="34"/>
  <c r="F41" i="34"/>
  <c r="BE39" i="34"/>
  <c r="BD39" i="34"/>
  <c r="BC39" i="34"/>
  <c r="BB39" i="34"/>
  <c r="BA39" i="34"/>
  <c r="AZ39" i="34"/>
  <c r="AY39" i="34"/>
  <c r="AX39" i="34"/>
  <c r="AQ39" i="34"/>
  <c r="AP39" i="34"/>
  <c r="AO39" i="34"/>
  <c r="AN39" i="34"/>
  <c r="AM39" i="34"/>
  <c r="AL39" i="34"/>
  <c r="AK39" i="34"/>
  <c r="AK45" i="34" s="1"/>
  <c r="AJ39" i="34"/>
  <c r="AJ45" i="34" s="1"/>
  <c r="AG39" i="34"/>
  <c r="AF39" i="34"/>
  <c r="AA39" i="34"/>
  <c r="Z39" i="34"/>
  <c r="Y39" i="34"/>
  <c r="X39" i="34"/>
  <c r="W39" i="34"/>
  <c r="V39" i="34"/>
  <c r="S39" i="34"/>
  <c r="R39" i="34"/>
  <c r="R45" i="34" s="1"/>
  <c r="Q39" i="34"/>
  <c r="Q45" i="34" s="1"/>
  <c r="P39" i="34"/>
  <c r="K39" i="34"/>
  <c r="J39" i="34"/>
  <c r="I39" i="34"/>
  <c r="H39" i="34"/>
  <c r="BE38" i="34"/>
  <c r="BD38" i="34"/>
  <c r="BD44" i="34" s="1"/>
  <c r="BC38" i="34"/>
  <c r="BB38" i="34"/>
  <c r="BB44" i="34" s="1"/>
  <c r="BA38" i="34"/>
  <c r="AZ38" i="34"/>
  <c r="AU38" i="34"/>
  <c r="AT38" i="34"/>
  <c r="AQ38" i="34"/>
  <c r="AP38" i="34"/>
  <c r="AO38" i="34"/>
  <c r="AO44" i="34" s="1"/>
  <c r="AN38" i="34"/>
  <c r="AN44" i="34" s="1"/>
  <c r="AM38" i="34"/>
  <c r="AL38" i="34"/>
  <c r="AK38" i="34"/>
  <c r="AJ38" i="34"/>
  <c r="AC38" i="34"/>
  <c r="AB38" i="34"/>
  <c r="AA38" i="34"/>
  <c r="Z38" i="34"/>
  <c r="Y38" i="34"/>
  <c r="X38" i="34"/>
  <c r="W38" i="34"/>
  <c r="V38" i="34"/>
  <c r="U38" i="34"/>
  <c r="T38" i="34"/>
  <c r="M38" i="34"/>
  <c r="L38" i="34"/>
  <c r="K38" i="34"/>
  <c r="J38" i="34"/>
  <c r="I38" i="34"/>
  <c r="H38" i="34"/>
  <c r="G38" i="34"/>
  <c r="G44" i="34" s="1"/>
  <c r="F38" i="34"/>
  <c r="F44" i="34" s="1"/>
  <c r="BE35" i="34"/>
  <c r="TB9" i="40" s="1"/>
  <c r="BD35" i="34"/>
  <c r="BC35" i="34"/>
  <c r="BB35" i="34"/>
  <c r="BA35" i="34"/>
  <c r="SX9" i="40" s="1"/>
  <c r="AZ35" i="34"/>
  <c r="SW9" i="40" s="1"/>
  <c r="AY35" i="34"/>
  <c r="SV9" i="40" s="1"/>
  <c r="AX35" i="34"/>
  <c r="AW35" i="34"/>
  <c r="AV35" i="34"/>
  <c r="SS9" i="40" s="1"/>
  <c r="AU35" i="34"/>
  <c r="SR9" i="40" s="1"/>
  <c r="AT35" i="34"/>
  <c r="SQ9" i="40" s="1"/>
  <c r="AS35" i="34"/>
  <c r="SP9" i="40" s="1"/>
  <c r="AR35" i="34"/>
  <c r="SO9" i="40" s="1"/>
  <c r="AQ35" i="34"/>
  <c r="SN9" i="40" s="1"/>
  <c r="AP35" i="34"/>
  <c r="AO35" i="34"/>
  <c r="AN35" i="34"/>
  <c r="AM35" i="34"/>
  <c r="AL35" i="34"/>
  <c r="SI9" i="40" s="1"/>
  <c r="AK35" i="34"/>
  <c r="SH9" i="40" s="1"/>
  <c r="AJ35" i="34"/>
  <c r="AI35" i="34"/>
  <c r="AH35" i="34"/>
  <c r="AG35" i="34"/>
  <c r="AF35" i="34"/>
  <c r="AE35" i="34"/>
  <c r="SB9" i="40" s="1"/>
  <c r="AD35" i="34"/>
  <c r="SA9" i="40" s="1"/>
  <c r="AC35" i="34"/>
  <c r="RZ9" i="40" s="1"/>
  <c r="AB35" i="34"/>
  <c r="AA35" i="34"/>
  <c r="Z35" i="34"/>
  <c r="Y35" i="34"/>
  <c r="RV9" i="40" s="1"/>
  <c r="X35" i="34"/>
  <c r="RU9" i="40" s="1"/>
  <c r="W35" i="34"/>
  <c r="RT9" i="40" s="1"/>
  <c r="V35" i="34"/>
  <c r="U35" i="34"/>
  <c r="T35" i="34"/>
  <c r="RQ9" i="40" s="1"/>
  <c r="S35" i="34"/>
  <c r="RP9" i="40" s="1"/>
  <c r="R35" i="34"/>
  <c r="Q35" i="34"/>
  <c r="RN9" i="40" s="1"/>
  <c r="P35" i="34"/>
  <c r="RM9" i="40" s="1"/>
  <c r="O35" i="34"/>
  <c r="RL9" i="40" s="1"/>
  <c r="N35" i="34"/>
  <c r="M35" i="34"/>
  <c r="L35" i="34"/>
  <c r="K35" i="34"/>
  <c r="RH9" i="40" s="1"/>
  <c r="J35" i="34"/>
  <c r="RG9" i="40" s="1"/>
  <c r="I35" i="34"/>
  <c r="RF9" i="40" s="1"/>
  <c r="H35" i="34"/>
  <c r="G35" i="34"/>
  <c r="F35" i="34"/>
  <c r="BE31" i="34"/>
  <c r="BD31" i="34"/>
  <c r="BC31" i="34"/>
  <c r="BB31" i="34"/>
  <c r="BA31" i="34"/>
  <c r="AZ31" i="34"/>
  <c r="AY31" i="34"/>
  <c r="AX31" i="34"/>
  <c r="AW31" i="34"/>
  <c r="AV31" i="34"/>
  <c r="AU31" i="34"/>
  <c r="AT31" i="34"/>
  <c r="AS31" i="34"/>
  <c r="AR31" i="34"/>
  <c r="AQ31" i="34"/>
  <c r="AP31" i="34"/>
  <c r="AO31" i="34"/>
  <c r="AN31" i="34"/>
  <c r="AM31" i="34"/>
  <c r="AL31" i="34"/>
  <c r="AK31" i="34"/>
  <c r="AJ31" i="34"/>
  <c r="AI31" i="34"/>
  <c r="AH31" i="34"/>
  <c r="AG31" i="34"/>
  <c r="AF31"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M27" i="34"/>
  <c r="L27" i="34"/>
  <c r="K27" i="34"/>
  <c r="J27" i="34"/>
  <c r="I27" i="34"/>
  <c r="H27" i="34"/>
  <c r="G27" i="34"/>
  <c r="F27" i="34"/>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BB21" i="34"/>
  <c r="BB20" i="34"/>
  <c r="BB19" i="34"/>
  <c r="BB18" i="34"/>
  <c r="BB17" i="34"/>
  <c r="BB16" i="34"/>
  <c r="BB15" i="34"/>
  <c r="BB14" i="34"/>
  <c r="BB13" i="34"/>
  <c r="BB12" i="34"/>
  <c r="X12" i="34"/>
  <c r="O12" i="34"/>
  <c r="F12" i="34"/>
  <c r="BB11" i="34"/>
  <c r="BB10" i="34"/>
  <c r="F9" i="34"/>
  <c r="F8" i="34"/>
  <c r="AO3" i="34" s="1"/>
  <c r="AZ3" i="34"/>
  <c r="AV3" i="34"/>
  <c r="AE45" i="33"/>
  <c r="AD45" i="33"/>
  <c r="P45" i="33"/>
  <c r="AN44" i="33"/>
  <c r="BA42" i="33"/>
  <c r="AZ42" i="33"/>
  <c r="AZ45" i="33" s="1"/>
  <c r="AY42" i="33"/>
  <c r="AX42" i="33"/>
  <c r="AW42" i="33"/>
  <c r="AV42" i="33"/>
  <c r="AU42" i="33"/>
  <c r="AT42" i="33"/>
  <c r="AS42" i="33"/>
  <c r="AR42" i="33"/>
  <c r="AM42" i="33"/>
  <c r="AL42" i="33"/>
  <c r="AK42" i="33"/>
  <c r="AJ42" i="33"/>
  <c r="AI42" i="33"/>
  <c r="AH42" i="33"/>
  <c r="AG42" i="33"/>
  <c r="AF42" i="33"/>
  <c r="AE42" i="33"/>
  <c r="AD42" i="33"/>
  <c r="Y42" i="33"/>
  <c r="X42" i="33"/>
  <c r="W42" i="33"/>
  <c r="V42" i="33"/>
  <c r="U42" i="33"/>
  <c r="T42" i="33"/>
  <c r="S42" i="33"/>
  <c r="R42" i="33"/>
  <c r="Q42" i="33"/>
  <c r="P42" i="33"/>
  <c r="K42" i="33"/>
  <c r="K45" i="33" s="1"/>
  <c r="J42" i="33"/>
  <c r="I42" i="33"/>
  <c r="H42" i="33"/>
  <c r="G42" i="33"/>
  <c r="F42" i="33"/>
  <c r="BE41" i="33"/>
  <c r="BD41" i="33"/>
  <c r="BC41" i="33"/>
  <c r="BB41" i="33"/>
  <c r="AW41" i="33"/>
  <c r="AV41" i="33"/>
  <c r="AV44" i="33" s="1"/>
  <c r="AU41" i="33"/>
  <c r="AT41" i="33"/>
  <c r="AS41" i="33"/>
  <c r="AR41" i="33"/>
  <c r="AQ41" i="33"/>
  <c r="AP41" i="33"/>
  <c r="AO41" i="33"/>
  <c r="AN41" i="33"/>
  <c r="AI41" i="33"/>
  <c r="AH41" i="33"/>
  <c r="AG41" i="33"/>
  <c r="AF41" i="33"/>
  <c r="AE41" i="33"/>
  <c r="AD41" i="33"/>
  <c r="AC41" i="33"/>
  <c r="AB41" i="33"/>
  <c r="AA41" i="33"/>
  <c r="AA44" i="33" s="1"/>
  <c r="Z41" i="33"/>
  <c r="U41" i="33"/>
  <c r="T41" i="33"/>
  <c r="S41" i="33"/>
  <c r="R41" i="33"/>
  <c r="Q41" i="33"/>
  <c r="P41" i="33"/>
  <c r="O41" i="33"/>
  <c r="N41" i="33"/>
  <c r="M41" i="33"/>
  <c r="L41" i="33"/>
  <c r="G41" i="33"/>
  <c r="G44" i="33" s="1"/>
  <c r="F41" i="33"/>
  <c r="F44" i="33" s="1"/>
  <c r="BE39" i="33"/>
  <c r="BE45" i="33" s="1"/>
  <c r="BD39" i="33"/>
  <c r="BC39" i="33"/>
  <c r="BB39" i="33"/>
  <c r="BA39" i="33"/>
  <c r="AZ39" i="33"/>
  <c r="AY39" i="33"/>
  <c r="AX39" i="33"/>
  <c r="AS39" i="33"/>
  <c r="AS45" i="33" s="1"/>
  <c r="AR39" i="33"/>
  <c r="AQ39" i="33"/>
  <c r="AP39" i="33"/>
  <c r="AO39" i="33"/>
  <c r="AN39" i="33"/>
  <c r="AM39" i="33"/>
  <c r="AM45" i="33" s="1"/>
  <c r="AL39" i="33"/>
  <c r="AK39" i="33"/>
  <c r="AJ39" i="33"/>
  <c r="AE39" i="33"/>
  <c r="AD39" i="33"/>
  <c r="AC39" i="33"/>
  <c r="AB39" i="33"/>
  <c r="AA39" i="33"/>
  <c r="Z39" i="33"/>
  <c r="Y39" i="33"/>
  <c r="X39" i="33"/>
  <c r="W39" i="33"/>
  <c r="V39" i="33"/>
  <c r="V45" i="33" s="1"/>
  <c r="Q39" i="33"/>
  <c r="Q45" i="33" s="1"/>
  <c r="P39" i="33"/>
  <c r="O39" i="33"/>
  <c r="N39" i="33"/>
  <c r="M39" i="33"/>
  <c r="L39" i="33"/>
  <c r="K39" i="33"/>
  <c r="J39" i="33"/>
  <c r="I39" i="33"/>
  <c r="I45" i="33" s="1"/>
  <c r="H39" i="33"/>
  <c r="BC38" i="33"/>
  <c r="BB38" i="33"/>
  <c r="BB44" i="33" s="1"/>
  <c r="BA38" i="33"/>
  <c r="AZ38" i="33"/>
  <c r="AY38" i="33"/>
  <c r="AX38" i="33"/>
  <c r="AW38" i="33"/>
  <c r="AV38" i="33"/>
  <c r="AU38" i="33"/>
  <c r="AT38" i="33"/>
  <c r="AO38" i="33"/>
  <c r="AO44" i="33" s="1"/>
  <c r="AN38" i="33"/>
  <c r="AM38" i="33"/>
  <c r="AL38" i="33"/>
  <c r="AK38" i="33"/>
  <c r="AJ38" i="33"/>
  <c r="AI38" i="33"/>
  <c r="AH38" i="33"/>
  <c r="AH44" i="33" s="1"/>
  <c r="AG38" i="33"/>
  <c r="AG44" i="33" s="1"/>
  <c r="AF38" i="33"/>
  <c r="AA38" i="33"/>
  <c r="Z38" i="33"/>
  <c r="Z44" i="33" s="1"/>
  <c r="Y38" i="33"/>
  <c r="X38" i="33"/>
  <c r="W38" i="33"/>
  <c r="V38" i="33"/>
  <c r="U38" i="33"/>
  <c r="U44" i="33" s="1"/>
  <c r="T38" i="33"/>
  <c r="S38" i="33"/>
  <c r="R38" i="33"/>
  <c r="M38" i="33"/>
  <c r="M44" i="33" s="1"/>
  <c r="L38" i="33"/>
  <c r="L44" i="33" s="1"/>
  <c r="K38" i="33"/>
  <c r="J38" i="33"/>
  <c r="I38" i="33"/>
  <c r="H38" i="33"/>
  <c r="G38" i="33"/>
  <c r="F38" i="33"/>
  <c r="BE35" i="33"/>
  <c r="TB8" i="40" s="1"/>
  <c r="BD35" i="33"/>
  <c r="TA8" i="40" s="1"/>
  <c r="BC35" i="33"/>
  <c r="SZ8" i="40" s="1"/>
  <c r="BB35" i="33"/>
  <c r="SY8" i="40" s="1"/>
  <c r="BA35" i="33"/>
  <c r="AZ35" i="33"/>
  <c r="SW8" i="40" s="1"/>
  <c r="AY35" i="33"/>
  <c r="AX35" i="33"/>
  <c r="AW35" i="33"/>
  <c r="AV35" i="33"/>
  <c r="AU35" i="33"/>
  <c r="AT35" i="33"/>
  <c r="AS35" i="33"/>
  <c r="SP8" i="40" s="1"/>
  <c r="AR35" i="33"/>
  <c r="SO8" i="40" s="1"/>
  <c r="AQ35" i="33"/>
  <c r="SN8" i="40" s="1"/>
  <c r="AP35" i="33"/>
  <c r="SM8" i="40" s="1"/>
  <c r="AO35" i="33"/>
  <c r="SL8" i="40" s="1"/>
  <c r="AN35" i="33"/>
  <c r="SK8" i="40" s="1"/>
  <c r="AM35" i="33"/>
  <c r="AL35" i="33"/>
  <c r="AK35" i="33"/>
  <c r="AJ35" i="33"/>
  <c r="SG8" i="40" s="1"/>
  <c r="AI35" i="33"/>
  <c r="SF8" i="40" s="1"/>
  <c r="AH35" i="33"/>
  <c r="AG35" i="33"/>
  <c r="AF35" i="33"/>
  <c r="AE35" i="33"/>
  <c r="AD35" i="33"/>
  <c r="AC35" i="33"/>
  <c r="AB35" i="33"/>
  <c r="RY8" i="40" s="1"/>
  <c r="AA35" i="33"/>
  <c r="RX8" i="40" s="1"/>
  <c r="Z35" i="33"/>
  <c r="RW8" i="40" s="1"/>
  <c r="Y35" i="33"/>
  <c r="X35" i="33"/>
  <c r="RU8" i="40" s="1"/>
  <c r="W35" i="33"/>
  <c r="RT8" i="40" s="1"/>
  <c r="V35" i="33"/>
  <c r="RS8" i="40" s="1"/>
  <c r="U35" i="33"/>
  <c r="RR8" i="40" s="1"/>
  <c r="T35" i="33"/>
  <c r="S35" i="33"/>
  <c r="RP8" i="40" s="1"/>
  <c r="R35" i="33"/>
  <c r="RO8" i="40" s="1"/>
  <c r="Q35" i="33"/>
  <c r="P35" i="33"/>
  <c r="O35" i="33"/>
  <c r="N35" i="33"/>
  <c r="RK8" i="40" s="1"/>
  <c r="M35" i="33"/>
  <c r="RJ8" i="40" s="1"/>
  <c r="L35" i="33"/>
  <c r="RI8" i="40" s="1"/>
  <c r="K35" i="33"/>
  <c r="J35" i="33"/>
  <c r="RG8" i="40" s="1"/>
  <c r="I35" i="33"/>
  <c r="RF8" i="40" s="1"/>
  <c r="H35" i="33"/>
  <c r="RE8" i="40" s="1"/>
  <c r="G35" i="33"/>
  <c r="RD8" i="40" s="1"/>
  <c r="F35" i="33"/>
  <c r="BE31" i="33"/>
  <c r="BD31" i="33"/>
  <c r="BC31" i="33"/>
  <c r="BB31" i="33"/>
  <c r="BA31" i="33"/>
  <c r="AZ31" i="33"/>
  <c r="AY31" i="33"/>
  <c r="AX31" i="33"/>
  <c r="AW31" i="33"/>
  <c r="AV31" i="33"/>
  <c r="AU31" i="33"/>
  <c r="AT31" i="33"/>
  <c r="AS31" i="33"/>
  <c r="AR31" i="33"/>
  <c r="AQ31" i="33"/>
  <c r="AP31" i="33"/>
  <c r="AO31" i="33"/>
  <c r="AN31" i="33"/>
  <c r="AM31" i="33"/>
  <c r="AL31" i="33"/>
  <c r="AK31" i="33"/>
  <c r="AJ31" i="33"/>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M27" i="33"/>
  <c r="L27" i="33"/>
  <c r="K27" i="33"/>
  <c r="J27" i="33"/>
  <c r="I27" i="33"/>
  <c r="H27" i="33"/>
  <c r="G27" i="33"/>
  <c r="F27" i="33"/>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BB21" i="33"/>
  <c r="BB20" i="33"/>
  <c r="BB19" i="33"/>
  <c r="BB18" i="33"/>
  <c r="BB17" i="33"/>
  <c r="BB16" i="33"/>
  <c r="BB15" i="33"/>
  <c r="BB14" i="33"/>
  <c r="BB13" i="33"/>
  <c r="BB12" i="33"/>
  <c r="X12" i="33"/>
  <c r="BE42" i="33" s="1"/>
  <c r="O12" i="33"/>
  <c r="F12" i="33"/>
  <c r="BB11" i="33"/>
  <c r="BB10" i="33"/>
  <c r="F9" i="33"/>
  <c r="F8" i="33"/>
  <c r="AO3" i="33" s="1"/>
  <c r="AZ3" i="33"/>
  <c r="AV3" i="33"/>
  <c r="D10" i="9"/>
  <c r="O9" i="9"/>
  <c r="M9" i="9"/>
  <c r="F9" i="9"/>
  <c r="L9" i="9" s="1"/>
  <c r="D9" i="9"/>
  <c r="O8" i="9"/>
  <c r="M8" i="9"/>
  <c r="F8" i="9"/>
  <c r="J8" i="9" s="1"/>
  <c r="D8" i="9"/>
  <c r="O7" i="9"/>
  <c r="M7" i="9"/>
  <c r="F7" i="9"/>
  <c r="L7" i="9" s="1"/>
  <c r="D7" i="9"/>
  <c r="C7" i="9"/>
  <c r="AZ45" i="32"/>
  <c r="P45" i="32"/>
  <c r="F44" i="32"/>
  <c r="BD42" i="32"/>
  <c r="BA42" i="32"/>
  <c r="AZ42" i="32"/>
  <c r="AY42" i="32"/>
  <c r="AX42" i="32"/>
  <c r="AV42" i="32"/>
  <c r="AU42" i="32"/>
  <c r="AT42" i="32"/>
  <c r="AS42" i="32"/>
  <c r="AR42" i="32"/>
  <c r="AP42" i="32"/>
  <c r="AM42" i="32"/>
  <c r="AL42" i="32"/>
  <c r="AL45" i="32" s="1"/>
  <c r="AK42" i="32"/>
  <c r="AJ42" i="32"/>
  <c r="AH42" i="32"/>
  <c r="AG42" i="32"/>
  <c r="AF42" i="32"/>
  <c r="AE42" i="32"/>
  <c r="AD42" i="32"/>
  <c r="AB42" i="32"/>
  <c r="Y42" i="32"/>
  <c r="X42" i="32"/>
  <c r="W42" i="32"/>
  <c r="V42" i="32"/>
  <c r="T42" i="32"/>
  <c r="S42" i="32"/>
  <c r="R42" i="32"/>
  <c r="Q42" i="32"/>
  <c r="Q45" i="32" s="1"/>
  <c r="P42" i="32"/>
  <c r="N42" i="32"/>
  <c r="K42" i="32"/>
  <c r="J42" i="32"/>
  <c r="I42" i="32"/>
  <c r="H42" i="32"/>
  <c r="F42" i="32"/>
  <c r="BE41" i="32"/>
  <c r="BD41" i="32"/>
  <c r="BC41" i="32"/>
  <c r="BB41" i="32"/>
  <c r="AZ41" i="32"/>
  <c r="AW41" i="32"/>
  <c r="AV41" i="32"/>
  <c r="AU41" i="32"/>
  <c r="AT41" i="32"/>
  <c r="AR41" i="32"/>
  <c r="AQ41" i="32"/>
  <c r="AP41" i="32"/>
  <c r="AO41" i="32"/>
  <c r="AN41" i="32"/>
  <c r="AL41" i="32"/>
  <c r="AI41" i="32"/>
  <c r="AH41" i="32"/>
  <c r="AG41" i="32"/>
  <c r="AF41" i="32"/>
  <c r="AD41" i="32"/>
  <c r="AC41" i="32"/>
  <c r="AB41" i="32"/>
  <c r="AA41" i="32"/>
  <c r="Z41" i="32"/>
  <c r="X41" i="32"/>
  <c r="U41" i="32"/>
  <c r="T41" i="32"/>
  <c r="S41" i="32"/>
  <c r="R41" i="32"/>
  <c r="P41" i="32"/>
  <c r="O41" i="32"/>
  <c r="N41" i="32"/>
  <c r="M41" i="32"/>
  <c r="M44" i="32" s="1"/>
  <c r="L41" i="32"/>
  <c r="L44" i="32" s="1"/>
  <c r="J41" i="32"/>
  <c r="G41" i="32"/>
  <c r="F41" i="32"/>
  <c r="BE39" i="32"/>
  <c r="BD39" i="32"/>
  <c r="BB39" i="32"/>
  <c r="BA39" i="32"/>
  <c r="BA45" i="32" s="1"/>
  <c r="AZ39" i="32"/>
  <c r="AY39" i="32"/>
  <c r="AY45" i="32" s="1"/>
  <c r="AX39" i="32"/>
  <c r="AX45" i="32" s="1"/>
  <c r="AV39" i="32"/>
  <c r="AS39" i="32"/>
  <c r="AR39" i="32"/>
  <c r="AR45" i="32" s="1"/>
  <c r="AQ39" i="32"/>
  <c r="AP39" i="32"/>
  <c r="AP45" i="32" s="1"/>
  <c r="AN39" i="32"/>
  <c r="AM39" i="32"/>
  <c r="AL39" i="32"/>
  <c r="AK39" i="32"/>
  <c r="AJ39" i="32"/>
  <c r="AJ45" i="32" s="1"/>
  <c r="AH39" i="32"/>
  <c r="AH45" i="32" s="1"/>
  <c r="AE39" i="32"/>
  <c r="AE45" i="32" s="1"/>
  <c r="AD39" i="32"/>
  <c r="AD45" i="32" s="1"/>
  <c r="AC39" i="32"/>
  <c r="AB39" i="32"/>
  <c r="Z39" i="32"/>
  <c r="Y39" i="32"/>
  <c r="Y45" i="32" s="1"/>
  <c r="X39" i="32"/>
  <c r="X45" i="32" s="1"/>
  <c r="W39" i="32"/>
  <c r="V39" i="32"/>
  <c r="T39" i="32"/>
  <c r="T45" i="32" s="1"/>
  <c r="Q39" i="32"/>
  <c r="P39" i="32"/>
  <c r="O39" i="32"/>
  <c r="N39" i="32"/>
  <c r="N45" i="32" s="1"/>
  <c r="L39" i="32"/>
  <c r="K39" i="32"/>
  <c r="K45" i="32" s="1"/>
  <c r="J39" i="32"/>
  <c r="J45" i="32" s="1"/>
  <c r="I39" i="32"/>
  <c r="H39" i="32"/>
  <c r="F39" i="32"/>
  <c r="F45" i="32" s="1"/>
  <c r="BC38" i="32"/>
  <c r="BC44" i="32" s="1"/>
  <c r="BB38" i="32"/>
  <c r="BB44" i="32" s="1"/>
  <c r="BA38" i="32"/>
  <c r="AZ38" i="32"/>
  <c r="AX38" i="32"/>
  <c r="AW38" i="32"/>
  <c r="AV38" i="32"/>
  <c r="AV44" i="32" s="1"/>
  <c r="AU38" i="32"/>
  <c r="AU44" i="32" s="1"/>
  <c r="AT38" i="32"/>
  <c r="AR38" i="32"/>
  <c r="AR44" i="32" s="1"/>
  <c r="AO38" i="32"/>
  <c r="AN38" i="32"/>
  <c r="AN44" i="32" s="1"/>
  <c r="AM38" i="32"/>
  <c r="AL38" i="32"/>
  <c r="AL44" i="32" s="1"/>
  <c r="AJ38" i="32"/>
  <c r="AI38" i="32"/>
  <c r="AI44" i="32" s="1"/>
  <c r="AH38" i="32"/>
  <c r="AG38" i="32"/>
  <c r="AF38" i="32"/>
  <c r="AD38" i="32"/>
  <c r="AA38" i="32"/>
  <c r="AA44" i="32" s="1"/>
  <c r="Z38" i="32"/>
  <c r="Z44" i="32" s="1"/>
  <c r="Y38" i="32"/>
  <c r="X38" i="32"/>
  <c r="X44" i="32" s="1"/>
  <c r="V38" i="32"/>
  <c r="U38" i="32"/>
  <c r="T38" i="32"/>
  <c r="S38" i="32"/>
  <c r="S44" i="32" s="1"/>
  <c r="R38" i="32"/>
  <c r="R44" i="32" s="1"/>
  <c r="P38" i="32"/>
  <c r="P44" i="32" s="1"/>
  <c r="M38" i="32"/>
  <c r="L38" i="32"/>
  <c r="K38" i="32"/>
  <c r="J38" i="32"/>
  <c r="H38" i="32"/>
  <c r="G38" i="32"/>
  <c r="G44" i="32" s="1"/>
  <c r="F38" i="32"/>
  <c r="BE35" i="32"/>
  <c r="BD35" i="32"/>
  <c r="BC35" i="32"/>
  <c r="SZ7" i="40" s="1"/>
  <c r="BB35" i="32"/>
  <c r="BA35" i="32"/>
  <c r="SX7" i="40" s="1"/>
  <c r="AZ35" i="32"/>
  <c r="SW7" i="40" s="1"/>
  <c r="AY35" i="32"/>
  <c r="SV7" i="40" s="1"/>
  <c r="AX35" i="32"/>
  <c r="SU7" i="40" s="1"/>
  <c r="AW35" i="32"/>
  <c r="ST7" i="40" s="1"/>
  <c r="AV35" i="32"/>
  <c r="AU35" i="32"/>
  <c r="AT35" i="32"/>
  <c r="SQ7" i="40" s="1"/>
  <c r="AS35" i="32"/>
  <c r="SP7" i="40" s="1"/>
  <c r="AR35" i="32"/>
  <c r="SO7" i="40" s="1"/>
  <c r="AQ35" i="32"/>
  <c r="SN7" i="40" s="1"/>
  <c r="AP35" i="32"/>
  <c r="AO35" i="32"/>
  <c r="SL7" i="40" s="1"/>
  <c r="AN35" i="32"/>
  <c r="AM35" i="32"/>
  <c r="SJ7" i="40" s="1"/>
  <c r="AL35" i="32"/>
  <c r="SI7" i="40" s="1"/>
  <c r="AK35" i="32"/>
  <c r="SH7" i="40" s="1"/>
  <c r="AJ35" i="32"/>
  <c r="AI35" i="32"/>
  <c r="SF7" i="40" s="1"/>
  <c r="AH35" i="32"/>
  <c r="AG35" i="32"/>
  <c r="AF35" i="32"/>
  <c r="AE35" i="32"/>
  <c r="SB7" i="40" s="1"/>
  <c r="AD35" i="32"/>
  <c r="AC35" i="32"/>
  <c r="AB35" i="32"/>
  <c r="AA35" i="32"/>
  <c r="RX7" i="40" s="1"/>
  <c r="Z35" i="32"/>
  <c r="Y35" i="32"/>
  <c r="RV7" i="40" s="1"/>
  <c r="X35" i="32"/>
  <c r="RU7" i="40" s="1"/>
  <c r="W35" i="32"/>
  <c r="RT7" i="40" s="1"/>
  <c r="V35" i="32"/>
  <c r="U35" i="32"/>
  <c r="T35" i="32"/>
  <c r="S35" i="32"/>
  <c r="R35" i="32"/>
  <c r="RO7" i="40" s="1"/>
  <c r="Q35" i="32"/>
  <c r="RN7" i="40" s="1"/>
  <c r="P35" i="32"/>
  <c r="O35" i="32"/>
  <c r="N35" i="32"/>
  <c r="M35" i="32"/>
  <c r="L35" i="32"/>
  <c r="K35" i="32"/>
  <c r="RH7" i="40" s="1"/>
  <c r="J35" i="32"/>
  <c r="RG7" i="40" s="1"/>
  <c r="I35" i="32"/>
  <c r="RF7" i="40" s="1"/>
  <c r="H35" i="32"/>
  <c r="RE7" i="40" s="1"/>
  <c r="G35" i="32"/>
  <c r="RD7" i="40" s="1"/>
  <c r="F35" i="32"/>
  <c r="BE31" i="32"/>
  <c r="BD31" i="32"/>
  <c r="BC31" i="32"/>
  <c r="BB31" i="32"/>
  <c r="BA31" i="32"/>
  <c r="AZ31" i="32"/>
  <c r="AY31" i="32"/>
  <c r="AX31" i="32"/>
  <c r="AW31" i="32"/>
  <c r="AV31" i="32"/>
  <c r="AU31" i="32"/>
  <c r="AT31" i="32"/>
  <c r="AS31" i="32"/>
  <c r="AR31"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BB21" i="32"/>
  <c r="BB20" i="32"/>
  <c r="BB19" i="32"/>
  <c r="BB18" i="32"/>
  <c r="BB17" i="32"/>
  <c r="BB16" i="32"/>
  <c r="BB15" i="32"/>
  <c r="BB14" i="32"/>
  <c r="BB13" i="32"/>
  <c r="BB12" i="32"/>
  <c r="X12" i="32"/>
  <c r="BE42" i="32" s="1"/>
  <c r="O12" i="32"/>
  <c r="F12" i="32"/>
  <c r="BB11" i="32"/>
  <c r="BB10" i="32"/>
  <c r="F9" i="32"/>
  <c r="F8" i="32"/>
  <c r="AO3" i="32" s="1"/>
  <c r="AZ3" i="32"/>
  <c r="AJ48" i="32" s="1"/>
  <c r="AV3" i="32"/>
  <c r="AX42" i="31"/>
  <c r="AW41" i="31"/>
  <c r="AT41" i="31"/>
  <c r="AC41" i="31"/>
  <c r="AB41" i="31"/>
  <c r="AA41" i="31"/>
  <c r="Z39" i="31"/>
  <c r="Y39" i="31"/>
  <c r="X39" i="31"/>
  <c r="BE38" i="31"/>
  <c r="BD38" i="31"/>
  <c r="BE35" i="31"/>
  <c r="BD35" i="31"/>
  <c r="TA6" i="40" s="1"/>
  <c r="BC35" i="31"/>
  <c r="SZ6" i="40" s="1"/>
  <c r="BB35" i="31"/>
  <c r="SY6" i="40" s="1"/>
  <c r="BA35" i="31"/>
  <c r="SX6" i="40" s="1"/>
  <c r="AZ35" i="31"/>
  <c r="AY35" i="31"/>
  <c r="AX35" i="31"/>
  <c r="SU6" i="40" s="1"/>
  <c r="AW35" i="31"/>
  <c r="ST6" i="40" s="1"/>
  <c r="AV35" i="31"/>
  <c r="SS6" i="40" s="1"/>
  <c r="AU35" i="31"/>
  <c r="SR6" i="40" s="1"/>
  <c r="AT35" i="31"/>
  <c r="AS35" i="31"/>
  <c r="AR35" i="31"/>
  <c r="AQ35" i="31"/>
  <c r="SN6" i="40" s="1"/>
  <c r="AP35" i="31"/>
  <c r="SM6" i="40" s="1"/>
  <c r="AO35" i="31"/>
  <c r="SL6" i="40" s="1"/>
  <c r="AN35" i="31"/>
  <c r="AM35" i="31"/>
  <c r="SJ6" i="40" s="1"/>
  <c r="AL35" i="31"/>
  <c r="SI6" i="40" s="1"/>
  <c r="AK35" i="31"/>
  <c r="SH6" i="40" s="1"/>
  <c r="AJ35" i="31"/>
  <c r="SG6" i="40" s="1"/>
  <c r="AI35" i="31"/>
  <c r="SF6" i="40" s="1"/>
  <c r="AH35" i="31"/>
  <c r="SE6" i="40" s="1"/>
  <c r="AG35" i="31"/>
  <c r="SD6" i="40" s="1"/>
  <c r="AF35" i="31"/>
  <c r="AE35" i="31"/>
  <c r="AD35" i="31"/>
  <c r="AC35" i="31"/>
  <c r="AB35" i="31"/>
  <c r="RY6" i="40" s="1"/>
  <c r="AA35" i="31"/>
  <c r="RX6" i="40" s="1"/>
  <c r="Z35" i="31"/>
  <c r="RW6" i="40" s="1"/>
  <c r="Y35" i="31"/>
  <c r="RV6" i="40" s="1"/>
  <c r="X35" i="31"/>
  <c r="RU6" i="40" s="1"/>
  <c r="W35" i="31"/>
  <c r="RT6" i="40" s="1"/>
  <c r="V35" i="31"/>
  <c r="RS6" i="40" s="1"/>
  <c r="U35" i="31"/>
  <c r="RR6" i="40" s="1"/>
  <c r="T35" i="31"/>
  <c r="RQ6" i="40" s="1"/>
  <c r="S35" i="31"/>
  <c r="RP6" i="40" s="1"/>
  <c r="R35" i="31"/>
  <c r="Q35" i="31"/>
  <c r="RN6" i="40" s="1"/>
  <c r="P35" i="31"/>
  <c r="O35" i="31"/>
  <c r="N35" i="31"/>
  <c r="RK6" i="40" s="1"/>
  <c r="M35" i="31"/>
  <c r="RJ6" i="40" s="1"/>
  <c r="L35" i="31"/>
  <c r="K35" i="31"/>
  <c r="J35" i="31"/>
  <c r="I35" i="31"/>
  <c r="RF6" i="40" s="1"/>
  <c r="H35" i="31"/>
  <c r="RE6" i="40" s="1"/>
  <c r="G35" i="31"/>
  <c r="RD6" i="40" s="1"/>
  <c r="F35" i="31"/>
  <c r="RC6" i="40" s="1"/>
  <c r="BE31" i="31"/>
  <c r="BD31" i="31"/>
  <c r="BC31" i="31"/>
  <c r="BB31" i="31"/>
  <c r="BA31" i="31"/>
  <c r="AZ31" i="31"/>
  <c r="AY31" i="31"/>
  <c r="AX31" i="31"/>
  <c r="AW31" i="31"/>
  <c r="AV31" i="31"/>
  <c r="AU31" i="31"/>
  <c r="AT31" i="31"/>
  <c r="AS31" i="31"/>
  <c r="AR31" i="31"/>
  <c r="AQ31" i="31"/>
  <c r="AP31" i="31"/>
  <c r="AO31" i="31"/>
  <c r="AN31" i="31"/>
  <c r="AM31" i="31"/>
  <c r="AL31" i="31"/>
  <c r="AK31" i="31"/>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M27" i="31"/>
  <c r="L27" i="31"/>
  <c r="K27" i="31"/>
  <c r="J27" i="31"/>
  <c r="I27" i="31"/>
  <c r="H27" i="31"/>
  <c r="G27" i="31"/>
  <c r="F27" i="3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BB21" i="31"/>
  <c r="BB20" i="31"/>
  <c r="BB19" i="31"/>
  <c r="BB18" i="31"/>
  <c r="BB17" i="31"/>
  <c r="BB16" i="31"/>
  <c r="BB15" i="31"/>
  <c r="BB14" i="31"/>
  <c r="BB13" i="31"/>
  <c r="BB12" i="31"/>
  <c r="X12" i="31"/>
  <c r="AR42" i="31" s="1"/>
  <c r="O12" i="31"/>
  <c r="F12" i="31"/>
  <c r="BB11" i="31"/>
  <c r="BB10" i="31"/>
  <c r="F9" i="31"/>
  <c r="F8" i="31"/>
  <c r="AO3" i="31" s="1"/>
  <c r="AZ3" i="31"/>
  <c r="AV3" i="31"/>
  <c r="AZ45" i="30"/>
  <c r="J45" i="30"/>
  <c r="I45" i="30"/>
  <c r="L44" i="30"/>
  <c r="K44" i="30"/>
  <c r="BE42" i="30"/>
  <c r="BA42" i="30"/>
  <c r="AZ42" i="30"/>
  <c r="AY42" i="30"/>
  <c r="AX42" i="30"/>
  <c r="AW42" i="30"/>
  <c r="AV42" i="30"/>
  <c r="AU42" i="30"/>
  <c r="AT42" i="30"/>
  <c r="AS42" i="30"/>
  <c r="AR42" i="30"/>
  <c r="AR45" i="30" s="1"/>
  <c r="AQ42" i="30"/>
  <c r="AM42" i="30"/>
  <c r="AL42" i="30"/>
  <c r="AK42" i="30"/>
  <c r="AJ42" i="30"/>
  <c r="AI42" i="30"/>
  <c r="AH42" i="30"/>
  <c r="AG42" i="30"/>
  <c r="AF42" i="30"/>
  <c r="AE42" i="30"/>
  <c r="AD42" i="30"/>
  <c r="AC42" i="30"/>
  <c r="Y42" i="30"/>
  <c r="X42" i="30"/>
  <c r="W42" i="30"/>
  <c r="V42" i="30"/>
  <c r="U42" i="30"/>
  <c r="T42" i="30"/>
  <c r="S42" i="30"/>
  <c r="R42" i="30"/>
  <c r="Q42" i="30"/>
  <c r="P42" i="30"/>
  <c r="O42" i="30"/>
  <c r="O45" i="30" s="1"/>
  <c r="K42" i="30"/>
  <c r="J42" i="30"/>
  <c r="I42" i="30"/>
  <c r="H42" i="30"/>
  <c r="G42" i="30"/>
  <c r="F42" i="30"/>
  <c r="BE41" i="30"/>
  <c r="BD41" i="30"/>
  <c r="BC41" i="30"/>
  <c r="BB41" i="30"/>
  <c r="BA41" i="30"/>
  <c r="AW41" i="30"/>
  <c r="AV41" i="30"/>
  <c r="AU41" i="30"/>
  <c r="AT41" i="30"/>
  <c r="AS41" i="30"/>
  <c r="AR41" i="30"/>
  <c r="AQ41" i="30"/>
  <c r="AP41" i="30"/>
  <c r="AO41" i="30"/>
  <c r="AO44" i="30" s="1"/>
  <c r="AN41" i="30"/>
  <c r="AM41" i="30"/>
  <c r="AI41" i="30"/>
  <c r="AH41" i="30"/>
  <c r="AG41" i="30"/>
  <c r="AG44" i="30" s="1"/>
  <c r="AF41" i="30"/>
  <c r="AE41" i="30"/>
  <c r="AD41" i="30"/>
  <c r="AC41" i="30"/>
  <c r="AB41" i="30"/>
  <c r="AA41" i="30"/>
  <c r="Z41" i="30"/>
  <c r="Y41" i="30"/>
  <c r="Y44" i="30" s="1"/>
  <c r="U41" i="30"/>
  <c r="T41" i="30"/>
  <c r="S41" i="30"/>
  <c r="R41" i="30"/>
  <c r="Q41" i="30"/>
  <c r="P41" i="30"/>
  <c r="O41" i="30"/>
  <c r="N41" i="30"/>
  <c r="M41" i="30"/>
  <c r="M44" i="30" s="1"/>
  <c r="L41" i="30"/>
  <c r="K41" i="30"/>
  <c r="G41" i="30"/>
  <c r="F41" i="30"/>
  <c r="F44" i="30" s="1"/>
  <c r="BE39" i="30"/>
  <c r="BE45" i="30" s="1"/>
  <c r="BD39" i="30"/>
  <c r="BD45" i="30" s="1"/>
  <c r="BC39" i="30"/>
  <c r="BB39" i="30"/>
  <c r="BA39" i="30"/>
  <c r="AZ39" i="30"/>
  <c r="AY39" i="30"/>
  <c r="AY45" i="30" s="1"/>
  <c r="AX39" i="30"/>
  <c r="AW39" i="30"/>
  <c r="AS39" i="30"/>
  <c r="AR39" i="30"/>
  <c r="AQ39" i="30"/>
  <c r="AP39" i="30"/>
  <c r="AO39" i="30"/>
  <c r="AN39" i="30"/>
  <c r="AM39" i="30"/>
  <c r="AL39" i="30"/>
  <c r="AL45" i="30" s="1"/>
  <c r="AK39" i="30"/>
  <c r="AJ39" i="30"/>
  <c r="AI39" i="30"/>
  <c r="AE39" i="30"/>
  <c r="AE45" i="30" s="1"/>
  <c r="AD39" i="30"/>
  <c r="AD45" i="30" s="1"/>
  <c r="AC39" i="30"/>
  <c r="AC45" i="30" s="1"/>
  <c r="AB39" i="30"/>
  <c r="AA39" i="30"/>
  <c r="Z39" i="30"/>
  <c r="Y39" i="30"/>
  <c r="X39" i="30"/>
  <c r="W39" i="30"/>
  <c r="V39" i="30"/>
  <c r="U39" i="30"/>
  <c r="U45" i="30" s="1"/>
  <c r="Q39" i="30"/>
  <c r="P39" i="30"/>
  <c r="O39" i="30"/>
  <c r="N39" i="30"/>
  <c r="M39" i="30"/>
  <c r="L39" i="30"/>
  <c r="K39" i="30"/>
  <c r="K45" i="30" s="1"/>
  <c r="J39" i="30"/>
  <c r="I39" i="30"/>
  <c r="H39" i="30"/>
  <c r="G39" i="30"/>
  <c r="BC38" i="30"/>
  <c r="BC44" i="30" s="1"/>
  <c r="BB38" i="30"/>
  <c r="BB44" i="30" s="1"/>
  <c r="BA38" i="30"/>
  <c r="BA44" i="30" s="1"/>
  <c r="AZ38" i="30"/>
  <c r="AY38" i="30"/>
  <c r="AX38" i="30"/>
  <c r="AW38" i="30"/>
  <c r="AW44" i="30" s="1"/>
  <c r="AV38" i="30"/>
  <c r="AV44" i="30" s="1"/>
  <c r="AU38" i="30"/>
  <c r="AT38" i="30"/>
  <c r="AS38" i="30"/>
  <c r="AO38" i="30"/>
  <c r="AN38" i="30"/>
  <c r="AM38" i="30"/>
  <c r="AM44" i="30" s="1"/>
  <c r="AL38" i="30"/>
  <c r="AK38" i="30"/>
  <c r="AJ38" i="30"/>
  <c r="AI38" i="30"/>
  <c r="AH38" i="30"/>
  <c r="AG38" i="30"/>
  <c r="AF38" i="30"/>
  <c r="AE38" i="30"/>
  <c r="AA38" i="30"/>
  <c r="AA44" i="30" s="1"/>
  <c r="Z38" i="30"/>
  <c r="Y38" i="30"/>
  <c r="X38" i="30"/>
  <c r="W38" i="30"/>
  <c r="V38" i="30"/>
  <c r="U38" i="30"/>
  <c r="T38" i="30"/>
  <c r="S38" i="30"/>
  <c r="S44" i="30" s="1"/>
  <c r="R38" i="30"/>
  <c r="Q38" i="30"/>
  <c r="M38" i="30"/>
  <c r="L38" i="30"/>
  <c r="K38" i="30"/>
  <c r="J38" i="30"/>
  <c r="I38" i="30"/>
  <c r="H38" i="30"/>
  <c r="G38" i="30"/>
  <c r="F38" i="30"/>
  <c r="BE35" i="30"/>
  <c r="BD35" i="30"/>
  <c r="BC35" i="30"/>
  <c r="SZ5" i="40" s="1"/>
  <c r="BB35" i="30"/>
  <c r="SY5" i="40" s="1"/>
  <c r="BA35" i="30"/>
  <c r="AZ35" i="30"/>
  <c r="AY35" i="30"/>
  <c r="AX35" i="30"/>
  <c r="AW35" i="30"/>
  <c r="AV35" i="30"/>
  <c r="SS5" i="40" s="1"/>
  <c r="AU35" i="30"/>
  <c r="SR5" i="40" s="1"/>
  <c r="AT35" i="30"/>
  <c r="SQ5" i="40" s="1"/>
  <c r="AS35" i="30"/>
  <c r="AR35" i="30"/>
  <c r="SO5" i="40" s="1"/>
  <c r="AQ35" i="30"/>
  <c r="SN5" i="40" s="1"/>
  <c r="AP35" i="30"/>
  <c r="SM5" i="40" s="1"/>
  <c r="AO35" i="30"/>
  <c r="SL5" i="40" s="1"/>
  <c r="AN35" i="30"/>
  <c r="SK5" i="40" s="1"/>
  <c r="AM35" i="30"/>
  <c r="AL35" i="30"/>
  <c r="SI5" i="40" s="1"/>
  <c r="AK35" i="30"/>
  <c r="SH5" i="40" s="1"/>
  <c r="AJ35" i="30"/>
  <c r="AI35" i="30"/>
  <c r="AH35" i="30"/>
  <c r="SE5" i="40" s="1"/>
  <c r="AG35" i="30"/>
  <c r="SD5" i="40" s="1"/>
  <c r="AF35" i="30"/>
  <c r="SC5" i="40" s="1"/>
  <c r="AE35" i="30"/>
  <c r="AD35" i="30"/>
  <c r="AC35" i="30"/>
  <c r="AB35" i="30"/>
  <c r="RY5" i="40" s="1"/>
  <c r="AA35" i="30"/>
  <c r="RX5" i="40" s="1"/>
  <c r="Z35" i="30"/>
  <c r="Y35" i="30"/>
  <c r="X35" i="30"/>
  <c r="W35" i="30"/>
  <c r="RT5" i="40" s="1"/>
  <c r="V35" i="30"/>
  <c r="RS5" i="40" s="1"/>
  <c r="U35" i="30"/>
  <c r="RR5" i="40" s="1"/>
  <c r="T35" i="30"/>
  <c r="RQ5" i="40" s="1"/>
  <c r="S35" i="30"/>
  <c r="RP5" i="40" s="1"/>
  <c r="R35" i="30"/>
  <c r="RO5" i="40" s="1"/>
  <c r="Q35" i="30"/>
  <c r="P35" i="30"/>
  <c r="O35" i="30"/>
  <c r="N35" i="30"/>
  <c r="M35" i="30"/>
  <c r="L35" i="30"/>
  <c r="RI5" i="40" s="1"/>
  <c r="K35" i="30"/>
  <c r="J35" i="30"/>
  <c r="I35" i="30"/>
  <c r="H35" i="30"/>
  <c r="G35" i="30"/>
  <c r="F35" i="30"/>
  <c r="RC5" i="40" s="1"/>
  <c r="BE31" i="30"/>
  <c r="BD31" i="30"/>
  <c r="BC31" i="30"/>
  <c r="BB31"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M27" i="30"/>
  <c r="L27" i="30"/>
  <c r="K27" i="30"/>
  <c r="J27" i="30"/>
  <c r="I27" i="30"/>
  <c r="H27" i="30"/>
  <c r="G27" i="30"/>
  <c r="F27" i="30"/>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BB21" i="30"/>
  <c r="BB20" i="30"/>
  <c r="BB19" i="30"/>
  <c r="BB18" i="30"/>
  <c r="BB17" i="30"/>
  <c r="BB16" i="30"/>
  <c r="BB15" i="30"/>
  <c r="BB14" i="30"/>
  <c r="BB13" i="30"/>
  <c r="BB12" i="30"/>
  <c r="X12" i="30"/>
  <c r="BD42" i="30" s="1"/>
  <c r="O12" i="30"/>
  <c r="F12" i="30"/>
  <c r="BB11" i="30"/>
  <c r="BB10" i="30"/>
  <c r="F9" i="30"/>
  <c r="F8" i="30"/>
  <c r="AO3" i="30" s="1"/>
  <c r="AZ3" i="30"/>
  <c r="AV3" i="30"/>
  <c r="F6" i="9"/>
  <c r="L6" i="9" s="1"/>
  <c r="F5" i="9"/>
  <c r="D5" i="9" s="1"/>
  <c r="E5" i="9" s="1"/>
  <c r="M6" i="9"/>
  <c r="M5" i="9"/>
  <c r="L5" i="9"/>
  <c r="K5" i="9"/>
  <c r="J5" i="9"/>
  <c r="X12" i="5"/>
  <c r="O12" i="5"/>
  <c r="Q3" i="40" s="1"/>
  <c r="F12" i="5"/>
  <c r="M3" i="40" s="1"/>
  <c r="X12" i="13"/>
  <c r="P41" i="13" s="1"/>
  <c r="O12" i="13"/>
  <c r="F12" i="13"/>
  <c r="M4" i="40" s="1"/>
  <c r="F9" i="5"/>
  <c r="F8" i="5"/>
  <c r="F3" i="40" s="1"/>
  <c r="AV3" i="5"/>
  <c r="AV3" i="13"/>
  <c r="O6" i="9" s="1"/>
  <c r="F9" i="13"/>
  <c r="F8" i="13"/>
  <c r="AO3" i="13" s="1"/>
  <c r="AL35" i="13"/>
  <c r="AK35" i="13"/>
  <c r="AJ35" i="13"/>
  <c r="AD35" i="13"/>
  <c r="AC35" i="13"/>
  <c r="AB35" i="13"/>
  <c r="U35" i="13"/>
  <c r="T35" i="13"/>
  <c r="S35" i="13"/>
  <c r="Q35" i="13"/>
  <c r="P35" i="13"/>
  <c r="O35" i="13"/>
  <c r="N35" i="13"/>
  <c r="M35" i="13"/>
  <c r="L35" i="13"/>
  <c r="K35" i="13"/>
  <c r="J35" i="13"/>
  <c r="I35" i="13"/>
  <c r="H35" i="13"/>
  <c r="G35" i="13"/>
  <c r="F35" i="13"/>
  <c r="AM35" i="13"/>
  <c r="AF35" i="13"/>
  <c r="AE35" i="13"/>
  <c r="V35"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LE4" i="40" s="1"/>
  <c r="G31" i="13"/>
  <c r="F31"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G27" i="13"/>
  <c r="FD4" i="40" s="1"/>
  <c r="F27" i="13"/>
  <c r="FC4" i="40" s="1"/>
  <c r="M27" i="13"/>
  <c r="H23" i="13"/>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G23" i="13"/>
  <c r="AZ3" i="13"/>
  <c r="BB10" i="13" s="1"/>
  <c r="V33" i="5"/>
  <c r="W33" i="5" s="1"/>
  <c r="X33" i="5" s="1"/>
  <c r="Y33" i="5" s="1"/>
  <c r="Z33" i="5" s="1"/>
  <c r="AA33" i="5" s="1"/>
  <c r="AC33" i="5"/>
  <c r="AD33" i="5" s="1"/>
  <c r="AE33" i="5" s="1"/>
  <c r="AF33" i="5" s="1"/>
  <c r="AG33" i="5" s="1"/>
  <c r="AH33" i="5" s="1"/>
  <c r="AI33" i="5" s="1"/>
  <c r="AK33" i="5"/>
  <c r="AL33" i="5" s="1"/>
  <c r="AM33" i="5" s="1"/>
  <c r="AN33" i="5" s="1"/>
  <c r="AO33" i="5" s="1"/>
  <c r="AP33" i="5" s="1"/>
  <c r="AQ33" i="5" s="1"/>
  <c r="AR33" i="5" s="1"/>
  <c r="AS33" i="5" s="1"/>
  <c r="AT33" i="5" s="1"/>
  <c r="AU33" i="5" s="1"/>
  <c r="AV33" i="5" s="1"/>
  <c r="AW33" i="5" s="1"/>
  <c r="AX33" i="5" s="1"/>
  <c r="AY33" i="5" s="1"/>
  <c r="AZ33" i="5" s="1"/>
  <c r="BA33" i="5" s="1"/>
  <c r="BB33" i="5" s="1"/>
  <c r="BC33" i="5" s="1"/>
  <c r="BD33" i="5" s="1"/>
  <c r="BE33" i="5" s="1"/>
  <c r="F35" i="5"/>
  <c r="Q33" i="5"/>
  <c r="R33" i="5" s="1"/>
  <c r="S33" i="5" s="1"/>
  <c r="T33" i="5" s="1"/>
  <c r="G35" i="5"/>
  <c r="G25" i="5"/>
  <c r="H25" i="5" s="1"/>
  <c r="I25" i="5" s="1"/>
  <c r="J25" i="5" l="1"/>
  <c r="BF3" i="40"/>
  <c r="BE3" i="40"/>
  <c r="C5" i="9"/>
  <c r="Y3" i="40"/>
  <c r="O5" i="9"/>
  <c r="U4" i="40"/>
  <c r="AI38" i="13"/>
  <c r="I5" i="9"/>
  <c r="U3" i="40"/>
  <c r="F38" i="5"/>
  <c r="AN42" i="13"/>
  <c r="AJ38" i="13"/>
  <c r="Q4" i="40"/>
  <c r="C6" i="9"/>
  <c r="J6" i="9"/>
  <c r="K6" i="9"/>
  <c r="AU44" i="30"/>
  <c r="U48" i="30"/>
  <c r="AZ44" i="32"/>
  <c r="AI44" i="33"/>
  <c r="W45" i="33"/>
  <c r="F44" i="36"/>
  <c r="F47" i="36" s="1"/>
  <c r="AT44" i="36"/>
  <c r="AZ45" i="36"/>
  <c r="AZ48" i="36" s="1"/>
  <c r="AN44" i="36"/>
  <c r="AI45" i="30"/>
  <c r="AH44" i="32"/>
  <c r="R44" i="33"/>
  <c r="X45" i="33"/>
  <c r="W44" i="34"/>
  <c r="G44" i="36"/>
  <c r="AU44" i="36"/>
  <c r="AE45" i="36"/>
  <c r="BA45" i="36"/>
  <c r="S44" i="39"/>
  <c r="BC44" i="39"/>
  <c r="Y45" i="39"/>
  <c r="AT44" i="35"/>
  <c r="K45" i="35"/>
  <c r="AL45" i="39"/>
  <c r="S45" i="34"/>
  <c r="AI44" i="35"/>
  <c r="AM45" i="39"/>
  <c r="AM48" i="39" s="1"/>
  <c r="J45" i="34"/>
  <c r="J48" i="34" s="1"/>
  <c r="J45" i="39"/>
  <c r="AX45" i="39"/>
  <c r="AH44" i="39"/>
  <c r="T44" i="30"/>
  <c r="V45" i="30"/>
  <c r="AM45" i="30"/>
  <c r="U44" i="32"/>
  <c r="I45" i="32"/>
  <c r="I48" i="32" s="1"/>
  <c r="AB45" i="32"/>
  <c r="AV45" i="32"/>
  <c r="AL44" i="35"/>
  <c r="AR45" i="35"/>
  <c r="AR48" i="35" s="1"/>
  <c r="U44" i="38"/>
  <c r="I45" i="38"/>
  <c r="I48" i="38" s="1"/>
  <c r="Z44" i="30"/>
  <c r="AS45" i="30"/>
  <c r="AO44" i="32"/>
  <c r="AS45" i="35"/>
  <c r="AS48" i="35" s="1"/>
  <c r="BE45" i="38"/>
  <c r="J45" i="38"/>
  <c r="J48" i="38" s="1"/>
  <c r="AX45" i="38"/>
  <c r="AN44" i="30"/>
  <c r="BA45" i="33"/>
  <c r="G47" i="34"/>
  <c r="AZ45" i="34"/>
  <c r="Y45" i="35"/>
  <c r="Y48" i="35" s="1"/>
  <c r="G44" i="30"/>
  <c r="G47" i="30" s="1"/>
  <c r="AT44" i="32"/>
  <c r="BE44" i="34"/>
  <c r="L44" i="35"/>
  <c r="N45" i="35"/>
  <c r="N48" i="35" s="1"/>
  <c r="K45" i="38"/>
  <c r="K48" i="38" s="1"/>
  <c r="AY45" i="38"/>
  <c r="AY48" i="38" s="1"/>
  <c r="AO44" i="39"/>
  <c r="K45" i="39"/>
  <c r="K48" i="39" s="1"/>
  <c r="AY45" i="39"/>
  <c r="AY48" i="39" s="1"/>
  <c r="T44" i="33"/>
  <c r="H45" i="33"/>
  <c r="AR45" i="33"/>
  <c r="AR48" i="33" s="1"/>
  <c r="U44" i="36"/>
  <c r="I45" i="36"/>
  <c r="I48" i="36" s="1"/>
  <c r="AS45" i="36"/>
  <c r="AS48" i="36" s="1"/>
  <c r="BC44" i="36"/>
  <c r="F44" i="38"/>
  <c r="AT44" i="38"/>
  <c r="AD45" i="38"/>
  <c r="AZ45" i="38"/>
  <c r="F44" i="39"/>
  <c r="AT44" i="39"/>
  <c r="AD45" i="39"/>
  <c r="AD48" i="39" s="1"/>
  <c r="AZ45" i="39"/>
  <c r="Q44" i="30"/>
  <c r="AH44" i="30"/>
  <c r="P45" i="30"/>
  <c r="AJ45" i="30"/>
  <c r="AJ48" i="30" s="1"/>
  <c r="BA45" i="30"/>
  <c r="J44" i="32"/>
  <c r="AD44" i="32"/>
  <c r="AW44" i="32"/>
  <c r="BD45" i="32"/>
  <c r="BD48" i="32" s="1"/>
  <c r="BA45" i="34"/>
  <c r="AF44" i="36"/>
  <c r="AL45" i="36"/>
  <c r="AL48" i="36" s="1"/>
  <c r="Z44" i="36"/>
  <c r="Q45" i="30"/>
  <c r="AF44" i="33"/>
  <c r="AL45" i="33"/>
  <c r="AK48" i="36"/>
  <c r="Q45" i="36"/>
  <c r="AM45" i="36"/>
  <c r="BE45" i="36"/>
  <c r="T44" i="32"/>
  <c r="H45" i="32"/>
  <c r="AS45" i="32"/>
  <c r="AM45" i="32"/>
  <c r="S44" i="33"/>
  <c r="BC44" i="33"/>
  <c r="Y45" i="33"/>
  <c r="Y48" i="33" s="1"/>
  <c r="AW44" i="33"/>
  <c r="V44" i="34"/>
  <c r="Z45" i="34"/>
  <c r="AD44" i="35"/>
  <c r="AV44" i="35"/>
  <c r="AD45" i="35"/>
  <c r="AX45" i="35"/>
  <c r="BC44" i="38"/>
  <c r="AW44" i="38"/>
  <c r="AR45" i="38"/>
  <c r="R44" i="39"/>
  <c r="BB44" i="39"/>
  <c r="X45" i="39"/>
  <c r="X48" i="39" s="1"/>
  <c r="L44" i="39"/>
  <c r="AV44" i="39"/>
  <c r="I6" i="9"/>
  <c r="F4" i="40"/>
  <c r="Y4" i="40"/>
  <c r="M41" i="13"/>
  <c r="N41" i="13"/>
  <c r="BC38" i="13"/>
  <c r="O41"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H10" i="9"/>
  <c r="G10" i="9"/>
  <c r="K10" i="9"/>
  <c r="F47" i="39"/>
  <c r="Y48" i="39"/>
  <c r="H48" i="39"/>
  <c r="AR48" i="39"/>
  <c r="AL48" i="39"/>
  <c r="I48" i="39"/>
  <c r="AS48" i="39"/>
  <c r="J48" i="39"/>
  <c r="AX48" i="39"/>
  <c r="AZ48" i="39"/>
  <c r="AE48" i="39"/>
  <c r="BA48" i="39"/>
  <c r="P48" i="39"/>
  <c r="Q48" i="39"/>
  <c r="I24" i="39"/>
  <c r="J24" i="39" s="1"/>
  <c r="K24" i="39" s="1"/>
  <c r="L24" i="39" s="1"/>
  <c r="M24" i="39" s="1"/>
  <c r="AK44" i="39"/>
  <c r="Z45" i="39"/>
  <c r="Z48" i="39" s="1"/>
  <c r="AM44" i="39"/>
  <c r="AJ48" i="38"/>
  <c r="AL48" i="38"/>
  <c r="AM48" i="38"/>
  <c r="G47" i="39"/>
  <c r="AG44" i="39"/>
  <c r="F47" i="38"/>
  <c r="AD48" i="38"/>
  <c r="AZ48" i="38"/>
  <c r="X48" i="38"/>
  <c r="V45" i="39"/>
  <c r="V48" i="39" s="1"/>
  <c r="AJ45" i="39"/>
  <c r="AJ48" i="39" s="1"/>
  <c r="AS48" i="38"/>
  <c r="AK45" i="39"/>
  <c r="AK48" i="39" s="1"/>
  <c r="AX48" i="38"/>
  <c r="AF44" i="39"/>
  <c r="W45" i="39"/>
  <c r="W48" i="39" s="1"/>
  <c r="N38" i="39"/>
  <c r="N44" i="39" s="1"/>
  <c r="AB38" i="39"/>
  <c r="AB44" i="39" s="1"/>
  <c r="AP38" i="39"/>
  <c r="AP44" i="39" s="1"/>
  <c r="BD38" i="39"/>
  <c r="BD44" i="39" s="1"/>
  <c r="R39" i="39"/>
  <c r="R45" i="39" s="1"/>
  <c r="R48" i="39" s="1"/>
  <c r="AF39" i="39"/>
  <c r="AF45" i="39" s="1"/>
  <c r="AF48" i="39" s="1"/>
  <c r="AT39" i="39"/>
  <c r="AT45" i="39" s="1"/>
  <c r="AT48" i="39" s="1"/>
  <c r="H41" i="39"/>
  <c r="H44" i="39" s="1"/>
  <c r="H47" i="39" s="1"/>
  <c r="V41" i="39"/>
  <c r="V44" i="39" s="1"/>
  <c r="AJ41" i="39"/>
  <c r="AJ44" i="39" s="1"/>
  <c r="AX41" i="39"/>
  <c r="AX44" i="39" s="1"/>
  <c r="L42" i="39"/>
  <c r="L45" i="39" s="1"/>
  <c r="L48" i="39" s="1"/>
  <c r="Z42" i="39"/>
  <c r="AN42" i="39"/>
  <c r="AN45" i="39" s="1"/>
  <c r="AN48" i="39" s="1"/>
  <c r="BB42" i="39"/>
  <c r="BB45" i="39" s="1"/>
  <c r="BB48" i="39" s="1"/>
  <c r="AO4" i="39"/>
  <c r="Z13" i="40" s="1"/>
  <c r="O38" i="39"/>
  <c r="O44" i="39" s="1"/>
  <c r="AC38" i="39"/>
  <c r="AC44" i="39" s="1"/>
  <c r="AQ38" i="39"/>
  <c r="AQ44" i="39" s="1"/>
  <c r="BE38" i="39"/>
  <c r="BE44" i="39" s="1"/>
  <c r="S39" i="39"/>
  <c r="S45" i="39" s="1"/>
  <c r="S48" i="39" s="1"/>
  <c r="AG39" i="39"/>
  <c r="AG45" i="39" s="1"/>
  <c r="AG48" i="39" s="1"/>
  <c r="AU39" i="39"/>
  <c r="AU45" i="39" s="1"/>
  <c r="AU48" i="39" s="1"/>
  <c r="I41" i="39"/>
  <c r="I44" i="39" s="1"/>
  <c r="W41" i="39"/>
  <c r="W44" i="39" s="1"/>
  <c r="AK41" i="39"/>
  <c r="AY41" i="39"/>
  <c r="AY44" i="39" s="1"/>
  <c r="M42" i="39"/>
  <c r="M45" i="39" s="1"/>
  <c r="AA42" i="39"/>
  <c r="AA45" i="39" s="1"/>
  <c r="AA48" i="39" s="1"/>
  <c r="AO42" i="39"/>
  <c r="AO45" i="39" s="1"/>
  <c r="AO48" i="39" s="1"/>
  <c r="BC42" i="39"/>
  <c r="BC45" i="39" s="1"/>
  <c r="BC48" i="39" s="1"/>
  <c r="M48" i="39"/>
  <c r="P38" i="39"/>
  <c r="P44" i="39" s="1"/>
  <c r="AD38" i="39"/>
  <c r="AD44" i="39" s="1"/>
  <c r="AR38" i="39"/>
  <c r="AR44" i="39" s="1"/>
  <c r="F39" i="39"/>
  <c r="F45" i="39" s="1"/>
  <c r="F48" i="39" s="1"/>
  <c r="T39" i="39"/>
  <c r="T45" i="39" s="1"/>
  <c r="T48" i="39" s="1"/>
  <c r="AH39" i="39"/>
  <c r="AH45" i="39" s="1"/>
  <c r="AH48" i="39" s="1"/>
  <c r="AV39" i="39"/>
  <c r="AV45" i="39" s="1"/>
  <c r="AV48" i="39" s="1"/>
  <c r="J41" i="39"/>
  <c r="J44" i="39" s="1"/>
  <c r="X41" i="39"/>
  <c r="X44" i="39" s="1"/>
  <c r="AL41" i="39"/>
  <c r="AL44" i="39" s="1"/>
  <c r="AZ41" i="39"/>
  <c r="AZ44" i="39" s="1"/>
  <c r="N42" i="39"/>
  <c r="N45" i="39" s="1"/>
  <c r="N48" i="39" s="1"/>
  <c r="AB42" i="39"/>
  <c r="AB45" i="39" s="1"/>
  <c r="AB48" i="39" s="1"/>
  <c r="AP42" i="39"/>
  <c r="AP45" i="39" s="1"/>
  <c r="AP48" i="39" s="1"/>
  <c r="BD42" i="39"/>
  <c r="BD45" i="39" s="1"/>
  <c r="BD48" i="39"/>
  <c r="G47" i="38"/>
  <c r="AR48" i="38"/>
  <c r="BC4" i="39"/>
  <c r="AO5" i="39" s="1"/>
  <c r="AB13" i="40" s="1"/>
  <c r="Q38" i="39"/>
  <c r="Q44" i="39" s="1"/>
  <c r="AE38" i="39"/>
  <c r="AE44" i="39" s="1"/>
  <c r="AS38" i="39"/>
  <c r="AS44" i="39" s="1"/>
  <c r="G39" i="39"/>
  <c r="G45" i="39" s="1"/>
  <c r="G48" i="39" s="1"/>
  <c r="U39" i="39"/>
  <c r="U45" i="39" s="1"/>
  <c r="U48" i="39" s="1"/>
  <c r="AI39" i="39"/>
  <c r="AI45" i="39" s="1"/>
  <c r="AI48" i="39" s="1"/>
  <c r="AW39" i="39"/>
  <c r="AW45" i="39" s="1"/>
  <c r="AW48" i="39" s="1"/>
  <c r="K41" i="39"/>
  <c r="K44" i="39" s="1"/>
  <c r="Y41" i="39"/>
  <c r="Y44" i="39" s="1"/>
  <c r="AM41" i="39"/>
  <c r="BA41" i="39"/>
  <c r="BA44" i="39" s="1"/>
  <c r="O42" i="39"/>
  <c r="O45" i="39" s="1"/>
  <c r="O48" i="39" s="1"/>
  <c r="AC42" i="39"/>
  <c r="AC45" i="39" s="1"/>
  <c r="AC48" i="39" s="1"/>
  <c r="AQ42" i="39"/>
  <c r="AQ45" i="39" s="1"/>
  <c r="AQ48" i="39" s="1"/>
  <c r="AE48" i="38"/>
  <c r="BA48" i="38"/>
  <c r="P48" i="38"/>
  <c r="BE48" i="38"/>
  <c r="H24" i="38"/>
  <c r="S44" i="38"/>
  <c r="AK44" i="38"/>
  <c r="Y45" i="38"/>
  <c r="Y48" i="38" s="1"/>
  <c r="T44" i="38"/>
  <c r="H45" i="38"/>
  <c r="H48" i="38" s="1"/>
  <c r="AN44" i="38"/>
  <c r="W44" i="38"/>
  <c r="AO44" i="38"/>
  <c r="AC45" i="38"/>
  <c r="AC48" i="38" s="1"/>
  <c r="AK45" i="38"/>
  <c r="AK48" i="38" s="1"/>
  <c r="AF44" i="38"/>
  <c r="AG44" i="38"/>
  <c r="V45" i="38"/>
  <c r="V48" i="38" s="1"/>
  <c r="W45" i="38"/>
  <c r="W48" i="38" s="1"/>
  <c r="R44" i="38"/>
  <c r="AO4" i="38"/>
  <c r="Z12" i="40" s="1"/>
  <c r="O38" i="38"/>
  <c r="O44" i="38" s="1"/>
  <c r="AC38" i="38"/>
  <c r="AC44" i="38" s="1"/>
  <c r="AQ38" i="38"/>
  <c r="AQ44" i="38" s="1"/>
  <c r="BE38" i="38"/>
  <c r="BE44" i="38" s="1"/>
  <c r="S39" i="38"/>
  <c r="S45" i="38" s="1"/>
  <c r="S48" i="38" s="1"/>
  <c r="AG39" i="38"/>
  <c r="AG45" i="38" s="1"/>
  <c r="AG48" i="38" s="1"/>
  <c r="AU39" i="38"/>
  <c r="AU45" i="38" s="1"/>
  <c r="AU48" i="38" s="1"/>
  <c r="I41" i="38"/>
  <c r="I44" i="38" s="1"/>
  <c r="W41" i="38"/>
  <c r="AK41" i="38"/>
  <c r="AY41" i="38"/>
  <c r="AY44" i="38" s="1"/>
  <c r="M42" i="38"/>
  <c r="M45" i="38" s="1"/>
  <c r="M48" i="38" s="1"/>
  <c r="AA42" i="38"/>
  <c r="AA45" i="38" s="1"/>
  <c r="AA48" i="38" s="1"/>
  <c r="AO42" i="38"/>
  <c r="AO45" i="38" s="1"/>
  <c r="BC42" i="38"/>
  <c r="BC45" i="38" s="1"/>
  <c r="BC48" i="38" s="1"/>
  <c r="AO48" i="38"/>
  <c r="P38" i="38"/>
  <c r="P44" i="38" s="1"/>
  <c r="AD38" i="38"/>
  <c r="AD44" i="38" s="1"/>
  <c r="AR38" i="38"/>
  <c r="AR44" i="38" s="1"/>
  <c r="F39" i="38"/>
  <c r="F45" i="38" s="1"/>
  <c r="F48" i="38" s="1"/>
  <c r="T39" i="38"/>
  <c r="T45" i="38" s="1"/>
  <c r="T48" i="38" s="1"/>
  <c r="AH39" i="38"/>
  <c r="AH45" i="38" s="1"/>
  <c r="AH48" i="38" s="1"/>
  <c r="AV39" i="38"/>
  <c r="AV45" i="38" s="1"/>
  <c r="AV48" i="38" s="1"/>
  <c r="J41" i="38"/>
  <c r="J44" i="38" s="1"/>
  <c r="X41" i="38"/>
  <c r="X44" i="38" s="1"/>
  <c r="AL41" i="38"/>
  <c r="AL44" i="38" s="1"/>
  <c r="AZ41" i="38"/>
  <c r="AZ44" i="38" s="1"/>
  <c r="N42" i="38"/>
  <c r="N45" i="38" s="1"/>
  <c r="N48" i="38" s="1"/>
  <c r="AB42" i="38"/>
  <c r="AB45" i="38" s="1"/>
  <c r="AB48" i="38" s="1"/>
  <c r="AP42" i="38"/>
  <c r="AP45" i="38" s="1"/>
  <c r="BD42" i="38"/>
  <c r="BD45" i="38" s="1"/>
  <c r="AP48" i="38"/>
  <c r="BD48" i="38"/>
  <c r="N38" i="38"/>
  <c r="N44" i="38" s="1"/>
  <c r="AB38" i="38"/>
  <c r="AB44" i="38" s="1"/>
  <c r="AP38" i="38"/>
  <c r="AP44" i="38" s="1"/>
  <c r="BD38" i="38"/>
  <c r="BD44" i="38" s="1"/>
  <c r="R39" i="38"/>
  <c r="R45" i="38" s="1"/>
  <c r="R48" i="38" s="1"/>
  <c r="AF39" i="38"/>
  <c r="AF45" i="38" s="1"/>
  <c r="AF48" i="38" s="1"/>
  <c r="AT39" i="38"/>
  <c r="AT45" i="38" s="1"/>
  <c r="AT48" i="38" s="1"/>
  <c r="H41" i="38"/>
  <c r="H44" i="38" s="1"/>
  <c r="V41" i="38"/>
  <c r="V44" i="38" s="1"/>
  <c r="AJ41" i="38"/>
  <c r="AJ44" i="38" s="1"/>
  <c r="AX41" i="38"/>
  <c r="AX44" i="38" s="1"/>
  <c r="L42" i="38"/>
  <c r="L45" i="38" s="1"/>
  <c r="L48" i="38" s="1"/>
  <c r="Z42" i="38"/>
  <c r="Z45" i="38" s="1"/>
  <c r="Z48" i="38" s="1"/>
  <c r="AN42" i="38"/>
  <c r="AN45" i="38" s="1"/>
  <c r="AN48" i="38" s="1"/>
  <c r="BB42" i="38"/>
  <c r="BB45" i="38" s="1"/>
  <c r="BB48" i="38" s="1"/>
  <c r="BC4" i="38"/>
  <c r="AO5" i="38" s="1"/>
  <c r="AB12" i="40" s="1"/>
  <c r="Q38" i="38"/>
  <c r="Q44" i="38" s="1"/>
  <c r="AE38" i="38"/>
  <c r="AE44" i="38" s="1"/>
  <c r="AS38" i="38"/>
  <c r="AS44" i="38" s="1"/>
  <c r="G39" i="38"/>
  <c r="G45" i="38" s="1"/>
  <c r="G48" i="38" s="1"/>
  <c r="U39" i="38"/>
  <c r="U45" i="38" s="1"/>
  <c r="U48" i="38" s="1"/>
  <c r="AI39" i="38"/>
  <c r="AI45" i="38" s="1"/>
  <c r="AI48" i="38" s="1"/>
  <c r="AW39" i="38"/>
  <c r="AW45" i="38" s="1"/>
  <c r="AW48" i="38" s="1"/>
  <c r="K41" i="38"/>
  <c r="K44" i="38" s="1"/>
  <c r="Y41" i="38"/>
  <c r="Y44" i="38" s="1"/>
  <c r="AM41" i="38"/>
  <c r="AM44" i="38" s="1"/>
  <c r="BA41" i="38"/>
  <c r="BA44" i="38" s="1"/>
  <c r="O42" i="38"/>
  <c r="O45" i="38" s="1"/>
  <c r="O48" i="38" s="1"/>
  <c r="AC42" i="38"/>
  <c r="AQ42" i="38"/>
  <c r="AQ45" i="38" s="1"/>
  <c r="AQ48" i="38"/>
  <c r="R48" i="34"/>
  <c r="J48" i="36"/>
  <c r="AX48" i="36"/>
  <c r="BD48" i="35"/>
  <c r="AD48" i="36"/>
  <c r="AJ48" i="36"/>
  <c r="Q48" i="36"/>
  <c r="AM48" i="36"/>
  <c r="P48" i="36"/>
  <c r="BA48" i="35"/>
  <c r="AE48" i="35"/>
  <c r="AL48" i="35"/>
  <c r="K48" i="36"/>
  <c r="AY48" i="36"/>
  <c r="X48" i="36"/>
  <c r="AM48" i="35"/>
  <c r="Y48" i="36"/>
  <c r="X48" i="35"/>
  <c r="AP48" i="35"/>
  <c r="AE48" i="36"/>
  <c r="BA48" i="36"/>
  <c r="AR48" i="36"/>
  <c r="AN45" i="36"/>
  <c r="AN48" i="36" s="1"/>
  <c r="AP45" i="36"/>
  <c r="AP48" i="36" s="1"/>
  <c r="W44" i="36"/>
  <c r="X44" i="36"/>
  <c r="Y44" i="36"/>
  <c r="BB45" i="36"/>
  <c r="BB48" i="36" s="1"/>
  <c r="G47" i="36"/>
  <c r="AG44" i="36"/>
  <c r="H24" i="36"/>
  <c r="V45" i="36"/>
  <c r="V48" i="36" s="1"/>
  <c r="W45" i="36"/>
  <c r="W48" i="36" s="1"/>
  <c r="BE48" i="36"/>
  <c r="R44" i="36"/>
  <c r="S44" i="36"/>
  <c r="H45" i="36"/>
  <c r="H48" i="36" s="1"/>
  <c r="N38" i="36"/>
  <c r="N44" i="36" s="1"/>
  <c r="AB38" i="36"/>
  <c r="AB44" i="36" s="1"/>
  <c r="AP38" i="36"/>
  <c r="AP44" i="36" s="1"/>
  <c r="BD38" i="36"/>
  <c r="BD44" i="36" s="1"/>
  <c r="R39" i="36"/>
  <c r="R45" i="36" s="1"/>
  <c r="R48" i="36" s="1"/>
  <c r="AF39" i="36"/>
  <c r="AF45" i="36" s="1"/>
  <c r="AF48" i="36" s="1"/>
  <c r="AT39" i="36"/>
  <c r="AT45" i="36" s="1"/>
  <c r="AT48" i="36" s="1"/>
  <c r="H41" i="36"/>
  <c r="H44" i="36" s="1"/>
  <c r="V41" i="36"/>
  <c r="V44" i="36" s="1"/>
  <c r="AJ41" i="36"/>
  <c r="AJ44" i="36" s="1"/>
  <c r="AX41" i="36"/>
  <c r="AX44" i="36" s="1"/>
  <c r="L42" i="36"/>
  <c r="L45" i="36" s="1"/>
  <c r="L48" i="36" s="1"/>
  <c r="Z42" i="36"/>
  <c r="Z45" i="36" s="1"/>
  <c r="AN42" i="36"/>
  <c r="BB42" i="36"/>
  <c r="Z48" i="36"/>
  <c r="AD48" i="35"/>
  <c r="AX48" i="35"/>
  <c r="P38" i="36"/>
  <c r="P44" i="36" s="1"/>
  <c r="AD38" i="36"/>
  <c r="AD44" i="36" s="1"/>
  <c r="AR38" i="36"/>
  <c r="AR44" i="36" s="1"/>
  <c r="F39" i="36"/>
  <c r="F45" i="36" s="1"/>
  <c r="F48" i="36" s="1"/>
  <c r="T39" i="36"/>
  <c r="T45" i="36" s="1"/>
  <c r="T48" i="36" s="1"/>
  <c r="AH39" i="36"/>
  <c r="AH45" i="36" s="1"/>
  <c r="AH48" i="36" s="1"/>
  <c r="AV39" i="36"/>
  <c r="AV45" i="36" s="1"/>
  <c r="AV48" i="36" s="1"/>
  <c r="J41" i="36"/>
  <c r="J44" i="36" s="1"/>
  <c r="X41" i="36"/>
  <c r="AL41" i="36"/>
  <c r="AL44" i="36" s="1"/>
  <c r="AZ41" i="36"/>
  <c r="AZ44" i="36" s="1"/>
  <c r="N42" i="36"/>
  <c r="N45" i="36" s="1"/>
  <c r="N48" i="36" s="1"/>
  <c r="AB42" i="36"/>
  <c r="AB45" i="36" s="1"/>
  <c r="AB48" i="36" s="1"/>
  <c r="AP42" i="36"/>
  <c r="BD42" i="36"/>
  <c r="BD45" i="36" s="1"/>
  <c r="BD48" i="36" s="1"/>
  <c r="J48" i="35"/>
  <c r="AO4" i="36"/>
  <c r="Z11" i="40" s="1"/>
  <c r="O38" i="36"/>
  <c r="O44" i="36" s="1"/>
  <c r="AC38" i="36"/>
  <c r="AC44" i="36" s="1"/>
  <c r="AQ38" i="36"/>
  <c r="AQ44" i="36" s="1"/>
  <c r="BE38" i="36"/>
  <c r="BE44" i="36" s="1"/>
  <c r="S39" i="36"/>
  <c r="S45" i="36" s="1"/>
  <c r="S48" i="36" s="1"/>
  <c r="AG39" i="36"/>
  <c r="AG45" i="36" s="1"/>
  <c r="AG48" i="36" s="1"/>
  <c r="AU39" i="36"/>
  <c r="AU45" i="36" s="1"/>
  <c r="AU48" i="36" s="1"/>
  <c r="I41" i="36"/>
  <c r="I44" i="36" s="1"/>
  <c r="W41" i="36"/>
  <c r="AK41" i="36"/>
  <c r="AK44" i="36" s="1"/>
  <c r="AY41" i="36"/>
  <c r="AY44" i="36" s="1"/>
  <c r="M42" i="36"/>
  <c r="M45" i="36" s="1"/>
  <c r="M48" i="36" s="1"/>
  <c r="AA42" i="36"/>
  <c r="AA45" i="36" s="1"/>
  <c r="AA48" i="36" s="1"/>
  <c r="AO42" i="36"/>
  <c r="AO45" i="36" s="1"/>
  <c r="AO48" i="36" s="1"/>
  <c r="BC42" i="36"/>
  <c r="BC45" i="36" s="1"/>
  <c r="BC48" i="36" s="1"/>
  <c r="P48" i="35"/>
  <c r="BC4" i="36"/>
  <c r="AO5" i="36" s="1"/>
  <c r="AB11" i="40" s="1"/>
  <c r="Q38" i="36"/>
  <c r="Q44" i="36" s="1"/>
  <c r="AE38" i="36"/>
  <c r="AE44" i="36" s="1"/>
  <c r="AS38" i="36"/>
  <c r="AS44" i="36" s="1"/>
  <c r="G39" i="36"/>
  <c r="G45" i="36" s="1"/>
  <c r="G48" i="36" s="1"/>
  <c r="U39" i="36"/>
  <c r="U45" i="36" s="1"/>
  <c r="U48" i="36" s="1"/>
  <c r="AI39" i="36"/>
  <c r="AI45" i="36" s="1"/>
  <c r="AI48" i="36" s="1"/>
  <c r="AW39" i="36"/>
  <c r="AW45" i="36" s="1"/>
  <c r="AW48" i="36" s="1"/>
  <c r="K41" i="36"/>
  <c r="K44" i="36" s="1"/>
  <c r="Y41" i="36"/>
  <c r="AM41" i="36"/>
  <c r="AM44" i="36" s="1"/>
  <c r="BA41" i="36"/>
  <c r="BA44" i="36" s="1"/>
  <c r="O42" i="36"/>
  <c r="O45" i="36" s="1"/>
  <c r="O48" i="36" s="1"/>
  <c r="AC42" i="36"/>
  <c r="AC45" i="36" s="1"/>
  <c r="AC48" i="36" s="1"/>
  <c r="AQ42" i="36"/>
  <c r="AQ45" i="36" s="1"/>
  <c r="AQ48" i="36" s="1"/>
  <c r="F47" i="35"/>
  <c r="G47" i="35"/>
  <c r="K48" i="35"/>
  <c r="AB48" i="35"/>
  <c r="BE48" i="35"/>
  <c r="AF44" i="35"/>
  <c r="AY45" i="35"/>
  <c r="AY48" i="35" s="1"/>
  <c r="H47" i="35"/>
  <c r="AG44" i="35"/>
  <c r="AH45" i="35"/>
  <c r="AH48" i="35" s="1"/>
  <c r="AZ45" i="35"/>
  <c r="AZ48" i="35" s="1"/>
  <c r="I24" i="35"/>
  <c r="J24" i="35" s="1"/>
  <c r="K24" i="35" s="1"/>
  <c r="P44" i="35"/>
  <c r="AH44" i="35"/>
  <c r="AJ45" i="35"/>
  <c r="AJ48" i="35" s="1"/>
  <c r="R44" i="35"/>
  <c r="AK45" i="35"/>
  <c r="AK48" i="35" s="1"/>
  <c r="S44" i="35"/>
  <c r="T45" i="35"/>
  <c r="T48" i="35" s="1"/>
  <c r="T44" i="35"/>
  <c r="BB44" i="35"/>
  <c r="V45" i="35"/>
  <c r="V48" i="35" s="1"/>
  <c r="W45" i="35"/>
  <c r="W48" i="35" s="1"/>
  <c r="F45" i="35"/>
  <c r="F48" i="35" s="1"/>
  <c r="K48" i="34"/>
  <c r="H45" i="35"/>
  <c r="H48" i="35" s="1"/>
  <c r="I45" i="35"/>
  <c r="I48" i="35" s="1"/>
  <c r="AR44" i="35"/>
  <c r="AU44" i="35"/>
  <c r="AV45" i="35"/>
  <c r="AV48" i="35" s="1"/>
  <c r="N38" i="35"/>
  <c r="N44" i="35" s="1"/>
  <c r="AB38" i="35"/>
  <c r="AB44" i="35" s="1"/>
  <c r="AP38" i="35"/>
  <c r="AP44" i="35" s="1"/>
  <c r="BD38" i="35"/>
  <c r="BD44" i="35" s="1"/>
  <c r="R39" i="35"/>
  <c r="R45" i="35" s="1"/>
  <c r="R48" i="35" s="1"/>
  <c r="AF39" i="35"/>
  <c r="AF45" i="35" s="1"/>
  <c r="AF48" i="35" s="1"/>
  <c r="AT39" i="35"/>
  <c r="AT45" i="35" s="1"/>
  <c r="AT48" i="35" s="1"/>
  <c r="H41" i="35"/>
  <c r="H44" i="35" s="1"/>
  <c r="V41" i="35"/>
  <c r="V44" i="35" s="1"/>
  <c r="AJ41" i="35"/>
  <c r="AJ44" i="35" s="1"/>
  <c r="AX41" i="35"/>
  <c r="AX44" i="35" s="1"/>
  <c r="L42" i="35"/>
  <c r="L45" i="35" s="1"/>
  <c r="L48" i="35" s="1"/>
  <c r="Z42" i="35"/>
  <c r="Z45" i="35" s="1"/>
  <c r="Z48" i="35" s="1"/>
  <c r="AN42" i="35"/>
  <c r="AN45" i="35" s="1"/>
  <c r="AN48" i="35" s="1"/>
  <c r="BB42" i="35"/>
  <c r="BB45" i="35" s="1"/>
  <c r="BB48" i="35" s="1"/>
  <c r="AO4" i="35"/>
  <c r="Z10" i="40" s="1"/>
  <c r="O38" i="35"/>
  <c r="O44" i="35" s="1"/>
  <c r="AC38" i="35"/>
  <c r="AC44" i="35" s="1"/>
  <c r="AQ38" i="35"/>
  <c r="AQ44" i="35" s="1"/>
  <c r="BE38" i="35"/>
  <c r="BE44" i="35" s="1"/>
  <c r="S39" i="35"/>
  <c r="S45" i="35" s="1"/>
  <c r="S48" i="35" s="1"/>
  <c r="AG39" i="35"/>
  <c r="AG45" i="35" s="1"/>
  <c r="AG48" i="35" s="1"/>
  <c r="AU39" i="35"/>
  <c r="AU45" i="35" s="1"/>
  <c r="AU48" i="35" s="1"/>
  <c r="I41" i="35"/>
  <c r="I44" i="35" s="1"/>
  <c r="W41" i="35"/>
  <c r="W44" i="35" s="1"/>
  <c r="AK41" i="35"/>
  <c r="AK44" i="35" s="1"/>
  <c r="AY41" i="35"/>
  <c r="AY44" i="35" s="1"/>
  <c r="M42" i="35"/>
  <c r="M45" i="35" s="1"/>
  <c r="M48" i="35" s="1"/>
  <c r="AA42" i="35"/>
  <c r="AA45" i="35" s="1"/>
  <c r="AO42" i="35"/>
  <c r="AO45" i="35" s="1"/>
  <c r="BC42" i="35"/>
  <c r="BC45" i="35" s="1"/>
  <c r="BC48" i="35" s="1"/>
  <c r="AA48" i="35"/>
  <c r="AO48" i="35"/>
  <c r="Z48" i="34"/>
  <c r="Q48" i="34"/>
  <c r="BC4" i="35"/>
  <c r="AO5" i="35" s="1"/>
  <c r="AB10" i="40" s="1"/>
  <c r="Q38" i="35"/>
  <c r="Q44" i="35" s="1"/>
  <c r="AE38" i="35"/>
  <c r="AE44" i="35" s="1"/>
  <c r="AS38" i="35"/>
  <c r="AS44" i="35" s="1"/>
  <c r="G39" i="35"/>
  <c r="G45" i="35" s="1"/>
  <c r="G48" i="35" s="1"/>
  <c r="U39" i="35"/>
  <c r="U45" i="35" s="1"/>
  <c r="U48" i="35" s="1"/>
  <c r="AI39" i="35"/>
  <c r="AI45" i="35" s="1"/>
  <c r="AI48" i="35" s="1"/>
  <c r="AW39" i="35"/>
  <c r="AW45" i="35" s="1"/>
  <c r="AW48" i="35" s="1"/>
  <c r="K41" i="35"/>
  <c r="K44" i="35" s="1"/>
  <c r="Y41" i="35"/>
  <c r="Y44" i="35" s="1"/>
  <c r="AM41" i="35"/>
  <c r="AM44" i="35" s="1"/>
  <c r="BA41" i="35"/>
  <c r="BA44" i="35" s="1"/>
  <c r="O42" i="35"/>
  <c r="O45" i="35" s="1"/>
  <c r="O48" i="35" s="1"/>
  <c r="AC42" i="35"/>
  <c r="AC45" i="35" s="1"/>
  <c r="AQ42" i="35"/>
  <c r="AQ45" i="35" s="1"/>
  <c r="AC48" i="35"/>
  <c r="AQ48" i="35"/>
  <c r="AZ48" i="34"/>
  <c r="AL48" i="33"/>
  <c r="F47" i="34"/>
  <c r="N24" i="34"/>
  <c r="AN45" i="34"/>
  <c r="AN48" i="34" s="1"/>
  <c r="X45" i="34"/>
  <c r="X48" i="34" s="1"/>
  <c r="I44" i="34"/>
  <c r="I47" i="34" s="1"/>
  <c r="Y45" i="34"/>
  <c r="Y48" i="34" s="1"/>
  <c r="BA44" i="34"/>
  <c r="AX45" i="34"/>
  <c r="AX48" i="34" s="1"/>
  <c r="BC44" i="34"/>
  <c r="AY45" i="34"/>
  <c r="AY48" i="34" s="1"/>
  <c r="AJ44" i="34"/>
  <c r="AK44" i="34"/>
  <c r="H45" i="34"/>
  <c r="H48" i="34" s="1"/>
  <c r="AF45" i="34"/>
  <c r="AF48" i="34" s="1"/>
  <c r="AG45" i="34"/>
  <c r="AG48" i="34" s="1"/>
  <c r="T44" i="34"/>
  <c r="U44" i="34"/>
  <c r="P45" i="34"/>
  <c r="P48" i="34" s="1"/>
  <c r="AT44" i="34"/>
  <c r="AU44" i="34"/>
  <c r="BE42" i="34"/>
  <c r="BE45" i="34" s="1"/>
  <c r="AQ42" i="34"/>
  <c r="AQ45" i="34" s="1"/>
  <c r="AC42" i="34"/>
  <c r="O42" i="34"/>
  <c r="BA41" i="34"/>
  <c r="AM41" i="34"/>
  <c r="AM44" i="34" s="1"/>
  <c r="Y41" i="34"/>
  <c r="Y44" i="34" s="1"/>
  <c r="K41" i="34"/>
  <c r="K44" i="34" s="1"/>
  <c r="K47" i="34" s="1"/>
  <c r="AW39" i="34"/>
  <c r="AW45" i="34" s="1"/>
  <c r="AW48" i="34" s="1"/>
  <c r="AI39" i="34"/>
  <c r="AI45" i="34" s="1"/>
  <c r="AI48" i="34" s="1"/>
  <c r="U39" i="34"/>
  <c r="U45" i="34" s="1"/>
  <c r="U48" i="34" s="1"/>
  <c r="G39" i="34"/>
  <c r="AS38" i="34"/>
  <c r="AS44" i="34" s="1"/>
  <c r="AE38" i="34"/>
  <c r="AE44" i="34" s="1"/>
  <c r="Q38" i="34"/>
  <c r="Q44" i="34" s="1"/>
  <c r="BD42" i="34"/>
  <c r="BD45" i="34" s="1"/>
  <c r="BD48" i="34" s="1"/>
  <c r="AP42" i="34"/>
  <c r="AP45" i="34" s="1"/>
  <c r="AP48" i="34" s="1"/>
  <c r="AB42" i="34"/>
  <c r="N42" i="34"/>
  <c r="AZ41" i="34"/>
  <c r="AZ44" i="34" s="1"/>
  <c r="AL41" i="34"/>
  <c r="AL44" i="34" s="1"/>
  <c r="X41" i="34"/>
  <c r="X44" i="34" s="1"/>
  <c r="J41" i="34"/>
  <c r="J44" i="34" s="1"/>
  <c r="J47" i="34" s="1"/>
  <c r="AV39" i="34"/>
  <c r="AV45" i="34" s="1"/>
  <c r="AV48" i="34" s="1"/>
  <c r="AH39" i="34"/>
  <c r="AH45" i="34" s="1"/>
  <c r="AH48" i="34" s="1"/>
  <c r="T39" i="34"/>
  <c r="T45" i="34" s="1"/>
  <c r="T48" i="34" s="1"/>
  <c r="F39" i="34"/>
  <c r="F45" i="34" s="1"/>
  <c r="F48" i="34" s="1"/>
  <c r="AR38" i="34"/>
  <c r="AD38" i="34"/>
  <c r="AD44" i="34" s="1"/>
  <c r="P38" i="34"/>
  <c r="P44" i="34" s="1"/>
  <c r="N38" i="34"/>
  <c r="N44" i="34" s="1"/>
  <c r="AF38" i="34"/>
  <c r="AF44" i="34" s="1"/>
  <c r="AV38" i="34"/>
  <c r="AV44" i="34" s="1"/>
  <c r="L39" i="34"/>
  <c r="L45" i="34" s="1"/>
  <c r="L48" i="34" s="1"/>
  <c r="AB39" i="34"/>
  <c r="AB45" i="34" s="1"/>
  <c r="AB48" i="34" s="1"/>
  <c r="AR39" i="34"/>
  <c r="AR45" i="34" s="1"/>
  <c r="AR48" i="34" s="1"/>
  <c r="H41" i="34"/>
  <c r="H44" i="34" s="1"/>
  <c r="H47" i="34" s="1"/>
  <c r="Z41" i="34"/>
  <c r="Z44" i="34" s="1"/>
  <c r="AP41" i="34"/>
  <c r="AP44" i="34" s="1"/>
  <c r="F42" i="34"/>
  <c r="V42" i="34"/>
  <c r="V45" i="34" s="1"/>
  <c r="V48" i="34" s="1"/>
  <c r="AL42" i="34"/>
  <c r="AL45" i="34" s="1"/>
  <c r="AL48" i="34" s="1"/>
  <c r="BB42" i="34"/>
  <c r="BB45" i="34" s="1"/>
  <c r="BB48" i="34" s="1"/>
  <c r="O38" i="34"/>
  <c r="O44" i="34" s="1"/>
  <c r="AG38" i="34"/>
  <c r="AG44" i="34" s="1"/>
  <c r="AW38" i="34"/>
  <c r="AW44" i="34" s="1"/>
  <c r="M39" i="34"/>
  <c r="M45" i="34" s="1"/>
  <c r="AC39" i="34"/>
  <c r="AS39" i="34"/>
  <c r="AS45" i="34" s="1"/>
  <c r="AS48" i="34" s="1"/>
  <c r="I41" i="34"/>
  <c r="AA41" i="34"/>
  <c r="AA44" i="34" s="1"/>
  <c r="AQ41" i="34"/>
  <c r="AQ44" i="34" s="1"/>
  <c r="G42" i="34"/>
  <c r="W42" i="34"/>
  <c r="W45" i="34" s="1"/>
  <c r="W48" i="34" s="1"/>
  <c r="AM42" i="34"/>
  <c r="AM45" i="34" s="1"/>
  <c r="AM48" i="34" s="1"/>
  <c r="BC42" i="34"/>
  <c r="BC45" i="34" s="1"/>
  <c r="BC48" i="34" s="1"/>
  <c r="BE48" i="34"/>
  <c r="AQ48" i="34"/>
  <c r="L47" i="34"/>
  <c r="BC4" i="34"/>
  <c r="AO5" i="34" s="1"/>
  <c r="AB9" i="40" s="1"/>
  <c r="AA48" i="34"/>
  <c r="M48" i="34"/>
  <c r="R38" i="34"/>
  <c r="R44" i="34" s="1"/>
  <c r="AH38" i="34"/>
  <c r="AH44" i="34" s="1"/>
  <c r="AX38" i="34"/>
  <c r="AX44" i="34" s="1"/>
  <c r="N39" i="34"/>
  <c r="AD39" i="34"/>
  <c r="AD45" i="34" s="1"/>
  <c r="AD48" i="34" s="1"/>
  <c r="AT39" i="34"/>
  <c r="AT45" i="34" s="1"/>
  <c r="AT48" i="34" s="1"/>
  <c r="L41" i="34"/>
  <c r="L44" i="34" s="1"/>
  <c r="AB41" i="34"/>
  <c r="AB44" i="34" s="1"/>
  <c r="AR41" i="34"/>
  <c r="H42" i="34"/>
  <c r="X42" i="34"/>
  <c r="AN42" i="34"/>
  <c r="S48" i="34"/>
  <c r="AJ48" i="34"/>
  <c r="BA48" i="34"/>
  <c r="AO4" i="34"/>
  <c r="Z9" i="40" s="1"/>
  <c r="S38" i="34"/>
  <c r="S44" i="34" s="1"/>
  <c r="AI38" i="34"/>
  <c r="AI44" i="34" s="1"/>
  <c r="AY38" i="34"/>
  <c r="AY44" i="34" s="1"/>
  <c r="O39" i="34"/>
  <c r="O45" i="34" s="1"/>
  <c r="O48" i="34" s="1"/>
  <c r="AE39" i="34"/>
  <c r="AE45" i="34" s="1"/>
  <c r="AE48" i="34" s="1"/>
  <c r="AU39" i="34"/>
  <c r="AU45" i="34" s="1"/>
  <c r="AU48" i="34" s="1"/>
  <c r="M41" i="34"/>
  <c r="M44" i="34" s="1"/>
  <c r="M47" i="34" s="1"/>
  <c r="AC41" i="34"/>
  <c r="AC44" i="34" s="1"/>
  <c r="AS41" i="34"/>
  <c r="I42" i="34"/>
  <c r="I45" i="34" s="1"/>
  <c r="I48" i="34" s="1"/>
  <c r="Y42" i="34"/>
  <c r="AO42" i="34"/>
  <c r="AO45" i="34" s="1"/>
  <c r="AO48" i="34" s="1"/>
  <c r="AK48" i="34"/>
  <c r="AM48" i="33"/>
  <c r="K48" i="33"/>
  <c r="V48" i="33"/>
  <c r="F47" i="33"/>
  <c r="AZ48" i="33"/>
  <c r="W48" i="33"/>
  <c r="G47" i="33"/>
  <c r="X48" i="33"/>
  <c r="H48" i="33"/>
  <c r="I48" i="33"/>
  <c r="AS48" i="33"/>
  <c r="P48" i="33"/>
  <c r="Q48" i="33"/>
  <c r="AD48" i="33"/>
  <c r="BA48" i="33"/>
  <c r="AE48" i="33"/>
  <c r="I24" i="33"/>
  <c r="J24" i="33" s="1"/>
  <c r="K24" i="33" s="1"/>
  <c r="L24" i="33" s="1"/>
  <c r="M24" i="33" s="1"/>
  <c r="AJ44" i="33"/>
  <c r="J45" i="33"/>
  <c r="J48" i="33" s="1"/>
  <c r="AB45" i="33"/>
  <c r="AX45" i="33"/>
  <c r="AX48" i="33" s="1"/>
  <c r="BE48" i="33"/>
  <c r="AY45" i="33"/>
  <c r="AY48" i="33" s="1"/>
  <c r="AT44" i="33"/>
  <c r="AU44" i="33"/>
  <c r="AJ45" i="33"/>
  <c r="AJ48" i="33" s="1"/>
  <c r="AK45" i="33"/>
  <c r="AK48" i="33" s="1"/>
  <c r="AO4" i="33"/>
  <c r="Z8" i="40" s="1"/>
  <c r="AC38" i="33"/>
  <c r="AC44" i="33" s="1"/>
  <c r="BE38" i="33"/>
  <c r="BE44" i="33" s="1"/>
  <c r="AG39" i="33"/>
  <c r="AG45" i="33" s="1"/>
  <c r="AG48" i="33" s="1"/>
  <c r="AU39" i="33"/>
  <c r="AU45" i="33" s="1"/>
  <c r="AU48" i="33" s="1"/>
  <c r="W41" i="33"/>
  <c r="W44" i="33" s="1"/>
  <c r="AK41" i="33"/>
  <c r="AK44" i="33" s="1"/>
  <c r="AY41" i="33"/>
  <c r="AY44" i="33" s="1"/>
  <c r="AA42" i="33"/>
  <c r="AA45" i="33" s="1"/>
  <c r="AA48" i="33" s="1"/>
  <c r="AO42" i="33"/>
  <c r="AO45" i="33" s="1"/>
  <c r="AO48" i="33" s="1"/>
  <c r="BC42" i="33"/>
  <c r="BC45" i="33" s="1"/>
  <c r="BC48" i="33" s="1"/>
  <c r="P38" i="33"/>
  <c r="P44" i="33" s="1"/>
  <c r="AD38" i="33"/>
  <c r="AD44" i="33" s="1"/>
  <c r="AR38" i="33"/>
  <c r="AR44" i="33" s="1"/>
  <c r="F39" i="33"/>
  <c r="F45" i="33" s="1"/>
  <c r="F48" i="33" s="1"/>
  <c r="T39" i="33"/>
  <c r="T45" i="33" s="1"/>
  <c r="T48" i="33" s="1"/>
  <c r="AH39" i="33"/>
  <c r="AH45" i="33" s="1"/>
  <c r="AH48" i="33" s="1"/>
  <c r="AV39" i="33"/>
  <c r="AV45" i="33" s="1"/>
  <c r="AV48" i="33" s="1"/>
  <c r="J41" i="33"/>
  <c r="J44" i="33" s="1"/>
  <c r="X41" i="33"/>
  <c r="X44" i="33" s="1"/>
  <c r="AL41" i="33"/>
  <c r="AL44" i="33" s="1"/>
  <c r="AZ41" i="33"/>
  <c r="AZ44" i="33" s="1"/>
  <c r="N42" i="33"/>
  <c r="N45" i="33" s="1"/>
  <c r="N48" i="33" s="1"/>
  <c r="AB42" i="33"/>
  <c r="AP42" i="33"/>
  <c r="AP45" i="33" s="1"/>
  <c r="AP48" i="33" s="1"/>
  <c r="BD42" i="33"/>
  <c r="BD45" i="33" s="1"/>
  <c r="BD48" i="33" s="1"/>
  <c r="AB48" i="33"/>
  <c r="N38" i="33"/>
  <c r="N44" i="33" s="1"/>
  <c r="AB38" i="33"/>
  <c r="AB44" i="33" s="1"/>
  <c r="AP38" i="33"/>
  <c r="AP44" i="33" s="1"/>
  <c r="BD38" i="33"/>
  <c r="BD44" i="33" s="1"/>
  <c r="R39" i="33"/>
  <c r="R45" i="33" s="1"/>
  <c r="R48" i="33" s="1"/>
  <c r="AF39" i="33"/>
  <c r="AF45" i="33" s="1"/>
  <c r="AF48" i="33" s="1"/>
  <c r="AT39" i="33"/>
  <c r="AT45" i="33" s="1"/>
  <c r="AT48" i="33" s="1"/>
  <c r="H41" i="33"/>
  <c r="H44" i="33" s="1"/>
  <c r="H47" i="33" s="1"/>
  <c r="V41" i="33"/>
  <c r="V44" i="33" s="1"/>
  <c r="AJ41" i="33"/>
  <c r="AX41" i="33"/>
  <c r="AX44" i="33" s="1"/>
  <c r="L42" i="33"/>
  <c r="L45" i="33" s="1"/>
  <c r="L48" i="33" s="1"/>
  <c r="Z42" i="33"/>
  <c r="Z45" i="33" s="1"/>
  <c r="Z48" i="33" s="1"/>
  <c r="AN42" i="33"/>
  <c r="AN45" i="33" s="1"/>
  <c r="AN48" i="33" s="1"/>
  <c r="BB42" i="33"/>
  <c r="BB45" i="33" s="1"/>
  <c r="BB48" i="33"/>
  <c r="O38" i="33"/>
  <c r="O44" i="33" s="1"/>
  <c r="AQ38" i="33"/>
  <c r="AQ44" i="33" s="1"/>
  <c r="S39" i="33"/>
  <c r="S45" i="33" s="1"/>
  <c r="S48" i="33" s="1"/>
  <c r="I41" i="33"/>
  <c r="I44" i="33" s="1"/>
  <c r="M42" i="33"/>
  <c r="M45" i="33" s="1"/>
  <c r="M48" i="33" s="1"/>
  <c r="BC4" i="33"/>
  <c r="AO5" i="33" s="1"/>
  <c r="AB8" i="40" s="1"/>
  <c r="Q38" i="33"/>
  <c r="Q44" i="33" s="1"/>
  <c r="AE38" i="33"/>
  <c r="AE44" i="33" s="1"/>
  <c r="AS38" i="33"/>
  <c r="AS44" i="33" s="1"/>
  <c r="G39" i="33"/>
  <c r="G45" i="33" s="1"/>
  <c r="G48" i="33" s="1"/>
  <c r="U39" i="33"/>
  <c r="U45" i="33" s="1"/>
  <c r="U48" i="33" s="1"/>
  <c r="AI39" i="33"/>
  <c r="AI45" i="33" s="1"/>
  <c r="AI48" i="33" s="1"/>
  <c r="AW39" i="33"/>
  <c r="AW45" i="33" s="1"/>
  <c r="AW48" i="33" s="1"/>
  <c r="K41" i="33"/>
  <c r="K44" i="33" s="1"/>
  <c r="Y41" i="33"/>
  <c r="Y44" i="33" s="1"/>
  <c r="AM41" i="33"/>
  <c r="AM44" i="33" s="1"/>
  <c r="BA41" i="33"/>
  <c r="BA44" i="33" s="1"/>
  <c r="O42" i="33"/>
  <c r="O45" i="33" s="1"/>
  <c r="O48" i="33" s="1"/>
  <c r="AC42" i="33"/>
  <c r="AC45" i="33" s="1"/>
  <c r="AC48" i="33" s="1"/>
  <c r="AQ42" i="33"/>
  <c r="AQ45" i="33" s="1"/>
  <c r="AQ48" i="33" s="1"/>
  <c r="C10" i="9"/>
  <c r="G9" i="9"/>
  <c r="H9" i="9"/>
  <c r="C9" i="9"/>
  <c r="I9" i="9"/>
  <c r="J9" i="9"/>
  <c r="K9" i="9"/>
  <c r="I8" i="9"/>
  <c r="K8" i="9"/>
  <c r="L8" i="9"/>
  <c r="C8" i="9"/>
  <c r="H8" i="9"/>
  <c r="G8" i="9"/>
  <c r="G7" i="9"/>
  <c r="H48" i="32"/>
  <c r="AS48" i="32"/>
  <c r="AM48" i="32"/>
  <c r="H7" i="9"/>
  <c r="I7" i="9"/>
  <c r="J48" i="32"/>
  <c r="AX48" i="32"/>
  <c r="J7" i="9"/>
  <c r="K7" i="9"/>
  <c r="K48" i="32"/>
  <c r="AY48" i="32"/>
  <c r="C11" i="9"/>
  <c r="E10" i="9"/>
  <c r="E12" i="9"/>
  <c r="C12" i="9"/>
  <c r="E11" i="9"/>
  <c r="E9" i="9"/>
  <c r="E15" i="9"/>
  <c r="E8" i="9"/>
  <c r="E14" i="9"/>
  <c r="E7" i="9"/>
  <c r="AH48" i="32"/>
  <c r="AZ48" i="32"/>
  <c r="BA48" i="32"/>
  <c r="T48" i="32"/>
  <c r="P48" i="32"/>
  <c r="Q48" i="32"/>
  <c r="AD48" i="32"/>
  <c r="X48" i="32"/>
  <c r="F47" i="32"/>
  <c r="AE48" i="32"/>
  <c r="F48" i="32"/>
  <c r="Y48" i="32"/>
  <c r="AR48" i="32"/>
  <c r="AL48" i="32"/>
  <c r="G47" i="32"/>
  <c r="M47" i="32"/>
  <c r="N24" i="32"/>
  <c r="AK45" i="32"/>
  <c r="AK48" i="32" s="1"/>
  <c r="AF44" i="32"/>
  <c r="BE45" i="32"/>
  <c r="BE48" i="32" s="1"/>
  <c r="AG44" i="32"/>
  <c r="V45" i="32"/>
  <c r="V48" i="32" s="1"/>
  <c r="W45" i="32"/>
  <c r="W48" i="32" s="1"/>
  <c r="AV48" i="32"/>
  <c r="I38" i="32"/>
  <c r="W38" i="32"/>
  <c r="AK38" i="32"/>
  <c r="AY38" i="32"/>
  <c r="M39" i="32"/>
  <c r="M45" i="32" s="1"/>
  <c r="M48" i="32" s="1"/>
  <c r="AA39" i="32"/>
  <c r="AO39" i="32"/>
  <c r="BC39" i="32"/>
  <c r="Q41" i="32"/>
  <c r="AE41" i="32"/>
  <c r="AS41" i="32"/>
  <c r="G42" i="32"/>
  <c r="U42" i="32"/>
  <c r="AI42" i="32"/>
  <c r="AW42" i="32"/>
  <c r="N38" i="32"/>
  <c r="N44" i="32" s="1"/>
  <c r="AB38" i="32"/>
  <c r="AB44" i="32" s="1"/>
  <c r="AP38" i="32"/>
  <c r="AP44" i="32" s="1"/>
  <c r="BD38" i="32"/>
  <c r="BD44" i="32" s="1"/>
  <c r="R39" i="32"/>
  <c r="R45" i="32" s="1"/>
  <c r="R48" i="32" s="1"/>
  <c r="AF39" i="32"/>
  <c r="AF45" i="32" s="1"/>
  <c r="AF48" i="32" s="1"/>
  <c r="AT39" i="32"/>
  <c r="AT45" i="32" s="1"/>
  <c r="AT48" i="32" s="1"/>
  <c r="H41" i="32"/>
  <c r="H44" i="32" s="1"/>
  <c r="H47" i="32" s="1"/>
  <c r="V41" i="32"/>
  <c r="V44" i="32" s="1"/>
  <c r="AJ41" i="32"/>
  <c r="AJ44" i="32" s="1"/>
  <c r="AX41" i="32"/>
  <c r="AX44" i="32" s="1"/>
  <c r="L42" i="32"/>
  <c r="L45" i="32" s="1"/>
  <c r="L48" i="32" s="1"/>
  <c r="Z42" i="32"/>
  <c r="Z45" i="32" s="1"/>
  <c r="Z48" i="32" s="1"/>
  <c r="AN42" i="32"/>
  <c r="AN45" i="32" s="1"/>
  <c r="AN48" i="32" s="1"/>
  <c r="BB42" i="32"/>
  <c r="BB45" i="32" s="1"/>
  <c r="BB48" i="32" s="1"/>
  <c r="AO4" i="32"/>
  <c r="Z7" i="40" s="1"/>
  <c r="O38" i="32"/>
  <c r="O44" i="32" s="1"/>
  <c r="AC38" i="32"/>
  <c r="AC44" i="32" s="1"/>
  <c r="AQ38" i="32"/>
  <c r="AQ44" i="32" s="1"/>
  <c r="BE38" i="32"/>
  <c r="BE44" i="32" s="1"/>
  <c r="S39" i="32"/>
  <c r="S45" i="32" s="1"/>
  <c r="S48" i="32" s="1"/>
  <c r="AG39" i="32"/>
  <c r="AG45" i="32" s="1"/>
  <c r="AG48" i="32" s="1"/>
  <c r="AU39" i="32"/>
  <c r="AU45" i="32" s="1"/>
  <c r="AU48" i="32" s="1"/>
  <c r="I41" i="32"/>
  <c r="W41" i="32"/>
  <c r="AK41" i="32"/>
  <c r="AY41" i="32"/>
  <c r="M42" i="32"/>
  <c r="AA42" i="32"/>
  <c r="AO42" i="32"/>
  <c r="BC42" i="32"/>
  <c r="J47" i="32"/>
  <c r="N48" i="32"/>
  <c r="AB48" i="32"/>
  <c r="AP48" i="32"/>
  <c r="BC4" i="32"/>
  <c r="AO5" i="32" s="1"/>
  <c r="AB7" i="40" s="1"/>
  <c r="Q38" i="32"/>
  <c r="AE38" i="32"/>
  <c r="AS38" i="32"/>
  <c r="G39" i="32"/>
  <c r="G45" i="32" s="1"/>
  <c r="G48" i="32" s="1"/>
  <c r="U39" i="32"/>
  <c r="AI39" i="32"/>
  <c r="AW39" i="32"/>
  <c r="AW45" i="32" s="1"/>
  <c r="AW48" i="32" s="1"/>
  <c r="K41" i="32"/>
  <c r="K44" i="32" s="1"/>
  <c r="K47" i="32" s="1"/>
  <c r="Y41" i="32"/>
  <c r="Y44" i="32" s="1"/>
  <c r="AM41" i="32"/>
  <c r="AM44" i="32" s="1"/>
  <c r="BA41" i="32"/>
  <c r="BA44" i="32" s="1"/>
  <c r="O42" i="32"/>
  <c r="O45" i="32" s="1"/>
  <c r="O48" i="32" s="1"/>
  <c r="AC42" i="32"/>
  <c r="AC45" i="32" s="1"/>
  <c r="AC48" i="32" s="1"/>
  <c r="AQ42" i="32"/>
  <c r="AQ45" i="32" s="1"/>
  <c r="AQ48" i="32" s="1"/>
  <c r="L47" i="32"/>
  <c r="R24" i="31"/>
  <c r="Q47" i="31"/>
  <c r="I38" i="31"/>
  <c r="AA39" i="31"/>
  <c r="AX41" i="31"/>
  <c r="W38" i="31"/>
  <c r="AB39" i="31"/>
  <c r="AB45" i="31" s="1"/>
  <c r="AB48" i="31" s="1"/>
  <c r="AY41" i="31"/>
  <c r="AC38" i="31"/>
  <c r="AC44" i="31" s="1"/>
  <c r="AU39" i="31"/>
  <c r="S42" i="31"/>
  <c r="AF38" i="31"/>
  <c r="AX39" i="31"/>
  <c r="AX45" i="31" s="1"/>
  <c r="AX48" i="31" s="1"/>
  <c r="T42" i="31"/>
  <c r="AG38" i="31"/>
  <c r="AY39" i="31"/>
  <c r="U42" i="31"/>
  <c r="AH38" i="31"/>
  <c r="AH44" i="31" s="1"/>
  <c r="BC39" i="31"/>
  <c r="BC45" i="31" s="1"/>
  <c r="BC48" i="31" s="1"/>
  <c r="V42" i="31"/>
  <c r="AY38" i="31"/>
  <c r="AY44" i="31" s="1"/>
  <c r="BD39" i="31"/>
  <c r="BE42" i="31"/>
  <c r="AQ42" i="31"/>
  <c r="AC42" i="31"/>
  <c r="O42" i="31"/>
  <c r="BA41" i="31"/>
  <c r="AM41" i="31"/>
  <c r="Y41" i="31"/>
  <c r="K41" i="31"/>
  <c r="AW39" i="31"/>
  <c r="AI39" i="31"/>
  <c r="U39" i="31"/>
  <c r="G39" i="31"/>
  <c r="G45" i="31" s="1"/>
  <c r="G48" i="31" s="1"/>
  <c r="AS38" i="31"/>
  <c r="AS44" i="31" s="1"/>
  <c r="AE38" i="31"/>
  <c r="Q38" i="31"/>
  <c r="BD42" i="31"/>
  <c r="AP42" i="31"/>
  <c r="AB42" i="31"/>
  <c r="N42" i="31"/>
  <c r="AZ41" i="31"/>
  <c r="AL41" i="31"/>
  <c r="X41" i="31"/>
  <c r="J41" i="31"/>
  <c r="AV39" i="31"/>
  <c r="AH39" i="31"/>
  <c r="AH45" i="31" s="1"/>
  <c r="AH48" i="31" s="1"/>
  <c r="T39" i="31"/>
  <c r="T45" i="31" s="1"/>
  <c r="T48" i="31" s="1"/>
  <c r="F39" i="31"/>
  <c r="F45" i="31" s="1"/>
  <c r="F48" i="31" s="1"/>
  <c r="AR38" i="31"/>
  <c r="AD38" i="31"/>
  <c r="P38" i="31"/>
  <c r="AZ42" i="31"/>
  <c r="AL42" i="31"/>
  <c r="X42" i="31"/>
  <c r="X45" i="31" s="1"/>
  <c r="X48" i="31" s="1"/>
  <c r="J42" i="31"/>
  <c r="AV41" i="31"/>
  <c r="AH41" i="31"/>
  <c r="T41" i="31"/>
  <c r="F41" i="31"/>
  <c r="AR39" i="31"/>
  <c r="AR45" i="31" s="1"/>
  <c r="AD39" i="31"/>
  <c r="AD45" i="31" s="1"/>
  <c r="AD48" i="31" s="1"/>
  <c r="P39" i="31"/>
  <c r="BB38" i="31"/>
  <c r="BB44" i="31" s="1"/>
  <c r="AN38" i="31"/>
  <c r="Z38" i="31"/>
  <c r="L38" i="31"/>
  <c r="AY42" i="31"/>
  <c r="AK42" i="31"/>
  <c r="W42" i="31"/>
  <c r="I42" i="31"/>
  <c r="AU41" i="31"/>
  <c r="AG41" i="31"/>
  <c r="S41" i="31"/>
  <c r="BE39" i="31"/>
  <c r="BE45" i="31" s="1"/>
  <c r="BE48" i="31" s="1"/>
  <c r="AQ39" i="31"/>
  <c r="AQ45" i="31" s="1"/>
  <c r="AQ48" i="31" s="1"/>
  <c r="AC39" i="31"/>
  <c r="AC45" i="31" s="1"/>
  <c r="AC48" i="31" s="1"/>
  <c r="O39" i="31"/>
  <c r="BA38" i="31"/>
  <c r="AM38" i="31"/>
  <c r="Y38" i="31"/>
  <c r="K38" i="31"/>
  <c r="AV42" i="31"/>
  <c r="AD42" i="31"/>
  <c r="H42" i="31"/>
  <c r="AP41" i="31"/>
  <c r="V41" i="31"/>
  <c r="BB39" i="31"/>
  <c r="AJ39" i="31"/>
  <c r="N39" i="31"/>
  <c r="N45" i="31" s="1"/>
  <c r="N48" i="31" s="1"/>
  <c r="AV38" i="31"/>
  <c r="AV44" i="31" s="1"/>
  <c r="AB38" i="31"/>
  <c r="AB44" i="31" s="1"/>
  <c r="H38" i="31"/>
  <c r="AU42" i="31"/>
  <c r="AA42" i="31"/>
  <c r="G42" i="31"/>
  <c r="AO41" i="31"/>
  <c r="U41" i="31"/>
  <c r="BA39" i="31"/>
  <c r="BA45" i="31" s="1"/>
  <c r="BA48" i="31" s="1"/>
  <c r="AG39" i="31"/>
  <c r="M39" i="31"/>
  <c r="AU38" i="31"/>
  <c r="AU44" i="31" s="1"/>
  <c r="AA38" i="31"/>
  <c r="AA44" i="31" s="1"/>
  <c r="G38" i="31"/>
  <c r="G44" i="31" s="1"/>
  <c r="G47" i="31" s="1"/>
  <c r="AT42" i="31"/>
  <c r="Z42" i="31"/>
  <c r="Z45" i="31" s="1"/>
  <c r="Z48" i="31" s="1"/>
  <c r="F42" i="31"/>
  <c r="AN41" i="31"/>
  <c r="R41" i="31"/>
  <c r="AZ39" i="31"/>
  <c r="AZ45" i="31" s="1"/>
  <c r="AZ48" i="31" s="1"/>
  <c r="AF39" i="31"/>
  <c r="L39" i="31"/>
  <c r="L45" i="31" s="1"/>
  <c r="L48" i="31" s="1"/>
  <c r="AT38" i="31"/>
  <c r="AT44" i="31" s="1"/>
  <c r="X38" i="31"/>
  <c r="F38" i="31"/>
  <c r="AO42" i="31"/>
  <c r="R42" i="31"/>
  <c r="AS41" i="31"/>
  <c r="Q41" i="31"/>
  <c r="AT39" i="31"/>
  <c r="W39" i="31"/>
  <c r="AX38" i="31"/>
  <c r="V38" i="31"/>
  <c r="AN42" i="31"/>
  <c r="Q42" i="31"/>
  <c r="AR41" i="31"/>
  <c r="P41" i="31"/>
  <c r="AS39" i="31"/>
  <c r="V39" i="31"/>
  <c r="AW38" i="31"/>
  <c r="AW44" i="31" s="1"/>
  <c r="U38" i="31"/>
  <c r="AM42" i="31"/>
  <c r="P42" i="31"/>
  <c r="AQ41" i="31"/>
  <c r="O41" i="31"/>
  <c r="AP39" i="31"/>
  <c r="S39" i="31"/>
  <c r="AQ38" i="31"/>
  <c r="T38" i="31"/>
  <c r="AJ42" i="31"/>
  <c r="M42" i="31"/>
  <c r="AK41" i="31"/>
  <c r="N41" i="31"/>
  <c r="AO39" i="31"/>
  <c r="AO45" i="31" s="1"/>
  <c r="AO48" i="31" s="1"/>
  <c r="R39" i="31"/>
  <c r="R45" i="31" s="1"/>
  <c r="R48" i="31" s="1"/>
  <c r="AP38" i="31"/>
  <c r="AP44" i="31" s="1"/>
  <c r="S38" i="31"/>
  <c r="S44" i="31" s="1"/>
  <c r="AI42" i="31"/>
  <c r="L42" i="31"/>
  <c r="AJ41" i="31"/>
  <c r="M41" i="31"/>
  <c r="AN39" i="31"/>
  <c r="AN45" i="31" s="1"/>
  <c r="AN48" i="31" s="1"/>
  <c r="Q39" i="31"/>
  <c r="Q45" i="31" s="1"/>
  <c r="AO38" i="31"/>
  <c r="AO44" i="31" s="1"/>
  <c r="R38" i="31"/>
  <c r="R44" i="31" s="1"/>
  <c r="AG42" i="31"/>
  <c r="BE41" i="31"/>
  <c r="BE44" i="31" s="1"/>
  <c r="AF41" i="31"/>
  <c r="I41" i="31"/>
  <c r="AL39" i="31"/>
  <c r="AL45" i="31" s="1"/>
  <c r="AL48" i="31" s="1"/>
  <c r="J39" i="31"/>
  <c r="J45" i="31" s="1"/>
  <c r="J48" i="31" s="1"/>
  <c r="AK38" i="31"/>
  <c r="AK44" i="31" s="1"/>
  <c r="N38" i="31"/>
  <c r="BC42" i="31"/>
  <c r="AF42" i="31"/>
  <c r="BD41" i="31"/>
  <c r="AE41" i="31"/>
  <c r="H41" i="31"/>
  <c r="AK39" i="31"/>
  <c r="I39" i="31"/>
  <c r="AJ38" i="31"/>
  <c r="AJ44" i="31" s="1"/>
  <c r="M38" i="31"/>
  <c r="M44" i="31" s="1"/>
  <c r="M47" i="31" s="1"/>
  <c r="BB42" i="31"/>
  <c r="AE42" i="31"/>
  <c r="BC41" i="31"/>
  <c r="AD41" i="31"/>
  <c r="G41" i="31"/>
  <c r="AE39" i="31"/>
  <c r="H39" i="31"/>
  <c r="AI38" i="31"/>
  <c r="BA42" i="31"/>
  <c r="Y42" i="31"/>
  <c r="Y45" i="31" s="1"/>
  <c r="Y48" i="31" s="1"/>
  <c r="BB41" i="31"/>
  <c r="J38" i="31"/>
  <c r="J44" i="31" s="1"/>
  <c r="AH42" i="31"/>
  <c r="K42" i="31"/>
  <c r="AI41" i="31"/>
  <c r="L41" i="31"/>
  <c r="AM39" i="31"/>
  <c r="K39" i="31"/>
  <c r="AL38" i="31"/>
  <c r="O38" i="31"/>
  <c r="O44" i="31" s="1"/>
  <c r="AZ38" i="31"/>
  <c r="W41" i="31"/>
  <c r="AS42" i="31"/>
  <c r="BD44" i="31"/>
  <c r="BC38" i="31"/>
  <c r="Z41" i="31"/>
  <c r="AW42" i="31"/>
  <c r="BC4" i="31"/>
  <c r="AO5" i="31" s="1"/>
  <c r="AB6" i="40" s="1"/>
  <c r="J47" i="31"/>
  <c r="AR48" i="31"/>
  <c r="AO4" i="31"/>
  <c r="Z6" i="40" s="1"/>
  <c r="N47" i="31"/>
  <c r="Q48" i="31"/>
  <c r="O47" i="31"/>
  <c r="P47" i="31"/>
  <c r="BC4" i="30"/>
  <c r="AO5" i="30" s="1"/>
  <c r="AB5" i="40" s="1"/>
  <c r="J48" i="30"/>
  <c r="I48" i="30"/>
  <c r="AI48" i="30"/>
  <c r="P48" i="30"/>
  <c r="O48" i="30"/>
  <c r="Q48" i="30"/>
  <c r="AC48" i="30"/>
  <c r="AL48" i="30"/>
  <c r="AD48" i="30"/>
  <c r="V48" i="30"/>
  <c r="AE48" i="30"/>
  <c r="BE48" i="30"/>
  <c r="AR48" i="30"/>
  <c r="AY48" i="30"/>
  <c r="F47" i="30"/>
  <c r="AS48" i="30"/>
  <c r="AZ48" i="30"/>
  <c r="AK44" i="30"/>
  <c r="U44" i="30"/>
  <c r="W45" i="30"/>
  <c r="W48" i="30" s="1"/>
  <c r="AY44" i="30"/>
  <c r="H24" i="30"/>
  <c r="I24" i="30" s="1"/>
  <c r="J24" i="30" s="1"/>
  <c r="K24" i="30" s="1"/>
  <c r="L24" i="30" s="1"/>
  <c r="R44" i="30"/>
  <c r="AI44" i="30"/>
  <c r="AK45" i="30"/>
  <c r="AK48" i="30" s="1"/>
  <c r="G45" i="30"/>
  <c r="G48" i="30" s="1"/>
  <c r="X45" i="30"/>
  <c r="X48" i="30" s="1"/>
  <c r="Y45" i="30"/>
  <c r="AP45" i="30"/>
  <c r="AP48" i="30" s="1"/>
  <c r="AQ45" i="30"/>
  <c r="AQ48" i="30" s="1"/>
  <c r="H45" i="30"/>
  <c r="H48" i="30" s="1"/>
  <c r="AS44" i="30"/>
  <c r="AT44" i="30"/>
  <c r="BD48" i="30"/>
  <c r="AE44" i="30"/>
  <c r="AX45" i="30"/>
  <c r="AX48" i="30" s="1"/>
  <c r="AF44" i="30"/>
  <c r="AW45" i="30"/>
  <c r="AW48" i="30" s="1"/>
  <c r="K48" i="30"/>
  <c r="Y48" i="30"/>
  <c r="AM48" i="30"/>
  <c r="BA48" i="30"/>
  <c r="N38" i="30"/>
  <c r="N44" i="30" s="1"/>
  <c r="AB38" i="30"/>
  <c r="AB44" i="30" s="1"/>
  <c r="AP38" i="30"/>
  <c r="AP44" i="30" s="1"/>
  <c r="R39" i="30"/>
  <c r="R45" i="30" s="1"/>
  <c r="R48" i="30" s="1"/>
  <c r="AF39" i="30"/>
  <c r="AF45" i="30" s="1"/>
  <c r="AF48" i="30" s="1"/>
  <c r="AT39" i="30"/>
  <c r="AT45" i="30" s="1"/>
  <c r="AT48" i="30" s="1"/>
  <c r="H41" i="30"/>
  <c r="H44" i="30" s="1"/>
  <c r="V41" i="30"/>
  <c r="V44" i="30" s="1"/>
  <c r="AJ41" i="30"/>
  <c r="AJ44" i="30" s="1"/>
  <c r="AX41" i="30"/>
  <c r="AX44" i="30" s="1"/>
  <c r="L42" i="30"/>
  <c r="L45" i="30" s="1"/>
  <c r="L48" i="30" s="1"/>
  <c r="Z42" i="30"/>
  <c r="Z45" i="30" s="1"/>
  <c r="Z48" i="30" s="1"/>
  <c r="AN42" i="30"/>
  <c r="AN45" i="30" s="1"/>
  <c r="AN48" i="30" s="1"/>
  <c r="BB42" i="30"/>
  <c r="BB45" i="30" s="1"/>
  <c r="BB48" i="30" s="1"/>
  <c r="AO4" i="30"/>
  <c r="Z5" i="40" s="1"/>
  <c r="O38" i="30"/>
  <c r="O44" i="30" s="1"/>
  <c r="AC38" i="30"/>
  <c r="AC44" i="30" s="1"/>
  <c r="AQ38" i="30"/>
  <c r="AQ44" i="30" s="1"/>
  <c r="BE38" i="30"/>
  <c r="BE44" i="30" s="1"/>
  <c r="S39" i="30"/>
  <c r="S45" i="30" s="1"/>
  <c r="S48" i="30" s="1"/>
  <c r="AG39" i="30"/>
  <c r="AG45" i="30" s="1"/>
  <c r="AG48" i="30" s="1"/>
  <c r="AU39" i="30"/>
  <c r="AU45" i="30" s="1"/>
  <c r="AU48" i="30" s="1"/>
  <c r="I41" i="30"/>
  <c r="I44" i="30" s="1"/>
  <c r="W41" i="30"/>
  <c r="W44" i="30" s="1"/>
  <c r="AK41" i="30"/>
  <c r="AY41" i="30"/>
  <c r="M42" i="30"/>
  <c r="M45" i="30" s="1"/>
  <c r="M48" i="30" s="1"/>
  <c r="AA42" i="30"/>
  <c r="AA45" i="30" s="1"/>
  <c r="AA48" i="30" s="1"/>
  <c r="AO42" i="30"/>
  <c r="AO45" i="30" s="1"/>
  <c r="AO48" i="30" s="1"/>
  <c r="BC42" i="30"/>
  <c r="BC45" i="30" s="1"/>
  <c r="BC48" i="30" s="1"/>
  <c r="BD38" i="30"/>
  <c r="BD44" i="30" s="1"/>
  <c r="P38" i="30"/>
  <c r="P44" i="30" s="1"/>
  <c r="AD38" i="30"/>
  <c r="AD44" i="30" s="1"/>
  <c r="AR38" i="30"/>
  <c r="AR44" i="30" s="1"/>
  <c r="F39" i="30"/>
  <c r="F45" i="30" s="1"/>
  <c r="F48" i="30" s="1"/>
  <c r="T39" i="30"/>
  <c r="T45" i="30" s="1"/>
  <c r="T48" i="30" s="1"/>
  <c r="AH39" i="30"/>
  <c r="AH45" i="30" s="1"/>
  <c r="AH48" i="30" s="1"/>
  <c r="AV39" i="30"/>
  <c r="AV45" i="30" s="1"/>
  <c r="AV48" i="30" s="1"/>
  <c r="J41" i="30"/>
  <c r="J44" i="30" s="1"/>
  <c r="X41" i="30"/>
  <c r="X44" i="30" s="1"/>
  <c r="AL41" i="30"/>
  <c r="AL44" i="30" s="1"/>
  <c r="AZ41" i="30"/>
  <c r="AZ44" i="30" s="1"/>
  <c r="N42" i="30"/>
  <c r="N45" i="30" s="1"/>
  <c r="AB42" i="30"/>
  <c r="AB45" i="30" s="1"/>
  <c r="AP42" i="30"/>
  <c r="N48" i="30"/>
  <c r="AB48" i="30"/>
  <c r="AH38" i="13"/>
  <c r="BD38" i="13"/>
  <c r="Q42" i="13"/>
  <c r="BE38" i="13"/>
  <c r="R42" i="13"/>
  <c r="H39" i="13"/>
  <c r="U42" i="13"/>
  <c r="K39" i="13"/>
  <c r="V42" i="13"/>
  <c r="AD39" i="13"/>
  <c r="AD42" i="13"/>
  <c r="AL39" i="13"/>
  <c r="AW42" i="13"/>
  <c r="AM39" i="13"/>
  <c r="AX42" i="13"/>
  <c r="AN39" i="13"/>
  <c r="BA42" i="13"/>
  <c r="W38" i="13"/>
  <c r="AQ39" i="13"/>
  <c r="BB42" i="13"/>
  <c r="X38" i="13"/>
  <c r="L41" i="13"/>
  <c r="BC42" i="13"/>
  <c r="N24" i="13"/>
  <c r="BB11" i="13"/>
  <c r="F38" i="13"/>
  <c r="R39" i="13"/>
  <c r="AS39" i="13"/>
  <c r="AF42" i="13"/>
  <c r="BC4" i="13"/>
  <c r="L27" i="13"/>
  <c r="O38" i="13"/>
  <c r="O44" i="13" s="1"/>
  <c r="AN38" i="13"/>
  <c r="V39" i="13"/>
  <c r="AU39" i="13"/>
  <c r="AC41" i="13"/>
  <c r="AH42" i="13"/>
  <c r="R38" i="13"/>
  <c r="AO38" i="13"/>
  <c r="W39" i="13"/>
  <c r="AX39" i="13"/>
  <c r="AD41" i="13"/>
  <c r="J42" i="13"/>
  <c r="AK42" i="13"/>
  <c r="W41" i="13"/>
  <c r="S38" i="13"/>
  <c r="AP38" i="13"/>
  <c r="X39" i="13"/>
  <c r="BD39" i="13"/>
  <c r="AE41" i="13"/>
  <c r="K42" i="13"/>
  <c r="AL42" i="13"/>
  <c r="T38" i="13"/>
  <c r="AZ38" i="13"/>
  <c r="AA39" i="13"/>
  <c r="G41" i="13"/>
  <c r="AF41" i="13"/>
  <c r="L42" i="13"/>
  <c r="AM42" i="13"/>
  <c r="U38" i="13"/>
  <c r="BA38" i="13"/>
  <c r="AB39" i="13"/>
  <c r="H41" i="13"/>
  <c r="AG41" i="13"/>
  <c r="M42" i="13"/>
  <c r="BB12" i="13"/>
  <c r="H27" i="13"/>
  <c r="FE4" i="40" s="1"/>
  <c r="BE42" i="13"/>
  <c r="AQ42" i="13"/>
  <c r="AC42" i="13"/>
  <c r="O42" i="13"/>
  <c r="AM41" i="13"/>
  <c r="K41" i="13"/>
  <c r="AW39" i="13"/>
  <c r="AI39" i="13"/>
  <c r="U39" i="13"/>
  <c r="G39" i="13"/>
  <c r="AS38" i="13"/>
  <c r="AE38" i="13"/>
  <c r="Q38" i="13"/>
  <c r="BD42" i="13"/>
  <c r="AP42" i="13"/>
  <c r="AB42" i="13"/>
  <c r="N42" i="13"/>
  <c r="AL41" i="13"/>
  <c r="J41" i="13"/>
  <c r="AV39" i="13"/>
  <c r="AH39" i="13"/>
  <c r="T39" i="13"/>
  <c r="F39" i="13"/>
  <c r="AR38" i="13"/>
  <c r="AD38" i="13"/>
  <c r="P38" i="13"/>
  <c r="P44" i="13" s="1"/>
  <c r="AZ42" i="13"/>
  <c r="AJ42" i="13"/>
  <c r="T42" i="13"/>
  <c r="V41" i="13"/>
  <c r="F41" i="13"/>
  <c r="AP39" i="13"/>
  <c r="Z39" i="13"/>
  <c r="J39" i="13"/>
  <c r="AT38" i="13"/>
  <c r="AB38" i="13"/>
  <c r="L38" i="13"/>
  <c r="AY42" i="13"/>
  <c r="AI42" i="13"/>
  <c r="S42" i="13"/>
  <c r="AK41" i="13"/>
  <c r="U41" i="13"/>
  <c r="BE39" i="13"/>
  <c r="AO39" i="13"/>
  <c r="Y39" i="13"/>
  <c r="I39" i="13"/>
  <c r="AQ38" i="13"/>
  <c r="AA38" i="13"/>
  <c r="K38" i="13"/>
  <c r="AU42" i="13"/>
  <c r="AA42" i="13"/>
  <c r="I42" i="13"/>
  <c r="BC39" i="13"/>
  <c r="AK39" i="13"/>
  <c r="Q39" i="13"/>
  <c r="AY38" i="13"/>
  <c r="AG38" i="13"/>
  <c r="M38" i="13"/>
  <c r="AT42" i="13"/>
  <c r="Z42" i="13"/>
  <c r="H42" i="13"/>
  <c r="T41" i="13"/>
  <c r="BB39" i="13"/>
  <c r="AJ39" i="13"/>
  <c r="P39" i="13"/>
  <c r="AX38" i="13"/>
  <c r="AF38" i="13"/>
  <c r="J38" i="13"/>
  <c r="AS42" i="13"/>
  <c r="Y42" i="13"/>
  <c r="G42" i="13"/>
  <c r="S41" i="13"/>
  <c r="BA39" i="13"/>
  <c r="AG39" i="13"/>
  <c r="O39" i="13"/>
  <c r="AW38" i="13"/>
  <c r="AC38" i="13"/>
  <c r="I38" i="13"/>
  <c r="AR42" i="13"/>
  <c r="X42" i="13"/>
  <c r="F42" i="13"/>
  <c r="AJ41" i="13"/>
  <c r="R41" i="13"/>
  <c r="AZ39" i="13"/>
  <c r="AF39" i="13"/>
  <c r="N39" i="13"/>
  <c r="AV38" i="13"/>
  <c r="Z38" i="13"/>
  <c r="H38" i="13"/>
  <c r="AO42" i="13"/>
  <c r="W42" i="13"/>
  <c r="Q41" i="13"/>
  <c r="AY39" i="13"/>
  <c r="AE39" i="13"/>
  <c r="M39" i="13"/>
  <c r="AU38" i="13"/>
  <c r="Y38" i="13"/>
  <c r="G38" i="13"/>
  <c r="I27" i="13"/>
  <c r="FF4" i="40" s="1"/>
  <c r="AK38" i="13"/>
  <c r="L39" i="13"/>
  <c r="AR39" i="13"/>
  <c r="AE42" i="13"/>
  <c r="J27" i="13"/>
  <c r="FG4" i="40" s="1"/>
  <c r="AL38" i="13"/>
  <c r="K27" i="13"/>
  <c r="FH4" i="40" s="1"/>
  <c r="N38" i="13"/>
  <c r="AM38" i="13"/>
  <c r="S39" i="13"/>
  <c r="AT39" i="13"/>
  <c r="AB41" i="13"/>
  <c r="AG42" i="13"/>
  <c r="R35" i="13"/>
  <c r="V38" i="13"/>
  <c r="BB38" i="13"/>
  <c r="AC39" i="13"/>
  <c r="I41" i="13"/>
  <c r="P42" i="13"/>
  <c r="AV42" i="13"/>
  <c r="K25" i="5" l="1"/>
  <c r="BG3" i="40"/>
  <c r="AN45" i="13"/>
  <c r="AN48" i="13" s="1"/>
  <c r="V44" i="13"/>
  <c r="K44" i="13"/>
  <c r="K47" i="13" s="1"/>
  <c r="J47" i="33"/>
  <c r="I47" i="33"/>
  <c r="N44" i="13"/>
  <c r="AB45" i="13"/>
  <c r="AB48" i="13" s="1"/>
  <c r="M44" i="13"/>
  <c r="M47" i="13" s="1"/>
  <c r="AJ44" i="13"/>
  <c r="I47" i="39"/>
  <c r="L47" i="39"/>
  <c r="J47" i="39"/>
  <c r="L47" i="33"/>
  <c r="K47" i="33"/>
  <c r="U44" i="31"/>
  <c r="AJ45" i="31"/>
  <c r="AJ48" i="31" s="1"/>
  <c r="U45" i="31"/>
  <c r="U48" i="31" s="1"/>
  <c r="AV45" i="31"/>
  <c r="AV48" i="31" s="1"/>
  <c r="W44" i="31"/>
  <c r="AR44" i="34"/>
  <c r="I45" i="31"/>
  <c r="I48" i="31" s="1"/>
  <c r="M45" i="31"/>
  <c r="M48" i="31" s="1"/>
  <c r="AI45" i="32"/>
  <c r="AI48" i="32" s="1"/>
  <c r="AO45" i="32"/>
  <c r="AO48" i="32" s="1"/>
  <c r="AK45" i="31"/>
  <c r="AK48" i="31" s="1"/>
  <c r="AS45" i="31"/>
  <c r="AS48" i="31" s="1"/>
  <c r="U45" i="32"/>
  <c r="U48" i="32" s="1"/>
  <c r="AA45" i="32"/>
  <c r="AA48" i="32" s="1"/>
  <c r="N45" i="34"/>
  <c r="N48" i="34" s="1"/>
  <c r="G45" i="34"/>
  <c r="G48" i="34" s="1"/>
  <c r="AS44" i="32"/>
  <c r="AY44" i="32"/>
  <c r="AE44" i="32"/>
  <c r="AK44" i="32"/>
  <c r="AZ44" i="31"/>
  <c r="H45" i="31"/>
  <c r="H48" i="31" s="1"/>
  <c r="Q44" i="32"/>
  <c r="W44" i="32"/>
  <c r="I44" i="32"/>
  <c r="I47" i="32" s="1"/>
  <c r="AP45" i="31"/>
  <c r="AP48" i="31" s="1"/>
  <c r="AF44" i="31"/>
  <c r="AM45" i="31"/>
  <c r="AM48" i="31" s="1"/>
  <c r="AT45" i="31"/>
  <c r="AT48" i="31" s="1"/>
  <c r="O45" i="31"/>
  <c r="O48" i="31" s="1"/>
  <c r="AR44" i="31"/>
  <c r="AE44" i="31"/>
  <c r="BD45" i="31"/>
  <c r="BD48" i="31" s="1"/>
  <c r="AU45" i="31"/>
  <c r="AU48" i="31" s="1"/>
  <c r="BB45" i="13"/>
  <c r="BB48" i="13" s="1"/>
  <c r="AX45" i="13"/>
  <c r="AX48" i="13" s="1"/>
  <c r="AE44" i="13"/>
  <c r="AV4" i="39"/>
  <c r="AV5" i="39"/>
  <c r="AC13" i="40" s="1"/>
  <c r="E48" i="39"/>
  <c r="N15" i="9" s="1"/>
  <c r="N24" i="39"/>
  <c r="M47" i="39"/>
  <c r="K47" i="39"/>
  <c r="AV4" i="38"/>
  <c r="AV5" i="38"/>
  <c r="AC12" i="40" s="1"/>
  <c r="H47" i="38"/>
  <c r="I24" i="38"/>
  <c r="E48" i="38"/>
  <c r="N14" i="9" s="1"/>
  <c r="AV4" i="36"/>
  <c r="AV5" i="36"/>
  <c r="AC11" i="40" s="1"/>
  <c r="E48" i="36"/>
  <c r="N13" i="9" s="1"/>
  <c r="H47" i="36"/>
  <c r="I24" i="36"/>
  <c r="I47" i="35"/>
  <c r="AV4" i="35"/>
  <c r="AV5" i="35"/>
  <c r="AC10" i="40" s="1"/>
  <c r="K47" i="35"/>
  <c r="L24" i="35"/>
  <c r="J47" i="35"/>
  <c r="E48" i="35"/>
  <c r="N12" i="9" s="1"/>
  <c r="AV4" i="34"/>
  <c r="AV5" i="34"/>
  <c r="AC9" i="40" s="1"/>
  <c r="AC45" i="34"/>
  <c r="AC48" i="34" s="1"/>
  <c r="N47" i="34"/>
  <c r="O24" i="34"/>
  <c r="E48" i="33"/>
  <c r="N10" i="9" s="1"/>
  <c r="M47" i="33"/>
  <c r="N24" i="33"/>
  <c r="AV4" i="33"/>
  <c r="AV5" i="33"/>
  <c r="AC8" i="40" s="1"/>
  <c r="AV4" i="32"/>
  <c r="AV5" i="32"/>
  <c r="AC7" i="40" s="1"/>
  <c r="O24" i="32"/>
  <c r="N47" i="32"/>
  <c r="BC45" i="32"/>
  <c r="BC48" i="32" s="1"/>
  <c r="AI45" i="31"/>
  <c r="AI48" i="31" s="1"/>
  <c r="V45" i="31"/>
  <c r="V48" i="31" s="1"/>
  <c r="BC44" i="31"/>
  <c r="X44" i="31"/>
  <c r="AG45" i="31"/>
  <c r="AG48" i="31" s="1"/>
  <c r="AV4" i="31"/>
  <c r="AV5" i="31"/>
  <c r="AC6" i="40" s="1"/>
  <c r="AI44" i="31"/>
  <c r="T44" i="31"/>
  <c r="AF45" i="31"/>
  <c r="AF48" i="31" s="1"/>
  <c r="AA45" i="31"/>
  <c r="AA48" i="31" s="1"/>
  <c r="AQ44" i="31"/>
  <c r="K44" i="31"/>
  <c r="K47" i="31" s="1"/>
  <c r="I44" i="31"/>
  <c r="I47" i="31" s="1"/>
  <c r="AE45" i="31"/>
  <c r="AE48" i="31" s="1"/>
  <c r="S45" i="31"/>
  <c r="S48" i="31" s="1"/>
  <c r="V44" i="31"/>
  <c r="Y44" i="31"/>
  <c r="L44" i="31"/>
  <c r="L47" i="31" s="1"/>
  <c r="AY45" i="31"/>
  <c r="AY48" i="31" s="1"/>
  <c r="AX44" i="31"/>
  <c r="AM44" i="31"/>
  <c r="Z44" i="31"/>
  <c r="P44" i="31"/>
  <c r="AG44" i="31"/>
  <c r="P45" i="31"/>
  <c r="P48" i="31" s="1"/>
  <c r="BB45" i="31"/>
  <c r="BB48" i="31" s="1"/>
  <c r="F44" i="31"/>
  <c r="F47" i="31" s="1"/>
  <c r="AW45" i="31"/>
  <c r="AW48" i="31" s="1"/>
  <c r="AL44" i="31"/>
  <c r="K45" i="31"/>
  <c r="K48" i="31" s="1"/>
  <c r="N44" i="31"/>
  <c r="W45" i="31"/>
  <c r="W48" i="31" s="1"/>
  <c r="H44" i="31"/>
  <c r="H47" i="31" s="1"/>
  <c r="BA44" i="31"/>
  <c r="AN44" i="31"/>
  <c r="AD44" i="31"/>
  <c r="Q44" i="31"/>
  <c r="S24" i="31"/>
  <c r="R47" i="31"/>
  <c r="L47" i="30"/>
  <c r="M24" i="30"/>
  <c r="J47" i="30"/>
  <c r="E48" i="30"/>
  <c r="N7" i="9" s="1"/>
  <c r="AV4" i="30"/>
  <c r="AV5" i="30"/>
  <c r="AC5" i="40" s="1"/>
  <c r="H47" i="30"/>
  <c r="K47" i="30"/>
  <c r="I47" i="30"/>
  <c r="H45" i="13"/>
  <c r="H48" i="13" s="1"/>
  <c r="AG45" i="13"/>
  <c r="AG48" i="13" s="1"/>
  <c r="AP45" i="13"/>
  <c r="AP48" i="13" s="1"/>
  <c r="L45" i="13"/>
  <c r="L48" i="13" s="1"/>
  <c r="BA45" i="13"/>
  <c r="BA48" i="13" s="1"/>
  <c r="AL44" i="13"/>
  <c r="AC45" i="13"/>
  <c r="AC48" i="13" s="1"/>
  <c r="O45" i="13"/>
  <c r="O48" i="13" s="1"/>
  <c r="U44" i="13"/>
  <c r="AK44" i="13"/>
  <c r="AL45" i="13"/>
  <c r="AL48" i="13" s="1"/>
  <c r="S45" i="13"/>
  <c r="S48" i="13" s="1"/>
  <c r="AZ45" i="13"/>
  <c r="AZ48" i="13" s="1"/>
  <c r="AS45" i="13"/>
  <c r="AS48" i="13" s="1"/>
  <c r="H44" i="13"/>
  <c r="H47" i="13" s="1"/>
  <c r="W45" i="13"/>
  <c r="W48" i="13" s="1"/>
  <c r="F44" i="13"/>
  <c r="F47" i="13" s="1"/>
  <c r="AM45" i="13"/>
  <c r="AM48" i="13" s="1"/>
  <c r="AM44" i="13"/>
  <c r="AF44" i="13"/>
  <c r="BC45" i="13"/>
  <c r="BC48" i="13" s="1"/>
  <c r="AD44" i="13"/>
  <c r="AE45" i="13"/>
  <c r="AE48" i="13" s="1"/>
  <c r="G45" i="13"/>
  <c r="G48" i="13" s="1"/>
  <c r="L44" i="13"/>
  <c r="L47" i="13" s="1"/>
  <c r="U45" i="13"/>
  <c r="U48" i="13" s="1"/>
  <c r="K45" i="13"/>
  <c r="K48" i="13" s="1"/>
  <c r="AJ45" i="13"/>
  <c r="AJ48" i="13" s="1"/>
  <c r="T45" i="13"/>
  <c r="T48" i="13" s="1"/>
  <c r="F45" i="13"/>
  <c r="F48" i="13" s="1"/>
  <c r="AI45" i="13"/>
  <c r="AI48" i="13" s="1"/>
  <c r="AD45" i="13"/>
  <c r="AD48" i="13" s="1"/>
  <c r="AW45" i="13"/>
  <c r="AW48" i="13" s="1"/>
  <c r="J45" i="13"/>
  <c r="J48" i="13" s="1"/>
  <c r="I45" i="13"/>
  <c r="I48" i="13" s="1"/>
  <c r="N45" i="13"/>
  <c r="N48" i="13" s="1"/>
  <c r="AO45" i="13"/>
  <c r="AO48" i="13" s="1"/>
  <c r="AQ45" i="13"/>
  <c r="AQ48" i="13" s="1"/>
  <c r="V45" i="13"/>
  <c r="V48" i="13" s="1"/>
  <c r="W44" i="13"/>
  <c r="AT45" i="13"/>
  <c r="AT48" i="13" s="1"/>
  <c r="Q45" i="13"/>
  <c r="Q48" i="13" s="1"/>
  <c r="Q44" i="13"/>
  <c r="R45" i="13"/>
  <c r="R48" i="13" s="1"/>
  <c r="AA45" i="13"/>
  <c r="AA48" i="13" s="1"/>
  <c r="AB44" i="13"/>
  <c r="G44" i="13"/>
  <c r="G47" i="13" s="1"/>
  <c r="T44" i="13"/>
  <c r="AF45" i="13"/>
  <c r="AF48" i="13" s="1"/>
  <c r="AU45" i="13"/>
  <c r="AU48" i="13" s="1"/>
  <c r="Z45" i="13"/>
  <c r="Z48" i="13" s="1"/>
  <c r="AH45" i="13"/>
  <c r="AH48" i="13" s="1"/>
  <c r="M45" i="13"/>
  <c r="M48" i="13" s="1"/>
  <c r="AG44" i="13"/>
  <c r="Y45" i="13"/>
  <c r="Y48" i="13" s="1"/>
  <c r="AV45" i="13"/>
  <c r="AV48" i="13" s="1"/>
  <c r="AN35" i="13"/>
  <c r="AY45" i="13"/>
  <c r="AY48" i="13" s="1"/>
  <c r="J44" i="13"/>
  <c r="J47" i="13" s="1"/>
  <c r="BE45" i="13"/>
  <c r="BE48" i="13" s="1"/>
  <c r="AG35" i="13"/>
  <c r="AK45" i="13"/>
  <c r="AK48" i="13" s="1"/>
  <c r="AN41" i="13"/>
  <c r="AN44" i="13" s="1"/>
  <c r="BD45" i="13"/>
  <c r="BD48" i="13" s="1"/>
  <c r="R44" i="13"/>
  <c r="I44" i="13"/>
  <c r="I47" i="13" s="1"/>
  <c r="P45" i="13"/>
  <c r="P48" i="13" s="1"/>
  <c r="X45" i="13"/>
  <c r="X48" i="13" s="1"/>
  <c r="AC44" i="13"/>
  <c r="O24" i="13"/>
  <c r="N47" i="13"/>
  <c r="AR45" i="13"/>
  <c r="AR48" i="13" s="1"/>
  <c r="S44" i="13"/>
  <c r="W35" i="13"/>
  <c r="H35" i="5"/>
  <c r="L25" i="5" l="1"/>
  <c r="BH3" i="40"/>
  <c r="E48" i="34"/>
  <c r="N11" i="9" s="1"/>
  <c r="E48" i="32"/>
  <c r="N9" i="9" s="1"/>
  <c r="P15" i="9"/>
  <c r="AA13" i="40"/>
  <c r="P14" i="9"/>
  <c r="AA12" i="40"/>
  <c r="P13" i="9"/>
  <c r="AA11" i="40"/>
  <c r="P12" i="9"/>
  <c r="AA10" i="40"/>
  <c r="P11" i="9"/>
  <c r="AA9" i="40"/>
  <c r="P10" i="9"/>
  <c r="AA8" i="40"/>
  <c r="P9" i="9"/>
  <c r="AA7" i="40"/>
  <c r="P8" i="9"/>
  <c r="AA6" i="40"/>
  <c r="P7" i="9"/>
  <c r="AA5" i="40"/>
  <c r="AQ5" i="39"/>
  <c r="Q15" i="9"/>
  <c r="R15" i="9" s="1"/>
  <c r="AQ5" i="38"/>
  <c r="Q14" i="9"/>
  <c r="R14" i="9" s="1"/>
  <c r="AQ5" i="36"/>
  <c r="Q13" i="9"/>
  <c r="R13" i="9" s="1"/>
  <c r="AQ5" i="35"/>
  <c r="Q12" i="9"/>
  <c r="R12" i="9" s="1"/>
  <c r="AQ5" i="34"/>
  <c r="Q11" i="9"/>
  <c r="R11" i="9" s="1"/>
  <c r="AQ5" i="33"/>
  <c r="Q10" i="9"/>
  <c r="R10" i="9" s="1"/>
  <c r="O24" i="39"/>
  <c r="N47" i="39"/>
  <c r="AV6" i="39"/>
  <c r="AD13" i="40" s="1"/>
  <c r="J24" i="38"/>
  <c r="I47" i="38"/>
  <c r="AV6" i="38"/>
  <c r="AD12" i="40" s="1"/>
  <c r="J24" i="36"/>
  <c r="I47" i="36"/>
  <c r="AV6" i="36"/>
  <c r="AD11" i="40" s="1"/>
  <c r="AV6" i="35"/>
  <c r="AD10" i="40" s="1"/>
  <c r="M24" i="35"/>
  <c r="L47" i="35"/>
  <c r="O47" i="34"/>
  <c r="P24" i="34"/>
  <c r="AV6" i="34"/>
  <c r="AD9" i="40" s="1"/>
  <c r="AV6" i="33"/>
  <c r="AD8" i="40" s="1"/>
  <c r="O24" i="33"/>
  <c r="N47" i="33"/>
  <c r="AQ5" i="32"/>
  <c r="Q9" i="9"/>
  <c r="AQ5" i="31"/>
  <c r="Q8" i="9"/>
  <c r="AQ5" i="30"/>
  <c r="Q7" i="9"/>
  <c r="P24" i="32"/>
  <c r="O47" i="32"/>
  <c r="AV6" i="32"/>
  <c r="AD7" i="40" s="1"/>
  <c r="E48" i="31"/>
  <c r="N8" i="9" s="1"/>
  <c r="T24" i="31"/>
  <c r="S47" i="31"/>
  <c r="AV6" i="31"/>
  <c r="AD6" i="40" s="1"/>
  <c r="AV6" i="30"/>
  <c r="AD5" i="40" s="1"/>
  <c r="N24" i="30"/>
  <c r="M47" i="30"/>
  <c r="E48" i="13"/>
  <c r="P24" i="13"/>
  <c r="O47" i="13"/>
  <c r="AH35" i="13"/>
  <c r="AH41" i="13"/>
  <c r="AH44" i="13" s="1"/>
  <c r="AO4" i="13"/>
  <c r="BB14" i="13"/>
  <c r="BB13" i="13"/>
  <c r="AO35" i="13"/>
  <c r="AO41" i="13"/>
  <c r="AO44" i="13" s="1"/>
  <c r="X35" i="13"/>
  <c r="X41" i="13"/>
  <c r="X44" i="13" s="1"/>
  <c r="M25" i="5" l="1"/>
  <c r="BJ3" i="40" s="1"/>
  <c r="BI3" i="40"/>
  <c r="Z4" i="40"/>
  <c r="H6" i="9"/>
  <c r="P24" i="39"/>
  <c r="O47" i="39"/>
  <c r="K24" i="38"/>
  <c r="J47" i="38"/>
  <c r="K24" i="36"/>
  <c r="J47" i="36"/>
  <c r="N24" i="35"/>
  <c r="M47" i="35"/>
  <c r="Q24" i="34"/>
  <c r="P47" i="34"/>
  <c r="P24" i="33"/>
  <c r="O47" i="33"/>
  <c r="N6" i="9"/>
  <c r="N16" i="9" s="1"/>
  <c r="Q24" i="32"/>
  <c r="P47" i="32"/>
  <c r="U24" i="31"/>
  <c r="T47" i="31"/>
  <c r="O24" i="30"/>
  <c r="N47" i="30"/>
  <c r="AV4" i="13"/>
  <c r="AA4" i="40" s="1"/>
  <c r="AP35" i="13"/>
  <c r="AP41" i="13"/>
  <c r="AP44" i="13" s="1"/>
  <c r="BB15" i="13"/>
  <c r="AO5" i="13"/>
  <c r="AV5" i="13" s="1"/>
  <c r="AC4" i="40" s="1"/>
  <c r="AI35" i="13"/>
  <c r="AI41" i="13"/>
  <c r="AI44" i="13" s="1"/>
  <c r="Y35" i="13"/>
  <c r="Y41" i="13"/>
  <c r="Y44" i="13" s="1"/>
  <c r="P47" i="13"/>
  <c r="Q24" i="13"/>
  <c r="AB4" i="40" l="1"/>
  <c r="G6" i="9"/>
  <c r="Q24" i="39"/>
  <c r="P47" i="39"/>
  <c r="L24" i="38"/>
  <c r="K47" i="38"/>
  <c r="L24" i="36"/>
  <c r="K47" i="36"/>
  <c r="O24" i="35"/>
  <c r="N47" i="35"/>
  <c r="R24" i="34"/>
  <c r="Q47" i="34"/>
  <c r="Q24" i="33"/>
  <c r="P47" i="33"/>
  <c r="R8" i="9"/>
  <c r="R9" i="9"/>
  <c r="R7" i="9"/>
  <c r="P6" i="9"/>
  <c r="R24" i="32"/>
  <c r="Q47" i="32"/>
  <c r="V24" i="31"/>
  <c r="U47" i="31"/>
  <c r="P24" i="30"/>
  <c r="O47" i="30"/>
  <c r="AV6" i="13"/>
  <c r="AD4" i="40" s="1"/>
  <c r="Q47" i="13"/>
  <c r="R24" i="13"/>
  <c r="Z35" i="13"/>
  <c r="Z41" i="13"/>
  <c r="Z44" i="13" s="1"/>
  <c r="BB16" i="13"/>
  <c r="AQ35" i="13"/>
  <c r="AQ41" i="13"/>
  <c r="AQ44" i="13" s="1"/>
  <c r="R24" i="39" l="1"/>
  <c r="Q47" i="39"/>
  <c r="M24" i="38"/>
  <c r="L47" i="38"/>
  <c r="M24" i="36"/>
  <c r="L47" i="36"/>
  <c r="P24" i="35"/>
  <c r="O47" i="35"/>
  <c r="S24" i="34"/>
  <c r="R47" i="34"/>
  <c r="R24" i="33"/>
  <c r="Q47" i="33"/>
  <c r="S24" i="32"/>
  <c r="R47" i="32"/>
  <c r="W24" i="31"/>
  <c r="V47" i="31"/>
  <c r="Q24" i="30"/>
  <c r="P47" i="30"/>
  <c r="AQ5" i="13"/>
  <c r="Q6" i="9"/>
  <c r="AR35" i="13"/>
  <c r="AR41" i="13"/>
  <c r="AR44" i="13" s="1"/>
  <c r="BB17" i="13"/>
  <c r="AA35" i="13"/>
  <c r="AA41" i="13"/>
  <c r="AA44" i="13" s="1"/>
  <c r="S24" i="13"/>
  <c r="R47" i="13"/>
  <c r="R47" i="39" l="1"/>
  <c r="S24" i="39"/>
  <c r="N24" i="38"/>
  <c r="M47" i="38"/>
  <c r="M47" i="36"/>
  <c r="N24" i="36"/>
  <c r="Q24" i="35"/>
  <c r="P47" i="35"/>
  <c r="T24" i="34"/>
  <c r="S47" i="34"/>
  <c r="R47" i="33"/>
  <c r="S24" i="33"/>
  <c r="S47" i="32"/>
  <c r="T24" i="32"/>
  <c r="X24" i="31"/>
  <c r="W47" i="31"/>
  <c r="R24" i="30"/>
  <c r="Q47" i="30"/>
  <c r="AS35" i="13"/>
  <c r="AS41" i="13"/>
  <c r="AS44" i="13" s="1"/>
  <c r="T24" i="13"/>
  <c r="S47" i="13"/>
  <c r="BB18" i="13"/>
  <c r="S47" i="39" l="1"/>
  <c r="T24" i="39"/>
  <c r="O24" i="38"/>
  <c r="N47" i="38"/>
  <c r="O24" i="36"/>
  <c r="N47" i="36"/>
  <c r="R24" i="35"/>
  <c r="Q47" i="35"/>
  <c r="U24" i="34"/>
  <c r="T47" i="34"/>
  <c r="S47" i="33"/>
  <c r="T24" i="33"/>
  <c r="T47" i="32"/>
  <c r="U24" i="32"/>
  <c r="Y24" i="31"/>
  <c r="X47" i="31"/>
  <c r="S24" i="30"/>
  <c r="R47" i="30"/>
  <c r="BB19" i="13"/>
  <c r="U24" i="13"/>
  <c r="T47" i="13"/>
  <c r="AT41" i="13"/>
  <c r="AT44" i="13" s="1"/>
  <c r="AT35" i="13"/>
  <c r="T47" i="39" l="1"/>
  <c r="U24" i="39"/>
  <c r="P24" i="38"/>
  <c r="O47" i="38"/>
  <c r="P24" i="36"/>
  <c r="O47" i="36"/>
  <c r="R47" i="35"/>
  <c r="S24" i="35"/>
  <c r="V24" i="34"/>
  <c r="U47" i="34"/>
  <c r="U24" i="33"/>
  <c r="T47" i="33"/>
  <c r="U47" i="32"/>
  <c r="V24" i="32"/>
  <c r="Z24" i="31"/>
  <c r="Y47" i="31"/>
  <c r="T24" i="30"/>
  <c r="S47" i="30"/>
  <c r="AU35" i="13"/>
  <c r="AU41" i="13"/>
  <c r="AU44" i="13" s="1"/>
  <c r="V24" i="13"/>
  <c r="U47" i="13"/>
  <c r="BB21" i="13"/>
  <c r="BB20" i="13"/>
  <c r="V24" i="39" l="1"/>
  <c r="U47" i="39"/>
  <c r="Q24" i="38"/>
  <c r="P47" i="38"/>
  <c r="Q24" i="36"/>
  <c r="P47" i="36"/>
  <c r="S47" i="35"/>
  <c r="T24" i="35"/>
  <c r="W24" i="34"/>
  <c r="V47" i="34"/>
  <c r="V24" i="33"/>
  <c r="U47" i="33"/>
  <c r="V47" i="32"/>
  <c r="W24" i="32"/>
  <c r="AA24" i="31"/>
  <c r="Z47" i="31"/>
  <c r="T47" i="30"/>
  <c r="U24" i="30"/>
  <c r="W24" i="13"/>
  <c r="V47" i="13"/>
  <c r="AV35" i="13"/>
  <c r="AV41" i="13"/>
  <c r="AV44" i="13" s="1"/>
  <c r="V47" i="39" l="1"/>
  <c r="W24" i="39"/>
  <c r="R24" i="38"/>
  <c r="Q47" i="38"/>
  <c r="R24" i="36"/>
  <c r="Q47" i="36"/>
  <c r="T47" i="35"/>
  <c r="U24" i="35"/>
  <c r="X24" i="34"/>
  <c r="W47" i="34"/>
  <c r="V47" i="33"/>
  <c r="W24" i="33"/>
  <c r="X24" i="32"/>
  <c r="W47" i="32"/>
  <c r="AB24" i="31"/>
  <c r="AA47" i="31"/>
  <c r="U47" i="30"/>
  <c r="V24" i="30"/>
  <c r="AW35" i="13"/>
  <c r="AW41" i="13"/>
  <c r="AW44" i="13" s="1"/>
  <c r="X24" i="13"/>
  <c r="W47" i="13"/>
  <c r="X24" i="39" l="1"/>
  <c r="W47" i="39"/>
  <c r="S24" i="38"/>
  <c r="R47" i="38"/>
  <c r="R47" i="36"/>
  <c r="S24" i="36"/>
  <c r="V24" i="35"/>
  <c r="U47" i="35"/>
  <c r="Y24" i="34"/>
  <c r="X47" i="34"/>
  <c r="X24" i="33"/>
  <c r="W47" i="33"/>
  <c r="Y24" i="32"/>
  <c r="X47" i="32"/>
  <c r="AC24" i="31"/>
  <c r="AB47" i="31"/>
  <c r="W24" i="30"/>
  <c r="V47" i="30"/>
  <c r="AX35" i="13"/>
  <c r="AX41" i="13"/>
  <c r="AX44" i="13" s="1"/>
  <c r="Y24" i="13"/>
  <c r="X47" i="13"/>
  <c r="Y24" i="39" l="1"/>
  <c r="X47" i="39"/>
  <c r="S47" i="38"/>
  <c r="T24" i="38"/>
  <c r="S47" i="36"/>
  <c r="T24" i="36"/>
  <c r="V47" i="35"/>
  <c r="W24" i="35"/>
  <c r="Z24" i="34"/>
  <c r="Y47" i="34"/>
  <c r="Y24" i="33"/>
  <c r="X47" i="33"/>
  <c r="Z24" i="32"/>
  <c r="Y47" i="32"/>
  <c r="AD24" i="31"/>
  <c r="AC47" i="31"/>
  <c r="X24" i="30"/>
  <c r="W47" i="30"/>
  <c r="Z24" i="13"/>
  <c r="Y47" i="13"/>
  <c r="AY35" i="13"/>
  <c r="AY41" i="13"/>
  <c r="AY44" i="13" s="1"/>
  <c r="Z24" i="39" l="1"/>
  <c r="Y47" i="39"/>
  <c r="T47" i="38"/>
  <c r="U24" i="38"/>
  <c r="T47" i="36"/>
  <c r="U24" i="36"/>
  <c r="X24" i="35"/>
  <c r="W47" i="35"/>
  <c r="AA24" i="34"/>
  <c r="Z47" i="34"/>
  <c r="Z24" i="33"/>
  <c r="Y47" i="33"/>
  <c r="AA24" i="32"/>
  <c r="Z47" i="32"/>
  <c r="AE24" i="31"/>
  <c r="AD47" i="31"/>
  <c r="Y24" i="30"/>
  <c r="X47" i="30"/>
  <c r="AZ35" i="13"/>
  <c r="AZ41" i="13"/>
  <c r="AZ44" i="13" s="1"/>
  <c r="AA24" i="13"/>
  <c r="Z47" i="13"/>
  <c r="AA24" i="39" l="1"/>
  <c r="Z47" i="39"/>
  <c r="V24" i="38"/>
  <c r="U47" i="38"/>
  <c r="U47" i="36"/>
  <c r="V24" i="36"/>
  <c r="Y24" i="35"/>
  <c r="X47" i="35"/>
  <c r="AB24" i="34"/>
  <c r="AA47" i="34"/>
  <c r="AA24" i="33"/>
  <c r="Z47" i="33"/>
  <c r="AB24" i="32"/>
  <c r="AA47" i="32"/>
  <c r="AF24" i="31"/>
  <c r="AE47" i="31"/>
  <c r="Z24" i="30"/>
  <c r="Y47" i="30"/>
  <c r="AB24" i="13"/>
  <c r="AA47" i="13"/>
  <c r="BA35" i="13"/>
  <c r="BA41" i="13"/>
  <c r="BA44" i="13" s="1"/>
  <c r="AB24" i="39" l="1"/>
  <c r="AA47" i="39"/>
  <c r="V47" i="38"/>
  <c r="W24" i="38"/>
  <c r="V47" i="36"/>
  <c r="W24" i="36"/>
  <c r="Y47" i="35"/>
  <c r="Z24" i="35"/>
  <c r="AC24" i="34"/>
  <c r="AB47" i="34"/>
  <c r="AB24" i="33"/>
  <c r="AA47" i="33"/>
  <c r="AC24" i="32"/>
  <c r="AB47" i="32"/>
  <c r="AG24" i="31"/>
  <c r="AF47" i="31"/>
  <c r="Z47" i="30"/>
  <c r="AA24" i="30"/>
  <c r="BB35" i="13"/>
  <c r="BB41" i="13"/>
  <c r="BB44" i="13" s="1"/>
  <c r="AC24" i="13"/>
  <c r="AB47" i="13"/>
  <c r="AC24" i="39" l="1"/>
  <c r="AB47" i="39"/>
  <c r="X24" i="38"/>
  <c r="W47" i="38"/>
  <c r="X24" i="36"/>
  <c r="W47" i="36"/>
  <c r="AA24" i="35"/>
  <c r="Z47" i="35"/>
  <c r="AD24" i="34"/>
  <c r="AC47" i="34"/>
  <c r="AC24" i="33"/>
  <c r="AB47" i="33"/>
  <c r="AD24" i="32"/>
  <c r="AC47" i="32"/>
  <c r="AH24" i="31"/>
  <c r="AG47" i="31"/>
  <c r="AA47" i="30"/>
  <c r="AB24" i="30"/>
  <c r="AD24" i="13"/>
  <c r="AC47" i="13"/>
  <c r="BC35" i="13"/>
  <c r="BC41" i="13"/>
  <c r="BC44" i="13" s="1"/>
  <c r="AD24" i="39" l="1"/>
  <c r="AC47" i="39"/>
  <c r="Y24" i="38"/>
  <c r="X47" i="38"/>
  <c r="Y24" i="36"/>
  <c r="X47" i="36"/>
  <c r="AB24" i="35"/>
  <c r="AA47" i="35"/>
  <c r="AE24" i="34"/>
  <c r="AD47" i="34"/>
  <c r="AD24" i="33"/>
  <c r="AC47" i="33"/>
  <c r="AE24" i="32"/>
  <c r="AD47" i="32"/>
  <c r="AI24" i="31"/>
  <c r="AH47" i="31"/>
  <c r="AC24" i="30"/>
  <c r="AB47" i="30"/>
  <c r="BD35" i="13"/>
  <c r="BD41" i="13"/>
  <c r="BD44" i="13" s="1"/>
  <c r="AE24" i="13"/>
  <c r="AD47" i="13"/>
  <c r="AE24" i="39" l="1"/>
  <c r="AD47" i="39"/>
  <c r="Z24" i="38"/>
  <c r="Y47" i="38"/>
  <c r="Z24" i="36"/>
  <c r="Y47" i="36"/>
  <c r="AC24" i="35"/>
  <c r="AB47" i="35"/>
  <c r="AF24" i="34"/>
  <c r="AE47" i="34"/>
  <c r="AE24" i="33"/>
  <c r="AD47" i="33"/>
  <c r="AF24" i="32"/>
  <c r="AE47" i="32"/>
  <c r="AJ24" i="31"/>
  <c r="AI47" i="31"/>
  <c r="AD24" i="30"/>
  <c r="AC47" i="30"/>
  <c r="AF24" i="13"/>
  <c r="AE47" i="13"/>
  <c r="BE35" i="13"/>
  <c r="BE41" i="13"/>
  <c r="BE44" i="13" s="1"/>
  <c r="AF24" i="39" l="1"/>
  <c r="AE47" i="39"/>
  <c r="AA24" i="38"/>
  <c r="Z47" i="38"/>
  <c r="AA24" i="36"/>
  <c r="Z47" i="36"/>
  <c r="AD24" i="35"/>
  <c r="AC47" i="35"/>
  <c r="AF47" i="34"/>
  <c r="AG24" i="34"/>
  <c r="AF24" i="33"/>
  <c r="AE47" i="33"/>
  <c r="AG24" i="32"/>
  <c r="AF47" i="32"/>
  <c r="AK24" i="31"/>
  <c r="AJ47" i="31"/>
  <c r="AE24" i="30"/>
  <c r="AD47" i="30"/>
  <c r="AG24" i="13"/>
  <c r="AF47" i="13"/>
  <c r="AG24" i="39" l="1"/>
  <c r="AF47" i="39"/>
  <c r="AB24" i="38"/>
  <c r="AA47" i="38"/>
  <c r="AB24" i="36"/>
  <c r="AA47" i="36"/>
  <c r="AE24" i="35"/>
  <c r="AD47" i="35"/>
  <c r="AG47" i="34"/>
  <c r="AH24" i="34"/>
  <c r="AF47" i="33"/>
  <c r="AG24" i="33"/>
  <c r="AH24" i="32"/>
  <c r="AG47" i="32"/>
  <c r="AL24" i="31"/>
  <c r="AK47" i="31"/>
  <c r="AF24" i="30"/>
  <c r="AE47" i="30"/>
  <c r="AH24" i="13"/>
  <c r="AG47" i="13"/>
  <c r="AG47" i="39" l="1"/>
  <c r="AH24" i="39"/>
  <c r="AC24" i="38"/>
  <c r="AB47" i="38"/>
  <c r="AC24" i="36"/>
  <c r="AB47" i="36"/>
  <c r="AF24" i="35"/>
  <c r="AE47" i="35"/>
  <c r="AH47" i="34"/>
  <c r="AI24" i="34"/>
  <c r="AG47" i="33"/>
  <c r="AH24" i="33"/>
  <c r="AI24" i="32"/>
  <c r="AH47" i="32"/>
  <c r="AM24" i="31"/>
  <c r="AL47" i="31"/>
  <c r="AG24" i="30"/>
  <c r="AF47" i="30"/>
  <c r="AI24" i="13"/>
  <c r="AH47" i="13"/>
  <c r="AH47" i="39" l="1"/>
  <c r="AI24" i="39"/>
  <c r="AD24" i="38"/>
  <c r="AC47" i="38"/>
  <c r="AD24" i="36"/>
  <c r="AC47" i="36"/>
  <c r="AF47" i="35"/>
  <c r="AG24" i="35"/>
  <c r="AJ24" i="34"/>
  <c r="AI47" i="34"/>
  <c r="AH47" i="33"/>
  <c r="AI24" i="33"/>
  <c r="AI47" i="32"/>
  <c r="AJ24" i="32"/>
  <c r="AN24" i="31"/>
  <c r="AM47" i="31"/>
  <c r="AH24" i="30"/>
  <c r="AG47" i="30"/>
  <c r="AJ24" i="13"/>
  <c r="AI47" i="13"/>
  <c r="AJ24" i="39" l="1"/>
  <c r="AI47" i="39"/>
  <c r="AE24" i="38"/>
  <c r="AD47" i="38"/>
  <c r="AE24" i="36"/>
  <c r="AD47" i="36"/>
  <c r="AG47" i="35"/>
  <c r="AH24" i="35"/>
  <c r="AK24" i="34"/>
  <c r="AJ47" i="34"/>
  <c r="AI47" i="33"/>
  <c r="AJ24" i="33"/>
  <c r="AJ47" i="32"/>
  <c r="AK24" i="32"/>
  <c r="AO24" i="31"/>
  <c r="AN47" i="31"/>
  <c r="AI24" i="30"/>
  <c r="AH47" i="30"/>
  <c r="AK24" i="13"/>
  <c r="AJ47" i="13"/>
  <c r="AJ47" i="39" l="1"/>
  <c r="AK24" i="39"/>
  <c r="AF24" i="38"/>
  <c r="AE47" i="38"/>
  <c r="AF24" i="36"/>
  <c r="AE47" i="36"/>
  <c r="AH47" i="35"/>
  <c r="AI24" i="35"/>
  <c r="AK47" i="34"/>
  <c r="AL24" i="34"/>
  <c r="AJ47" i="33"/>
  <c r="AK24" i="33"/>
  <c r="AL24" i="32"/>
  <c r="AK47" i="32"/>
  <c r="AP24" i="31"/>
  <c r="AO47" i="31"/>
  <c r="AJ24" i="30"/>
  <c r="AI47" i="30"/>
  <c r="AL24" i="13"/>
  <c r="AK47" i="13"/>
  <c r="AL24" i="39" l="1"/>
  <c r="AK47" i="39"/>
  <c r="AG24" i="38"/>
  <c r="AF47" i="38"/>
  <c r="AF47" i="36"/>
  <c r="AG24" i="36"/>
  <c r="AI47" i="35"/>
  <c r="AJ24" i="35"/>
  <c r="AM24" i="34"/>
  <c r="AL47" i="34"/>
  <c r="AL24" i="33"/>
  <c r="AK47" i="33"/>
  <c r="AM24" i="32"/>
  <c r="AL47" i="32"/>
  <c r="AQ24" i="31"/>
  <c r="AP47" i="31"/>
  <c r="AK24" i="30"/>
  <c r="AJ47" i="30"/>
  <c r="AM24" i="13"/>
  <c r="AL47" i="13"/>
  <c r="AM24" i="39" l="1"/>
  <c r="AL47" i="39"/>
  <c r="AH24" i="38"/>
  <c r="AG47" i="38"/>
  <c r="AG47" i="36"/>
  <c r="AH24" i="36"/>
  <c r="AJ47" i="35"/>
  <c r="AK24" i="35"/>
  <c r="AN24" i="34"/>
  <c r="AM47" i="34"/>
  <c r="AM24" i="33"/>
  <c r="AL47" i="33"/>
  <c r="AN24" i="32"/>
  <c r="AM47" i="32"/>
  <c r="AR24" i="31"/>
  <c r="AQ47" i="31"/>
  <c r="AL24" i="30"/>
  <c r="AK47" i="30"/>
  <c r="AN24" i="13"/>
  <c r="AM47" i="13"/>
  <c r="AN24" i="39" l="1"/>
  <c r="AM47" i="39"/>
  <c r="AI24" i="38"/>
  <c r="AH47" i="38"/>
  <c r="AI24" i="36"/>
  <c r="AH47" i="36"/>
  <c r="AL24" i="35"/>
  <c r="AK47" i="35"/>
  <c r="AO24" i="34"/>
  <c r="AN47" i="34"/>
  <c r="AN24" i="33"/>
  <c r="AM47" i="33"/>
  <c r="AO24" i="32"/>
  <c r="AN47" i="32"/>
  <c r="AS24" i="31"/>
  <c r="AR47" i="31"/>
  <c r="AM24" i="30"/>
  <c r="AL47" i="30"/>
  <c r="AO24" i="13"/>
  <c r="AN47" i="13"/>
  <c r="AO24" i="39" l="1"/>
  <c r="AN47" i="39"/>
  <c r="AJ24" i="38"/>
  <c r="AI47" i="38"/>
  <c r="AI47" i="36"/>
  <c r="AJ24" i="36"/>
  <c r="AM24" i="35"/>
  <c r="AL47" i="35"/>
  <c r="AP24" i="34"/>
  <c r="AO47" i="34"/>
  <c r="AO24" i="33"/>
  <c r="AN47" i="33"/>
  <c r="AO47" i="32"/>
  <c r="AP24" i="32"/>
  <c r="AT24" i="31"/>
  <c r="AS47" i="31"/>
  <c r="AN24" i="30"/>
  <c r="AM47" i="30"/>
  <c r="AP24" i="13"/>
  <c r="AO47" i="13"/>
  <c r="AO47" i="39" l="1"/>
  <c r="AP24" i="39"/>
  <c r="AJ47" i="38"/>
  <c r="AK24" i="38"/>
  <c r="AJ47" i="36"/>
  <c r="AK24" i="36"/>
  <c r="AM47" i="35"/>
  <c r="AN24" i="35"/>
  <c r="AQ24" i="34"/>
  <c r="AP47" i="34"/>
  <c r="AO47" i="33"/>
  <c r="AP24" i="33"/>
  <c r="AQ24" i="32"/>
  <c r="AP47" i="32"/>
  <c r="AU24" i="31"/>
  <c r="AT47" i="31"/>
  <c r="AN47" i="30"/>
  <c r="AO24" i="30"/>
  <c r="AQ24" i="13"/>
  <c r="AP47" i="13"/>
  <c r="AQ24" i="39" l="1"/>
  <c r="AP47" i="39"/>
  <c r="AL24" i="38"/>
  <c r="AK47" i="38"/>
  <c r="AL24" i="36"/>
  <c r="AK47" i="36"/>
  <c r="AO24" i="35"/>
  <c r="AN47" i="35"/>
  <c r="AR24" i="34"/>
  <c r="AQ47" i="34"/>
  <c r="AQ24" i="33"/>
  <c r="AP47" i="33"/>
  <c r="AR24" i="32"/>
  <c r="AQ47" i="32"/>
  <c r="AV24" i="31"/>
  <c r="AU47" i="31"/>
  <c r="AO47" i="30"/>
  <c r="AP24" i="30"/>
  <c r="AR24" i="13"/>
  <c r="AQ47" i="13"/>
  <c r="AR24" i="39" l="1"/>
  <c r="AQ47" i="39"/>
  <c r="AM24" i="38"/>
  <c r="AL47" i="38"/>
  <c r="AM24" i="36"/>
  <c r="AL47" i="36"/>
  <c r="AP24" i="35"/>
  <c r="AO47" i="35"/>
  <c r="AS24" i="34"/>
  <c r="AR47" i="34"/>
  <c r="AR24" i="33"/>
  <c r="AQ47" i="33"/>
  <c r="AS24" i="32"/>
  <c r="AR47" i="32"/>
  <c r="AW24" i="31"/>
  <c r="AV47" i="31"/>
  <c r="AQ24" i="30"/>
  <c r="AP47" i="30"/>
  <c r="AS24" i="13"/>
  <c r="AR47" i="13"/>
  <c r="AS24" i="39" l="1"/>
  <c r="AR47" i="39"/>
  <c r="AN24" i="38"/>
  <c r="AM47" i="38"/>
  <c r="AN24" i="36"/>
  <c r="AM47" i="36"/>
  <c r="AQ24" i="35"/>
  <c r="AP47" i="35"/>
  <c r="AT24" i="34"/>
  <c r="AS47" i="34"/>
  <c r="AS24" i="33"/>
  <c r="AR47" i="33"/>
  <c r="AT24" i="32"/>
  <c r="AS47" i="32"/>
  <c r="AX24" i="31"/>
  <c r="AW47" i="31"/>
  <c r="AR24" i="30"/>
  <c r="AQ47" i="30"/>
  <c r="AT24" i="13"/>
  <c r="AS47" i="13"/>
  <c r="AT24" i="39" l="1"/>
  <c r="AS47" i="39"/>
  <c r="AO24" i="38"/>
  <c r="AN47" i="38"/>
  <c r="AO24" i="36"/>
  <c r="AN47" i="36"/>
  <c r="AR24" i="35"/>
  <c r="AQ47" i="35"/>
  <c r="AT47" i="34"/>
  <c r="AU24" i="34"/>
  <c r="AT24" i="33"/>
  <c r="AS47" i="33"/>
  <c r="AU24" i="32"/>
  <c r="AT47" i="32"/>
  <c r="AY24" i="31"/>
  <c r="AX47" i="31"/>
  <c r="AS24" i="30"/>
  <c r="AR47" i="30"/>
  <c r="AU24" i="13"/>
  <c r="AT47" i="13"/>
  <c r="AT47" i="39" l="1"/>
  <c r="AU24" i="39"/>
  <c r="AO47" i="38"/>
  <c r="AP24" i="38"/>
  <c r="AP24" i="36"/>
  <c r="AO47" i="36"/>
  <c r="AS24" i="35"/>
  <c r="AR47" i="35"/>
  <c r="AU47" i="34"/>
  <c r="AV24" i="34"/>
  <c r="AU24" i="33"/>
  <c r="AT47" i="33"/>
  <c r="AU47" i="32"/>
  <c r="AV24" i="32"/>
  <c r="AZ24" i="31"/>
  <c r="AY47" i="31"/>
  <c r="AS47" i="30"/>
  <c r="AT24" i="30"/>
  <c r="AV24" i="13"/>
  <c r="AU47" i="13"/>
  <c r="AV24" i="39" l="1"/>
  <c r="AU47" i="39"/>
  <c r="AQ24" i="38"/>
  <c r="AP47" i="38"/>
  <c r="AQ24" i="36"/>
  <c r="AP47" i="36"/>
  <c r="AT24" i="35"/>
  <c r="AS47" i="35"/>
  <c r="AV47" i="34"/>
  <c r="AW24" i="34"/>
  <c r="AV24" i="33"/>
  <c r="AU47" i="33"/>
  <c r="AV47" i="32"/>
  <c r="AW24" i="32"/>
  <c r="BA24" i="31"/>
  <c r="AZ47" i="31"/>
  <c r="AT47" i="30"/>
  <c r="AU24" i="30"/>
  <c r="AW24" i="13"/>
  <c r="AV47" i="13"/>
  <c r="AW24" i="39" l="1"/>
  <c r="AV47" i="39"/>
  <c r="AR24" i="38"/>
  <c r="AQ47" i="38"/>
  <c r="AR24" i="36"/>
  <c r="AQ47" i="36"/>
  <c r="AU24" i="35"/>
  <c r="AT47" i="35"/>
  <c r="AW47" i="34"/>
  <c r="AX24" i="34"/>
  <c r="AW24" i="33"/>
  <c r="AV47" i="33"/>
  <c r="AW47" i="32"/>
  <c r="AX24" i="32"/>
  <c r="BB24" i="31"/>
  <c r="BA47" i="31"/>
  <c r="AV24" i="30"/>
  <c r="AU47" i="30"/>
  <c r="AW47" i="13"/>
  <c r="AX24" i="13"/>
  <c r="AX24" i="39" l="1"/>
  <c r="AW47" i="39"/>
  <c r="AS24" i="38"/>
  <c r="AR47" i="38"/>
  <c r="AS24" i="36"/>
  <c r="AR47" i="36"/>
  <c r="AV24" i="35"/>
  <c r="AU47" i="35"/>
  <c r="AX47" i="34"/>
  <c r="AY24" i="34"/>
  <c r="AX24" i="33"/>
  <c r="AW47" i="33"/>
  <c r="AX47" i="32"/>
  <c r="AY24" i="32"/>
  <c r="BC24" i="31"/>
  <c r="BB47" i="31"/>
  <c r="AV47" i="30"/>
  <c r="AW24" i="30"/>
  <c r="AY24" i="13"/>
  <c r="AX47" i="13"/>
  <c r="AX47" i="39" l="1"/>
  <c r="AY24" i="39"/>
  <c r="AT24" i="38"/>
  <c r="AS47" i="38"/>
  <c r="AT24" i="36"/>
  <c r="AS47" i="36"/>
  <c r="AW24" i="35"/>
  <c r="AV47" i="35"/>
  <c r="AY47" i="34"/>
  <c r="AZ24" i="34"/>
  <c r="AX47" i="33"/>
  <c r="AY24" i="33"/>
  <c r="AZ24" i="32"/>
  <c r="AY47" i="32"/>
  <c r="BD24" i="31"/>
  <c r="BC47" i="31"/>
  <c r="AX24" i="30"/>
  <c r="AW47" i="30"/>
  <c r="AZ24" i="13"/>
  <c r="AY47" i="13"/>
  <c r="AZ24" i="39" l="1"/>
  <c r="AY47" i="39"/>
  <c r="AT47" i="38"/>
  <c r="AU24" i="38"/>
  <c r="AT47" i="36"/>
  <c r="AU24" i="36"/>
  <c r="AX24" i="35"/>
  <c r="AW47" i="35"/>
  <c r="BA24" i="34"/>
  <c r="AZ47" i="34"/>
  <c r="AZ24" i="33"/>
  <c r="AY47" i="33"/>
  <c r="BA24" i="32"/>
  <c r="AZ47" i="32"/>
  <c r="BE24" i="31"/>
  <c r="BE47" i="31" s="1"/>
  <c r="BD47" i="31"/>
  <c r="AY24" i="30"/>
  <c r="AX47" i="30"/>
  <c r="BA24" i="13"/>
  <c r="AZ47" i="13"/>
  <c r="BA24" i="39" l="1"/>
  <c r="AZ47" i="39"/>
  <c r="AU47" i="38"/>
  <c r="AV24" i="38"/>
  <c r="AU47" i="36"/>
  <c r="AV24" i="36"/>
  <c r="AX47" i="35"/>
  <c r="AY24" i="35"/>
  <c r="BB24" i="34"/>
  <c r="BA47" i="34"/>
  <c r="BA24" i="33"/>
  <c r="AZ47" i="33"/>
  <c r="E47" i="31"/>
  <c r="BB24" i="32"/>
  <c r="BA47" i="32"/>
  <c r="AZ24" i="30"/>
  <c r="AY47" i="30"/>
  <c r="BB24" i="13"/>
  <c r="BA47" i="13"/>
  <c r="BB24" i="39" l="1"/>
  <c r="BA47" i="39"/>
  <c r="AV47" i="38"/>
  <c r="AW24" i="38"/>
  <c r="AV47" i="36"/>
  <c r="AW24" i="36"/>
  <c r="AZ24" i="35"/>
  <c r="AY47" i="35"/>
  <c r="BC24" i="34"/>
  <c r="BB47" i="34"/>
  <c r="BB24" i="33"/>
  <c r="BA47" i="33"/>
  <c r="BC24" i="32"/>
  <c r="BB47" i="32"/>
  <c r="BA24" i="30"/>
  <c r="AZ47" i="30"/>
  <c r="BC24" i="13"/>
  <c r="BB47" i="13"/>
  <c r="BC24" i="39" l="1"/>
  <c r="BB47" i="39"/>
  <c r="AX24" i="38"/>
  <c r="AW47" i="38"/>
  <c r="AW47" i="36"/>
  <c r="AX24" i="36"/>
  <c r="BA24" i="35"/>
  <c r="AZ47" i="35"/>
  <c r="BD24" i="34"/>
  <c r="BC47" i="34"/>
  <c r="BC24" i="33"/>
  <c r="BB47" i="33"/>
  <c r="BD24" i="32"/>
  <c r="BC47" i="32"/>
  <c r="BB24" i="30"/>
  <c r="BA47" i="30"/>
  <c r="BD24" i="13"/>
  <c r="BC47" i="13"/>
  <c r="BC47" i="39" l="1"/>
  <c r="BD24" i="39"/>
  <c r="AX47" i="38"/>
  <c r="AY24" i="38"/>
  <c r="AX47" i="36"/>
  <c r="AY24" i="36"/>
  <c r="BA47" i="35"/>
  <c r="BB24" i="35"/>
  <c r="BE24" i="34"/>
  <c r="BE47" i="34" s="1"/>
  <c r="BD47" i="34"/>
  <c r="BC47" i="33"/>
  <c r="BD24" i="33"/>
  <c r="BE24" i="32"/>
  <c r="BE47" i="32" s="1"/>
  <c r="BD47" i="32"/>
  <c r="BC24" i="30"/>
  <c r="BB47" i="30"/>
  <c r="BE24" i="13"/>
  <c r="BE47" i="13" s="1"/>
  <c r="BD47" i="13"/>
  <c r="BE24" i="39" l="1"/>
  <c r="BE47" i="39" s="1"/>
  <c r="BD47" i="39"/>
  <c r="AZ24" i="38"/>
  <c r="AY47" i="38"/>
  <c r="AZ24" i="36"/>
  <c r="AY47" i="36"/>
  <c r="E47" i="34"/>
  <c r="BC24" i="35"/>
  <c r="BB47" i="35"/>
  <c r="BE24" i="33"/>
  <c r="BE47" i="33" s="1"/>
  <c r="BD47" i="33"/>
  <c r="E47" i="32"/>
  <c r="BD24" i="30"/>
  <c r="BC47" i="30"/>
  <c r="E47" i="13"/>
  <c r="E47" i="39" l="1"/>
  <c r="BA24" i="38"/>
  <c r="AZ47" i="38"/>
  <c r="BA24" i="36"/>
  <c r="AZ47" i="36"/>
  <c r="BD24" i="35"/>
  <c r="BC47" i="35"/>
  <c r="E47" i="33"/>
  <c r="BE24" i="30"/>
  <c r="BE47" i="30" s="1"/>
  <c r="BD47" i="30"/>
  <c r="BB24" i="38" l="1"/>
  <c r="BA47" i="38"/>
  <c r="BB24" i="36"/>
  <c r="BA47" i="36"/>
  <c r="BE24" i="35"/>
  <c r="BE47" i="35" s="1"/>
  <c r="BD47" i="35"/>
  <c r="E47" i="30"/>
  <c r="BC24" i="38" l="1"/>
  <c r="BB47" i="38"/>
  <c r="E47" i="35"/>
  <c r="BC24" i="36"/>
  <c r="BB47" i="36"/>
  <c r="BC47" i="38" l="1"/>
  <c r="BD24" i="38"/>
  <c r="BD24" i="36"/>
  <c r="BC47" i="36"/>
  <c r="BE24" i="38" l="1"/>
  <c r="BE47" i="38" s="1"/>
  <c r="BD47" i="38"/>
  <c r="BE24" i="36"/>
  <c r="BE47" i="36" s="1"/>
  <c r="BD47" i="36"/>
  <c r="E47" i="38" l="1"/>
  <c r="E47" i="36"/>
  <c r="AV11" i="5" l="1"/>
  <c r="AV12" i="5" s="1"/>
  <c r="AV13" i="5" l="1"/>
  <c r="AV14" i="5" l="1"/>
  <c r="AV15" i="5" l="1"/>
  <c r="AV16" i="5" s="1"/>
  <c r="AV17" i="5" s="1"/>
  <c r="AV18" i="5" s="1"/>
  <c r="AV19" i="5" s="1"/>
  <c r="AV20" i="5" s="1"/>
  <c r="AV21" i="5" s="1"/>
  <c r="AZ3" i="5"/>
  <c r="BB14" i="5" l="1"/>
  <c r="BB10" i="5"/>
  <c r="BB12" i="5"/>
  <c r="BB13" i="5"/>
  <c r="BB11" i="5" l="1"/>
  <c r="BB15" i="5" l="1"/>
  <c r="AO4" i="5"/>
  <c r="BB16" i="5"/>
  <c r="AT42" i="5"/>
  <c r="AF42" i="5"/>
  <c r="R42" i="5"/>
  <c r="BC41" i="5"/>
  <c r="AO41" i="5"/>
  <c r="AA41" i="5"/>
  <c r="M41" i="5"/>
  <c r="BA39" i="5"/>
  <c r="AM39" i="5"/>
  <c r="Y39" i="5"/>
  <c r="K39" i="5"/>
  <c r="AW38" i="5"/>
  <c r="AI38" i="5"/>
  <c r="U38" i="5"/>
  <c r="G38" i="5"/>
  <c r="BD42" i="5"/>
  <c r="AP42" i="5"/>
  <c r="AB42" i="5"/>
  <c r="N42" i="5"/>
  <c r="AY41" i="5"/>
  <c r="W41" i="5"/>
  <c r="AW39" i="5"/>
  <c r="G39" i="5"/>
  <c r="Q38" i="5"/>
  <c r="BC42" i="5"/>
  <c r="AA42" i="5"/>
  <c r="AX41" i="5"/>
  <c r="V41" i="5"/>
  <c r="AH39" i="5"/>
  <c r="F39" i="5"/>
  <c r="P38" i="5"/>
  <c r="F42" i="5"/>
  <c r="R39" i="5"/>
  <c r="AB38" i="5"/>
  <c r="AL42" i="5"/>
  <c r="AU41" i="5"/>
  <c r="F41" i="5"/>
  <c r="BC38" i="5"/>
  <c r="M38" i="5"/>
  <c r="AY42" i="5"/>
  <c r="I42" i="5"/>
  <c r="BB38" i="5"/>
  <c r="V42" i="5"/>
  <c r="AE41" i="5"/>
  <c r="AQ39" i="5"/>
  <c r="BA38" i="5"/>
  <c r="K38" i="5"/>
  <c r="AB41" i="5"/>
  <c r="AN39" i="5"/>
  <c r="AJ38" i="5"/>
  <c r="AS42" i="5"/>
  <c r="AE42" i="5"/>
  <c r="Q42" i="5"/>
  <c r="BB41" i="5"/>
  <c r="AN41" i="5"/>
  <c r="Z41" i="5"/>
  <c r="L41" i="5"/>
  <c r="AZ39" i="5"/>
  <c r="AL39" i="5"/>
  <c r="X39" i="5"/>
  <c r="J39" i="5"/>
  <c r="AV38" i="5"/>
  <c r="AH38" i="5"/>
  <c r="T38" i="5"/>
  <c r="AR42" i="5"/>
  <c r="AD42" i="5"/>
  <c r="P42" i="5"/>
  <c r="BA41" i="5"/>
  <c r="AM41" i="5"/>
  <c r="Y41" i="5"/>
  <c r="K41" i="5"/>
  <c r="AY39" i="5"/>
  <c r="AK39" i="5"/>
  <c r="W39" i="5"/>
  <c r="I39" i="5"/>
  <c r="AU38" i="5"/>
  <c r="AG38" i="5"/>
  <c r="S38" i="5"/>
  <c r="U39" i="5"/>
  <c r="BE42" i="5"/>
  <c r="AQ42" i="5"/>
  <c r="AC42" i="5"/>
  <c r="O42" i="5"/>
  <c r="AZ41" i="5"/>
  <c r="AL41" i="5"/>
  <c r="X41" i="5"/>
  <c r="J41" i="5"/>
  <c r="AX39" i="5"/>
  <c r="AJ39" i="5"/>
  <c r="V39" i="5"/>
  <c r="H39" i="5"/>
  <c r="AT38" i="5"/>
  <c r="AF38" i="5"/>
  <c r="R38" i="5"/>
  <c r="AK41" i="5"/>
  <c r="I41" i="5"/>
  <c r="AI39" i="5"/>
  <c r="AS38" i="5"/>
  <c r="AE38" i="5"/>
  <c r="AO42" i="5"/>
  <c r="M42" i="5"/>
  <c r="AJ41" i="5"/>
  <c r="H41" i="5"/>
  <c r="AV39" i="5"/>
  <c r="T39" i="5"/>
  <c r="AR38" i="5"/>
  <c r="AD38" i="5"/>
  <c r="T41" i="5"/>
  <c r="AF39" i="5"/>
  <c r="AP38" i="5"/>
  <c r="N38" i="5"/>
  <c r="AZ42" i="5"/>
  <c r="J42" i="5"/>
  <c r="S41" i="5"/>
  <c r="AE39" i="5"/>
  <c r="Q39" i="5"/>
  <c r="AA38" i="5"/>
  <c r="AK42" i="5"/>
  <c r="AT41" i="5"/>
  <c r="R41" i="5"/>
  <c r="AR39" i="5"/>
  <c r="P39" i="5"/>
  <c r="AN38" i="5"/>
  <c r="L38" i="5"/>
  <c r="AJ42" i="5"/>
  <c r="AS41" i="5"/>
  <c r="BE39" i="5"/>
  <c r="O39" i="5"/>
  <c r="Y38" i="5"/>
  <c r="S42" i="5"/>
  <c r="BB39" i="5"/>
  <c r="AX38" i="5"/>
  <c r="H38" i="5"/>
  <c r="BB42" i="5"/>
  <c r="AN42" i="5"/>
  <c r="Z42" i="5"/>
  <c r="L42" i="5"/>
  <c r="AW41" i="5"/>
  <c r="AI41" i="5"/>
  <c r="U41" i="5"/>
  <c r="G41" i="5"/>
  <c r="AU39" i="5"/>
  <c r="AG39" i="5"/>
  <c r="S39" i="5"/>
  <c r="BE38" i="5"/>
  <c r="AQ38" i="5"/>
  <c r="AC38" i="5"/>
  <c r="O38" i="5"/>
  <c r="BA42" i="5"/>
  <c r="AM42" i="5"/>
  <c r="Y42" i="5"/>
  <c r="K42" i="5"/>
  <c r="AV41" i="5"/>
  <c r="AH41" i="5"/>
  <c r="AT39" i="5"/>
  <c r="BD38" i="5"/>
  <c r="X42" i="5"/>
  <c r="AG41" i="5"/>
  <c r="AS39" i="5"/>
  <c r="AO38" i="5"/>
  <c r="W42" i="5"/>
  <c r="AF41" i="5"/>
  <c r="AD39" i="5"/>
  <c r="Z38" i="5"/>
  <c r="AX42" i="5"/>
  <c r="H42" i="5"/>
  <c r="Q41" i="5"/>
  <c r="AC39" i="5"/>
  <c r="AM38" i="5"/>
  <c r="BD41" i="5"/>
  <c r="L39" i="5"/>
  <c r="AW42" i="5"/>
  <c r="AI42" i="5"/>
  <c r="U42" i="5"/>
  <c r="G42" i="5"/>
  <c r="AR41" i="5"/>
  <c r="AD41" i="5"/>
  <c r="P41" i="5"/>
  <c r="BD39" i="5"/>
  <c r="AP39" i="5"/>
  <c r="AB39" i="5"/>
  <c r="N39" i="5"/>
  <c r="AZ38" i="5"/>
  <c r="AL38" i="5"/>
  <c r="X38" i="5"/>
  <c r="J38" i="5"/>
  <c r="AV42" i="5"/>
  <c r="AH42" i="5"/>
  <c r="T42" i="5"/>
  <c r="BE41" i="5"/>
  <c r="AQ41" i="5"/>
  <c r="AC41" i="5"/>
  <c r="O41" i="5"/>
  <c r="BC39" i="5"/>
  <c r="AO39" i="5"/>
  <c r="AA39" i="5"/>
  <c r="M39" i="5"/>
  <c r="AY38" i="5"/>
  <c r="AK38" i="5"/>
  <c r="W38" i="5"/>
  <c r="I38" i="5"/>
  <c r="AU42" i="5"/>
  <c r="AG42" i="5"/>
  <c r="AP41" i="5"/>
  <c r="N41" i="5"/>
  <c r="Z39" i="5"/>
  <c r="V38"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LH3" i="40" s="1"/>
  <c r="J31" i="5"/>
  <c r="LG3" i="40" s="1"/>
  <c r="I31" i="5"/>
  <c r="LF3" i="40" s="1"/>
  <c r="H31" i="5"/>
  <c r="LE3" i="40" s="1"/>
  <c r="G31" i="5"/>
  <c r="LD3" i="40" s="1"/>
  <c r="F31" i="5"/>
  <c r="LC3" i="40" s="1"/>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FJ3" i="40" s="1"/>
  <c r="L27" i="5"/>
  <c r="FI3" i="40" s="1"/>
  <c r="K27" i="5"/>
  <c r="FH3" i="40" s="1"/>
  <c r="J27" i="5"/>
  <c r="FG3" i="40" s="1"/>
  <c r="I27" i="5"/>
  <c r="FF3" i="40" s="1"/>
  <c r="H27" i="5"/>
  <c r="FE3" i="40" s="1"/>
  <c r="G27" i="5"/>
  <c r="FD3" i="40" s="1"/>
  <c r="F27" i="5"/>
  <c r="FC3" i="40" s="1"/>
  <c r="G24" i="5"/>
  <c r="AR45" i="5" l="1"/>
  <c r="AR48" i="5" s="1"/>
  <c r="H44" i="5"/>
  <c r="J44" i="5"/>
  <c r="AV45" i="5"/>
  <c r="AV48" i="5" s="1"/>
  <c r="Z3" i="40"/>
  <c r="H5" i="9"/>
  <c r="AL44" i="5"/>
  <c r="BC45" i="5"/>
  <c r="BC48" i="5" s="1"/>
  <c r="AV4" i="5"/>
  <c r="S45" i="5"/>
  <c r="S48" i="5" s="1"/>
  <c r="BB17" i="5"/>
  <c r="X44" i="5"/>
  <c r="Y44" i="5"/>
  <c r="AA44" i="5"/>
  <c r="R45" i="5"/>
  <c r="R48" i="5" s="1"/>
  <c r="X45" i="5"/>
  <c r="X48" i="5" s="1"/>
  <c r="AP45" i="5"/>
  <c r="AP48" i="5" s="1"/>
  <c r="L44" i="5"/>
  <c r="BD45" i="5"/>
  <c r="BD48" i="5" s="1"/>
  <c r="AF45" i="5"/>
  <c r="AF48" i="5" s="1"/>
  <c r="Z44" i="5"/>
  <c r="AI44" i="5"/>
  <c r="V44" i="5"/>
  <c r="AN44" i="5"/>
  <c r="O45" i="5"/>
  <c r="O48" i="5" s="1"/>
  <c r="AF44" i="5"/>
  <c r="U45" i="5"/>
  <c r="U48" i="5" s="1"/>
  <c r="AT44" i="5"/>
  <c r="BC44" i="5"/>
  <c r="Q44" i="5"/>
  <c r="S44" i="5"/>
  <c r="AJ44" i="5"/>
  <c r="AG44" i="5"/>
  <c r="AH44" i="5"/>
  <c r="AW45" i="5"/>
  <c r="AW48" i="5" s="1"/>
  <c r="AO44" i="5"/>
  <c r="V45" i="5"/>
  <c r="V48" i="5" s="1"/>
  <c r="AV44" i="5"/>
  <c r="AJ45" i="5"/>
  <c r="AJ48" i="5" s="1"/>
  <c r="J45" i="5"/>
  <c r="J48" i="5" s="1"/>
  <c r="K44" i="5"/>
  <c r="AM45" i="5"/>
  <c r="AM48" i="5" s="1"/>
  <c r="Z45" i="5"/>
  <c r="Z48" i="5" s="1"/>
  <c r="AD45" i="5"/>
  <c r="AD48" i="5" s="1"/>
  <c r="Y45" i="5"/>
  <c r="Y48" i="5" s="1"/>
  <c r="O44" i="5"/>
  <c r="T44" i="5"/>
  <c r="H45" i="5"/>
  <c r="H48" i="5" s="1"/>
  <c r="Q45" i="5"/>
  <c r="Q48" i="5" s="1"/>
  <c r="AE45" i="5"/>
  <c r="AE48" i="5" s="1"/>
  <c r="AZ44" i="5"/>
  <c r="AM44" i="5"/>
  <c r="AT45" i="5"/>
  <c r="AT48" i="5" s="1"/>
  <c r="G44" i="5"/>
  <c r="G47" i="5" s="1"/>
  <c r="AE44" i="5"/>
  <c r="AC44" i="5"/>
  <c r="AX44" i="5"/>
  <c r="AP44" i="5"/>
  <c r="AW44" i="5"/>
  <c r="P45" i="5"/>
  <c r="P48" i="5" s="1"/>
  <c r="R44" i="5"/>
  <c r="M44" i="5"/>
  <c r="K45" i="5"/>
  <c r="K48" i="5" s="1"/>
  <c r="G45" i="5"/>
  <c r="G48" i="5" s="1"/>
  <c r="AS45" i="5"/>
  <c r="AS48" i="5" s="1"/>
  <c r="BB45" i="5"/>
  <c r="BB48" i="5" s="1"/>
  <c r="I45" i="5"/>
  <c r="I48" i="5" s="1"/>
  <c r="W44" i="5"/>
  <c r="W45" i="5"/>
  <c r="W48" i="5" s="1"/>
  <c r="L45" i="5"/>
  <c r="L48" i="5" s="1"/>
  <c r="AK45" i="5"/>
  <c r="AK48" i="5" s="1"/>
  <c r="AL45" i="5"/>
  <c r="AL48" i="5" s="1"/>
  <c r="AY44" i="5"/>
  <c r="BD44" i="5"/>
  <c r="AU45" i="5"/>
  <c r="AU48" i="5" s="1"/>
  <c r="AY45" i="5"/>
  <c r="AY48" i="5" s="1"/>
  <c r="AZ45" i="5"/>
  <c r="AZ48" i="5" s="1"/>
  <c r="P44" i="5"/>
  <c r="AD44" i="5"/>
  <c r="AN45" i="5"/>
  <c r="AN48" i="5" s="1"/>
  <c r="AQ44" i="5"/>
  <c r="I44" i="5"/>
  <c r="M45" i="5"/>
  <c r="M48" i="5" s="1"/>
  <c r="BE45" i="5"/>
  <c r="BE48" i="5" s="1"/>
  <c r="F45" i="5"/>
  <c r="F48" i="5" s="1"/>
  <c r="AR44" i="5"/>
  <c r="AU44" i="5"/>
  <c r="AB44" i="5"/>
  <c r="AX45" i="5"/>
  <c r="AX48" i="5" s="1"/>
  <c r="BA44" i="5"/>
  <c r="AK44" i="5"/>
  <c r="AQ45" i="5"/>
  <c r="AQ48" i="5" s="1"/>
  <c r="H24" i="5"/>
  <c r="AA45" i="5"/>
  <c r="AA48" i="5" s="1"/>
  <c r="N45" i="5"/>
  <c r="N48" i="5" s="1"/>
  <c r="AC45" i="5"/>
  <c r="AC48" i="5" s="1"/>
  <c r="AS44" i="5"/>
  <c r="BB44" i="5"/>
  <c r="AH45" i="5"/>
  <c r="AH48" i="5" s="1"/>
  <c r="T45" i="5"/>
  <c r="T48" i="5" s="1"/>
  <c r="BA45" i="5"/>
  <c r="BA48" i="5" s="1"/>
  <c r="BE44" i="5"/>
  <c r="AG45" i="5"/>
  <c r="AG48" i="5" s="1"/>
  <c r="AO45" i="5"/>
  <c r="AO48" i="5" s="1"/>
  <c r="AB45" i="5"/>
  <c r="AB48" i="5" s="1"/>
  <c r="N44" i="5"/>
  <c r="AI45" i="5"/>
  <c r="AI48" i="5" s="1"/>
  <c r="F44" i="5"/>
  <c r="F47" i="5" s="1"/>
  <c r="U44" i="5"/>
  <c r="BC4" i="5"/>
  <c r="AO5" i="5" s="1"/>
  <c r="AB3" i="40" l="1"/>
  <c r="AA3" i="40"/>
  <c r="G5" i="9"/>
  <c r="P5" i="9"/>
  <c r="AV5" i="5"/>
  <c r="BB18" i="5"/>
  <c r="E48" i="5"/>
  <c r="I24" i="5"/>
  <c r="H47" i="5"/>
  <c r="AC3" i="40" l="1"/>
  <c r="N5" i="9"/>
  <c r="R6" i="9"/>
  <c r="R16" i="9" s="1"/>
  <c r="AV6" i="5"/>
  <c r="Q5" i="9"/>
  <c r="R5" i="9" s="1"/>
  <c r="BB19" i="5"/>
  <c r="AQ5" i="5"/>
  <c r="J24" i="5"/>
  <c r="I47" i="5"/>
  <c r="AO3" i="5"/>
  <c r="AD3" i="40" l="1"/>
  <c r="BB21" i="5"/>
  <c r="BB20" i="5"/>
  <c r="K24" i="5"/>
  <c r="J47" i="5"/>
  <c r="L24" i="5" l="1"/>
  <c r="K47" i="5"/>
  <c r="M24" i="5" l="1"/>
  <c r="L47" i="5"/>
  <c r="N24" i="5" l="1"/>
  <c r="M47" i="5"/>
  <c r="O24" i="5" l="1"/>
  <c r="N47" i="5"/>
  <c r="P24" i="5" l="1"/>
  <c r="O47" i="5"/>
  <c r="Q24" i="5" l="1"/>
  <c r="P47" i="5"/>
  <c r="R24" i="5" l="1"/>
  <c r="Q47" i="5"/>
  <c r="S24" i="5" l="1"/>
  <c r="R47" i="5"/>
  <c r="T24" i="5" l="1"/>
  <c r="S47" i="5"/>
  <c r="U24" i="5" l="1"/>
  <c r="T47" i="5"/>
  <c r="V24" i="5" l="1"/>
  <c r="U47" i="5"/>
  <c r="W24" i="5" l="1"/>
  <c r="V47" i="5"/>
  <c r="X24" i="5" l="1"/>
  <c r="W47" i="5"/>
  <c r="Y24" i="5" l="1"/>
  <c r="X47" i="5"/>
  <c r="Z24" i="5" l="1"/>
  <c r="Y47" i="5"/>
  <c r="AA24" i="5" l="1"/>
  <c r="Z47" i="5"/>
  <c r="AB24" i="5" l="1"/>
  <c r="AA47" i="5"/>
  <c r="AC24" i="5" l="1"/>
  <c r="AB47" i="5"/>
  <c r="AD24" i="5" l="1"/>
  <c r="AC47" i="5"/>
  <c r="AE24" i="5" l="1"/>
  <c r="AD47" i="5"/>
  <c r="AF24" i="5" l="1"/>
  <c r="AE47" i="5"/>
  <c r="AG24" i="5" l="1"/>
  <c r="AF47" i="5"/>
  <c r="AH24" i="5" l="1"/>
  <c r="AG47" i="5"/>
  <c r="AI24" i="5" l="1"/>
  <c r="AH47" i="5"/>
  <c r="AJ24" i="5" l="1"/>
  <c r="AI47" i="5"/>
  <c r="AK24" i="5" l="1"/>
  <c r="AJ47" i="5"/>
  <c r="AL24" i="5" l="1"/>
  <c r="AK47" i="5"/>
  <c r="AM24" i="5" l="1"/>
  <c r="AL47" i="5"/>
  <c r="AN24" i="5" l="1"/>
  <c r="AM47" i="5"/>
  <c r="AO24" i="5" l="1"/>
  <c r="AN47" i="5"/>
  <c r="AP24" i="5" l="1"/>
  <c r="AO47" i="5"/>
  <c r="AQ24" i="5" l="1"/>
  <c r="AP47" i="5"/>
  <c r="AR24" i="5" l="1"/>
  <c r="AQ47" i="5"/>
  <c r="AS24" i="5" l="1"/>
  <c r="AR47" i="5"/>
  <c r="AT24" i="5" l="1"/>
  <c r="AS47" i="5"/>
  <c r="AU24" i="5" l="1"/>
  <c r="AT47" i="5"/>
  <c r="AV24" i="5" l="1"/>
  <c r="AU47" i="5"/>
  <c r="AW24" i="5" l="1"/>
  <c r="AV47" i="5"/>
  <c r="AX24" i="5" l="1"/>
  <c r="AW47" i="5"/>
  <c r="AY24" i="5" l="1"/>
  <c r="AX47" i="5"/>
  <c r="AZ24" i="5" l="1"/>
  <c r="AY47" i="5"/>
  <c r="BA24" i="5" l="1"/>
  <c r="AZ47" i="5"/>
  <c r="BB24" i="5" l="1"/>
  <c r="BA47" i="5"/>
  <c r="BC24" i="5" l="1"/>
  <c r="BB47" i="5"/>
  <c r="BD24" i="5" l="1"/>
  <c r="BC47" i="5"/>
  <c r="BE24" i="5" l="1"/>
  <c r="BE47" i="5" s="1"/>
  <c r="BD47" i="5"/>
  <c r="E4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tc={EC24E358-F933-4658-8527-A0B4966D9683}</author>
    <author>tc={549322D4-AB2B-4007-87CB-826516F16620}</author>
  </authors>
  <commentList>
    <comment ref="A1" authorId="0" shapeId="0" xr:uid="{EC24E358-F933-4658-8527-A0B4966D9683}">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xr:uid="{549322D4-AB2B-4007-87CB-826516F1662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sharedStrings.xml><?xml version="1.0" encoding="utf-8"?>
<sst xmlns="http://schemas.openxmlformats.org/spreadsheetml/2006/main" count="1675" uniqueCount="646">
  <si>
    <t>Business Problem Solved</t>
  </si>
  <si>
    <t>Idea</t>
  </si>
  <si>
    <t>Live</t>
  </si>
  <si>
    <t>Dev</t>
  </si>
  <si>
    <t>AI Maturity Ratings</t>
  </si>
  <si>
    <t>Score</t>
  </si>
  <si>
    <t>Description</t>
  </si>
  <si>
    <t>1 - Nascent</t>
  </si>
  <si>
    <t>Initial discussions and explorations. AI is not yet formally integrated into workflows.</t>
  </si>
  <si>
    <t>2 - Exploring</t>
  </si>
  <si>
    <t>Pilot projects are underway. The BU is actively seeking out and testing AI use cases.</t>
  </si>
  <si>
    <t>3 - Integrating</t>
  </si>
  <si>
    <t>Successful pilots are being scaled and integrated into business processes. AI is becoming a part of the operational toolkit.</t>
  </si>
  <si>
    <t>4 - Optimizing</t>
  </si>
  <si>
    <t>AI is live in production. The focus is on maximizing ROI and efficiency gains.</t>
  </si>
  <si>
    <t>5 - Transforming</t>
  </si>
  <si>
    <t>AI is a core component of the BU's strategy and a key driver of innovation and competitive advantage.</t>
  </si>
  <si>
    <t>Data Readiness Ratings</t>
  </si>
  <si>
    <t>1- Beginner</t>
  </si>
  <si>
    <t>Data unavailable or very siloed</t>
  </si>
  <si>
    <t>2- Basic</t>
  </si>
  <si>
    <t>Partial access to some data</t>
  </si>
  <si>
    <t>3 - Developing</t>
  </si>
  <si>
    <t>Basic access to usable data; APIs are captured in OpenAPI standard with clear, useful natural language descriptions</t>
  </si>
  <si>
    <t>4 - Strong</t>
  </si>
  <si>
    <t>Unified, usable data with some automation</t>
  </si>
  <si>
    <t>5- Advanced</t>
  </si>
  <si>
    <t>AI-ready data pipelines, labeled, well-governed</t>
  </si>
  <si>
    <t>Technical Infrasructure Rating</t>
  </si>
  <si>
    <t>No tools or infrastructure in place</t>
  </si>
  <si>
    <t>2-Basic</t>
  </si>
  <si>
    <t>Basic cloud or tooling used manually</t>
  </si>
  <si>
    <t>Some AI tools or platforms adopted</t>
  </si>
  <si>
    <t>MLOps or pipelines partially automated</t>
  </si>
  <si>
    <t>Scalable, production-grade AI infrastructure and tools</t>
  </si>
  <si>
    <t>KPI Category</t>
  </si>
  <si>
    <t>KPI Name</t>
  </si>
  <si>
    <t>Definition/Explanation</t>
  </si>
  <si>
    <t>Example Metric/Calculation</t>
  </si>
  <si>
    <t>Relevance</t>
  </si>
  <si>
    <t>Business Impact</t>
  </si>
  <si>
    <t>Revenue Growth from AI-enhanced products</t>
  </si>
  <si>
    <t>Isolates the impact of AI-enabled strategies on revenue.</t>
  </si>
  <si>
    <t>% increase in revenue from AI-powered features</t>
  </si>
  <si>
    <t>Long-term, Strategic</t>
  </si>
  <si>
    <t>Cost Savings</t>
  </si>
  <si>
    <t>Quantifies financial benefits from AI-driven reductions in labor, resources, and time.</t>
  </si>
  <si>
    <t>"45 hours per week returned to team" 5, $X reduction in operational costs</t>
  </si>
  <si>
    <t>Short-term, Operational, Financial</t>
  </si>
  <si>
    <t>Customer Satisfaction Scores (CSAT, NPS)</t>
  </si>
  <si>
    <t>Measures AI's positive impact on user needs and product offerings.</t>
  </si>
  <si>
    <t>Comparison of before/after CSAT/NPS scores</t>
  </si>
  <si>
    <t>Short-term, Long-term, Customer Experience</t>
  </si>
  <si>
    <t>Time Savings / Resolution Time Reduction</t>
  </si>
  <si>
    <t>Time needed to complete tasks or resolve issues after AI implementation vs. before.</t>
  </si>
  <si>
    <t>"Customer issues resolved 40% faster month-over-month" 5</t>
  </si>
  <si>
    <t>Short-term, Operational</t>
  </si>
  <si>
    <t>Market Share Expansion / New Market Entry</t>
  </si>
  <si>
    <t>Measures AI's facilitation of market growth or entry into new segments.</t>
  </si>
  <si>
    <t>Market penetration rates in new segments (%) 5</t>
  </si>
  <si>
    <t>Conversion Rates from AI-powered features</t>
  </si>
  <si>
    <t>Percentage of users completing a desired action via AI features.</t>
  </si>
  <si>
    <t>% increase in conversion rates</t>
  </si>
  <si>
    <t>Short-term, Strategic</t>
  </si>
  <si>
    <t>Operational Efficiency</t>
  </si>
  <si>
    <t>Process Cycle Time Reduction</t>
  </si>
  <si>
    <t>Measures improvement in process performance and cycle times due to AI.</t>
  </si>
  <si>
    <t>% reduction in cycle time for key processes</t>
  </si>
  <si>
    <t>Automation Rate</t>
  </si>
  <si>
    <t>Degree to which manual tasks are automated using AI-powered systems.</t>
  </si>
  <si>
    <t>"200 customer inquiries handled by AI per day" 5</t>
  </si>
  <si>
    <t>Throughput</t>
  </si>
  <si>
    <t>Number of requests or tasks an AI system processes within a given timeframe.</t>
  </si>
  <si>
    <t>X requests per minute/hour</t>
  </si>
  <si>
    <t>Error Rate Reduction</t>
  </si>
  <si>
    <t>Percentage decrease in incorrect or invalid model outputs.</t>
  </si>
  <si>
    <t>% reduction in errors (e.g., defect detection rate) 3</t>
  </si>
  <si>
    <t>Short-term, Operational, Quality</t>
  </si>
  <si>
    <t>Improvement in Decision-Making Speed</t>
  </si>
  <si>
    <t>How quickly a team can make decisions with AI assistance.</t>
  </si>
  <si>
    <t>% faster decision speed</t>
  </si>
  <si>
    <t>Talent &amp; Culture Readiness</t>
  </si>
  <si>
    <t>Employee AI Tool Adoption Rate</t>
  </si>
  <si>
    <t>Percentage of eligible employees actively using AI tools.</t>
  </si>
  <si>
    <t>"75% of eligible employees actively using AI tools weekly" 5</t>
  </si>
  <si>
    <t>Short-term, Cultural, Operational</t>
  </si>
  <si>
    <t>AI Literacy Initiatives Completion Rate</t>
  </si>
  <si>
    <t>Percentage of workforce completing AI training programs.</t>
  </si>
  <si>
    <t>% of workforce trained in AI fundamentals</t>
  </si>
  <si>
    <t>Long-term, Cultural</t>
  </si>
  <si>
    <t>Employee Productivity Gains</t>
  </si>
  <si>
    <t>Output per employee before and after AI implementation.</t>
  </si>
  <si>
    <t>% increase in output per employee</t>
  </si>
  <si>
    <t>Short-term, Operational, Human Impact</t>
  </si>
  <si>
    <t>Data Readiness &amp; Governance</t>
  </si>
  <si>
    <t>Data Quality Score (Valid-data ratio)</t>
  </si>
  <si>
    <t>Percentage of data points meeting defined quality criteria.</t>
  </si>
  <si>
    <t>% of data points meeting quality standards</t>
  </si>
  <si>
    <t>Foundational, Ongoing</t>
  </si>
  <si>
    <t>Data Accessibility (Time to Data Access)</t>
  </si>
  <si>
    <t>Duration required to locate and access needed information.</t>
  </si>
  <si>
    <t>Hours/minutes to access specific datasets</t>
  </si>
  <si>
    <t>Foundational, Operational</t>
  </si>
  <si>
    <t>Regulatory Compliance Rate (Data Privacy)</t>
  </si>
  <si>
    <t>Percentage of AI processes/outputs adhering to legal/ethical data standards.</t>
  </si>
  <si>
    <t>% adherence to GDPR, CCPA, AI Act</t>
  </si>
  <si>
    <t>Foundational, Risk, Governance</t>
  </si>
  <si>
    <t>Metadata Management Maturity</t>
  </si>
  <si>
    <t>Effectiveness of practices for data discovery, understanding, and utilization.</t>
  </si>
  <si>
    <t>Score on a 1-5 scale for metadata completeness/accuracy</t>
  </si>
  <si>
    <t>Foundational, Governance</t>
  </si>
  <si>
    <t>Innovation &amp; Scalability</t>
  </si>
  <si>
    <t>New AI-enabled Products/Features</t>
  </si>
  <si>
    <t>Count of new products or features directly attributed to AI.</t>
  </si>
  <si>
    <t>Number of new AI-driven features launched</t>
  </si>
  <si>
    <t>Long-term, Strategic, Innovation</t>
  </si>
  <si>
    <t>Time-to-Market Reduction</t>
  </si>
  <si>
    <t>Acceleration of product development cycles with AI.</t>
  </si>
  <si>
    <t>% reduction in time-to-market for new offerings</t>
  </si>
  <si>
    <t>Performance under Increased Load</t>
  </si>
  <si>
    <t>AI solution's performance (e.g., response time) under higher usage volumes.</t>
  </si>
  <si>
    <t>Response time at 2x, 5x, 10x normal usage 5</t>
  </si>
  <si>
    <t>Long-term, Operational, Scalability</t>
  </si>
  <si>
    <t>Successful Adaptation to New Use Cases</t>
  </si>
  <si>
    <t>Percentage of attempted AI adaptations to new use cases that succeed.</t>
  </si>
  <si>
    <t>% of successful new use case adaptations 5</t>
  </si>
  <si>
    <t>Long-term, Strategic, Scalability</t>
  </si>
  <si>
    <t>Risk &amp; Governance</t>
  </si>
  <si>
    <t>Ethical Standards Adherence</t>
  </si>
  <si>
    <t>Measures AI model's fairness, transparency, accountability, and responsible use.</t>
  </si>
  <si>
    <t>Score based on ethical guideline compliance (e.g., bias detection, demographic parity) 3</t>
  </si>
  <si>
    <t>Ongoing, Risk, Governance</t>
  </si>
  <si>
    <t>Audit Frequency and Results</t>
  </si>
  <si>
    <t>How often AI audits are conducted and thoroughness of system examinations.</t>
  </si>
  <si>
    <t>Number of audits per quarter, audit findings resolution rate</t>
  </si>
  <si>
    <t>Hallucination Detection Rate</t>
  </si>
  <si>
    <t>For generative AI, measures the frequency of AI creating incorrect information.</t>
  </si>
  <si>
    <t>% of detected hallucinations 19</t>
  </si>
  <si>
    <t>Ongoing, Risk, Quality</t>
  </si>
  <si>
    <t>Consistency Scores</t>
  </si>
  <si>
    <t>Measures consistent responses to similar inputs for AI models.</t>
  </si>
  <si>
    <t>Statistical variance in responses to varied queries 19</t>
  </si>
  <si>
    <t>Ongoing, Quality, Reliability</t>
  </si>
  <si>
    <t>KPI Metric</t>
  </si>
  <si>
    <t>Pilot</t>
  </si>
  <si>
    <t>Status</t>
  </si>
  <si>
    <t>Strategic Value Level</t>
  </si>
  <si>
    <t>Internal Process</t>
  </si>
  <si>
    <t>Customer Feature - New</t>
  </si>
  <si>
    <t>Customer Feature - Existing</t>
  </si>
  <si>
    <t>Strategic Value</t>
  </si>
  <si>
    <t>Value</t>
  </si>
  <si>
    <t>Status Progress</t>
  </si>
  <si>
    <t>Weight</t>
  </si>
  <si>
    <t>Total Score</t>
  </si>
  <si>
    <t>Status Weight</t>
  </si>
  <si>
    <t>Simple Tool</t>
  </si>
  <si>
    <t>Complex Tool</t>
  </si>
  <si>
    <t>Description (Use Case)</t>
  </si>
  <si>
    <t>Examples</t>
  </si>
  <si>
    <t>Definition</t>
  </si>
  <si>
    <t xml:space="preserve">ChatGPT for content, Co-Pilot for drafting emails, AI meeting sunnaries </t>
  </si>
  <si>
    <t>Assessment Criteria 2</t>
  </si>
  <si>
    <t>Assessment Criteria 3</t>
  </si>
  <si>
    <t>Assessment Criteria 4</t>
  </si>
  <si>
    <t>Adoption Rate</t>
  </si>
  <si>
    <t>Productivity Gains</t>
  </si>
  <si>
    <t>AI-powered code review, automated testing, advanced development environments</t>
  </si>
  <si>
    <t>Integration Depth</t>
  </si>
  <si>
    <t>Process Improvement</t>
  </si>
  <si>
    <t>Skills Development</t>
  </si>
  <si>
    <t>Automated customer support triage, intelligent lead scoring, predictive maintenance, churn analysis, scheduling</t>
  </si>
  <si>
    <t>Employee Satisfaction</t>
  </si>
  <si>
    <t>Smart data analysis in existing dashboards, intelligent recommendations, automated report generation</t>
  </si>
  <si>
    <t>Customer Adoption</t>
  </si>
  <si>
    <t>Usage Metrics</t>
  </si>
  <si>
    <t>Revenue Impact</t>
  </si>
  <si>
    <t>Predictive analytics modules, AI-powered workflow automation, intelligent decision support systems</t>
  </si>
  <si>
    <t>Market Differentiation</t>
  </si>
  <si>
    <t>Competitive Advantage</t>
  </si>
  <si>
    <t>Definition2</t>
  </si>
  <si>
    <t>L1. Using external AI tools for basic internal productivity</t>
  </si>
  <si>
    <t>L3.  AI-powered internal business process inprovements</t>
  </si>
  <si>
    <t>PROJECT</t>
  </si>
  <si>
    <t>L4.  Using AI to ehance existing customer-facing products</t>
  </si>
  <si>
    <t>Category</t>
  </si>
  <si>
    <t>L5.  Entirely new product capabilities powered by AI</t>
  </si>
  <si>
    <t>Project Defined</t>
  </si>
  <si>
    <t>Business Case approved</t>
  </si>
  <si>
    <t>Resources Allocated</t>
  </si>
  <si>
    <t>Stage</t>
  </si>
  <si>
    <t>Tasks</t>
  </si>
  <si>
    <t>Develop</t>
  </si>
  <si>
    <t>Technical PoC validated</t>
  </si>
  <si>
    <t>Dev roadmap documented</t>
  </si>
  <si>
    <t>Coding started</t>
  </si>
  <si>
    <t>Deployment to beta</t>
  </si>
  <si>
    <t>Initial metrics/feedback</t>
  </si>
  <si>
    <t>Feedback affecting code</t>
  </si>
  <si>
    <t>General release available</t>
  </si>
  <si>
    <t>Success mertics tracking</t>
  </si>
  <si>
    <t>PROJECT SCORE</t>
  </si>
  <si>
    <t>Multiplier</t>
  </si>
  <si>
    <t>Feedback loop continuing</t>
  </si>
  <si>
    <t>2025-Q3</t>
  </si>
  <si>
    <t>2025-Q4</t>
  </si>
  <si>
    <t>2026-Q1</t>
  </si>
  <si>
    <t>2026-Q2</t>
  </si>
  <si>
    <t>2026-Q3</t>
  </si>
  <si>
    <t>2026-Q4</t>
  </si>
  <si>
    <t>Month</t>
  </si>
  <si>
    <t>Qtr</t>
  </si>
  <si>
    <t>2025-7</t>
  </si>
  <si>
    <t>2025-8</t>
  </si>
  <si>
    <t>2025-9</t>
  </si>
  <si>
    <t>2025-10</t>
  </si>
  <si>
    <t>2025-11</t>
  </si>
  <si>
    <t>2025-12</t>
  </si>
  <si>
    <t>2026-1</t>
  </si>
  <si>
    <t>2026-2</t>
  </si>
  <si>
    <t>2026-3</t>
  </si>
  <si>
    <t>2026-4</t>
  </si>
  <si>
    <t>2026-5</t>
  </si>
  <si>
    <t>2026-6</t>
  </si>
  <si>
    <t>2026-7</t>
  </si>
  <si>
    <t>2026-8</t>
  </si>
  <si>
    <t>2026-9</t>
  </si>
  <si>
    <t>2026-10</t>
  </si>
  <si>
    <t>2026-11</t>
  </si>
  <si>
    <t>2026-12</t>
  </si>
  <si>
    <t>Days to Target</t>
  </si>
  <si>
    <t>Completed</t>
  </si>
  <si>
    <t>KPI Categories</t>
  </si>
  <si>
    <t>#</t>
  </si>
  <si>
    <t>Initiative</t>
  </si>
  <si>
    <t>Previous Quarter</t>
  </si>
  <si>
    <t>Last Qtr Status</t>
  </si>
  <si>
    <t>Financial Actual</t>
  </si>
  <si>
    <t>Strategic Value Pts</t>
  </si>
  <si>
    <t>Progress Value</t>
  </si>
  <si>
    <t>Financial Target</t>
  </si>
  <si>
    <t>Actual</t>
  </si>
  <si>
    <t>Week Ending</t>
  </si>
  <si>
    <t>Target</t>
  </si>
  <si>
    <t>WEEKLY KPI TRACKER</t>
  </si>
  <si>
    <t>Delta</t>
  </si>
  <si>
    <t>L2.  Sophisticated AI tooling for developnent/operations but generally limited to a single departnent or workflow</t>
  </si>
  <si>
    <t>Not Defined</t>
  </si>
  <si>
    <t>Current Qtr</t>
  </si>
  <si>
    <t>Stage Multiplier (today)</t>
  </si>
  <si>
    <t>Start</t>
  </si>
  <si>
    <t>End</t>
  </si>
  <si>
    <t>Not Def</t>
  </si>
  <si>
    <t>Stage Last Quarter</t>
  </si>
  <si>
    <t>Exec</t>
  </si>
  <si>
    <t>Prod Mgr</t>
  </si>
  <si>
    <t>Tech Lead</t>
  </si>
  <si>
    <t>Analyst</t>
  </si>
  <si>
    <t>KEY PERFORMANCE INDICATORS / MEASURES OF SUCCESS</t>
  </si>
  <si>
    <t>KPI</t>
  </si>
  <si>
    <t>Select the primary KPI (Jonas Library)</t>
  </si>
  <si>
    <t>How does this Project support this KPI?</t>
  </si>
  <si>
    <t>AI Tools &amp; Services</t>
  </si>
  <si>
    <t>PROJECT RESOURCES</t>
  </si>
  <si>
    <t>Chase Winston</t>
  </si>
  <si>
    <t>Revenue Target</t>
  </si>
  <si>
    <t>Revenue Actual</t>
  </si>
  <si>
    <t>Cost Target</t>
  </si>
  <si>
    <t>Cost Actual</t>
  </si>
  <si>
    <t>Current Financial Target</t>
  </si>
  <si>
    <t>Current Financial Actual</t>
  </si>
  <si>
    <t>To Date</t>
  </si>
  <si>
    <t>Contact</t>
  </si>
  <si>
    <t>Portfolio</t>
  </si>
  <si>
    <t>Company</t>
  </si>
  <si>
    <t>Ratio Impacted</t>
  </si>
  <si>
    <t>R&amp;D</t>
  </si>
  <si>
    <t>Maintenance</t>
  </si>
  <si>
    <t>S&amp;M</t>
  </si>
  <si>
    <t>PS</t>
  </si>
  <si>
    <t>G&amp;A</t>
  </si>
  <si>
    <t>M&amp;A</t>
  </si>
  <si>
    <t>KPI LISt</t>
  </si>
  <si>
    <t>How will you measure the KPI?</t>
  </si>
  <si>
    <t>Jamie Collingwood</t>
  </si>
  <si>
    <t>Sandy Crutcher</t>
  </si>
  <si>
    <t>Jim Peltier</t>
  </si>
  <si>
    <t>Sample</t>
  </si>
  <si>
    <t>Project</t>
  </si>
  <si>
    <t>KPI1</t>
  </si>
  <si>
    <t>KPI1-Jonas</t>
  </si>
  <si>
    <t>KPI 1-Notes</t>
  </si>
  <si>
    <t>KPI1- Measure</t>
  </si>
  <si>
    <t>KPI2</t>
  </si>
  <si>
    <t>KPI2-Jonas</t>
  </si>
  <si>
    <t>KPI2- Measure</t>
  </si>
  <si>
    <t>KPI3</t>
  </si>
  <si>
    <t>KPI3-Jonas</t>
  </si>
  <si>
    <t>KPI3- Measure</t>
  </si>
  <si>
    <t>Progression Value</t>
  </si>
  <si>
    <t>Project Defined TGT</t>
  </si>
  <si>
    <t>Business Case approved TGT</t>
  </si>
  <si>
    <t>Resources Allocated TGT</t>
  </si>
  <si>
    <t>Technical PoC validated TGT</t>
  </si>
  <si>
    <t>Dev roadmap documented TGT</t>
  </si>
  <si>
    <t>Coding started TGT</t>
  </si>
  <si>
    <t>Deployment to beta TGT</t>
  </si>
  <si>
    <t>Initial metrics/feedback TGT</t>
  </si>
  <si>
    <t>Feedback affecting code TGT</t>
  </si>
  <si>
    <t>General release available TGT</t>
  </si>
  <si>
    <t>Success mertics tracking TGT</t>
  </si>
  <si>
    <t>Feedback loop continuing TGT</t>
  </si>
  <si>
    <t>Project Defined ACT</t>
  </si>
  <si>
    <t>Business Case approved ACT</t>
  </si>
  <si>
    <t>Resources Allocated ACT</t>
  </si>
  <si>
    <t>Technical PoC validated ACT</t>
  </si>
  <si>
    <t>Dev roadmap documented ACT</t>
  </si>
  <si>
    <t>Coding started ACT</t>
  </si>
  <si>
    <t>Deployment to beta ACT</t>
  </si>
  <si>
    <t>Initial metrics/feedback ACT</t>
  </si>
  <si>
    <t>Feedback affecting code ACT</t>
  </si>
  <si>
    <t>General release available ACT</t>
  </si>
  <si>
    <t>Success mertics tracking ACT</t>
  </si>
  <si>
    <t>Feedback loop continuing ACT</t>
  </si>
  <si>
    <t>KPI1TGT-1</t>
  </si>
  <si>
    <t>KPI1TGT-2</t>
  </si>
  <si>
    <t>KPI1TGT-3</t>
  </si>
  <si>
    <t>KPI1TGT-4</t>
  </si>
  <si>
    <t>KPI1TGT-5</t>
  </si>
  <si>
    <t>KPI1TGT-6</t>
  </si>
  <si>
    <t>KPI1TGT-7</t>
  </si>
  <si>
    <t>KPI1TGT-8</t>
  </si>
  <si>
    <t>KPI1TGT-9</t>
  </si>
  <si>
    <t>KPI1TGT-10</t>
  </si>
  <si>
    <t>KPI1TGT-11</t>
  </si>
  <si>
    <t>KPI1TGT-12</t>
  </si>
  <si>
    <t>KPI1TGT-13</t>
  </si>
  <si>
    <t>KPI1TGT-14</t>
  </si>
  <si>
    <t>KPI1TGT-15</t>
  </si>
  <si>
    <t>KPI1TGT-16</t>
  </si>
  <si>
    <t>KPI1TGT-17</t>
  </si>
  <si>
    <t>KPI1TGT-18</t>
  </si>
  <si>
    <t>KPI1TGT-19</t>
  </si>
  <si>
    <t>KPI1TGT-20</t>
  </si>
  <si>
    <t>KPI1TGT-21</t>
  </si>
  <si>
    <t>KPI1TGT-22</t>
  </si>
  <si>
    <t>KPI1TGT-23</t>
  </si>
  <si>
    <t>KPI1TGT-24</t>
  </si>
  <si>
    <t>KPI1TGT-25</t>
  </si>
  <si>
    <t>KPI1TGT-26</t>
  </si>
  <si>
    <t>KPI1TGT-27</t>
  </si>
  <si>
    <t>KPI1TGT-28</t>
  </si>
  <si>
    <t>KPI1TGT-29</t>
  </si>
  <si>
    <t>KPI1TGT-30</t>
  </si>
  <si>
    <t>KPI1TGT-31</t>
  </si>
  <si>
    <t>KPI1TGT-32</t>
  </si>
  <si>
    <t>KPI1TGT-33</t>
  </si>
  <si>
    <t>KPI1TGT-34</t>
  </si>
  <si>
    <t>KPI1TGT-35</t>
  </si>
  <si>
    <t>KPI1TGT-36</t>
  </si>
  <si>
    <t>KPI1TGT-37</t>
  </si>
  <si>
    <t>KPI1TGT-38</t>
  </si>
  <si>
    <t>KPI1TGT-39</t>
  </si>
  <si>
    <t>KPI1TGT-40</t>
  </si>
  <si>
    <t>KPI1TGT-41</t>
  </si>
  <si>
    <t>KPI1TGT-42</t>
  </si>
  <si>
    <t>KPI1TGT-43</t>
  </si>
  <si>
    <t>KPI1TGT-44</t>
  </si>
  <si>
    <t>KPI1TGT-45</t>
  </si>
  <si>
    <t>KPI1TGT-46</t>
  </si>
  <si>
    <t>KPI1TGT-47</t>
  </si>
  <si>
    <t>KPI1TGT-48</t>
  </si>
  <si>
    <t>KPI1TGT-49</t>
  </si>
  <si>
    <t>KPI1TGT-50</t>
  </si>
  <si>
    <t>KPI1TGT-51</t>
  </si>
  <si>
    <t>KPI1TGT-52</t>
  </si>
  <si>
    <t>KPI1ACT-51</t>
  </si>
  <si>
    <t>KPI1ACT-52</t>
  </si>
  <si>
    <t>KPI1ACT-1</t>
  </si>
  <si>
    <t>KPI1ACT-2</t>
  </si>
  <si>
    <t>KPI1ACT-3</t>
  </si>
  <si>
    <t>KPI1ACT-4</t>
  </si>
  <si>
    <t>KPI1ACT-5</t>
  </si>
  <si>
    <t>KPI1ACT-6</t>
  </si>
  <si>
    <t>KPI1ACT-7</t>
  </si>
  <si>
    <t>KPI1ACT-8</t>
  </si>
  <si>
    <t>KPI1ACT-9</t>
  </si>
  <si>
    <t>KPI1ACT-10</t>
  </si>
  <si>
    <t>KPI1ACT-11</t>
  </si>
  <si>
    <t>KPI1ACT-12</t>
  </si>
  <si>
    <t>KPI1ACT-13</t>
  </si>
  <si>
    <t>KPI1ACT-14</t>
  </si>
  <si>
    <t>KPI1ACT-15</t>
  </si>
  <si>
    <t>KPI1ACT-16</t>
  </si>
  <si>
    <t>KPI1ACT-17</t>
  </si>
  <si>
    <t>KPI1ACT-18</t>
  </si>
  <si>
    <t>KPI1ACT-19</t>
  </si>
  <si>
    <t>KPI1ACT-20</t>
  </si>
  <si>
    <t>KPI1ACT-21</t>
  </si>
  <si>
    <t>KPI1ACT-22</t>
  </si>
  <si>
    <t>KPI1ACT-23</t>
  </si>
  <si>
    <t>KPI1ACT-24</t>
  </si>
  <si>
    <t>KPI1ACT-25</t>
  </si>
  <si>
    <t>KPI1ACT-26</t>
  </si>
  <si>
    <t>KPI1ACT-27</t>
  </si>
  <si>
    <t>KPI1ACT-28</t>
  </si>
  <si>
    <t>KPI1ACT-29</t>
  </si>
  <si>
    <t>KPI1ACT-30</t>
  </si>
  <si>
    <t>KPI1ACT-31</t>
  </si>
  <si>
    <t>KPI1ACT-32</t>
  </si>
  <si>
    <t>KPI1ACT-33</t>
  </si>
  <si>
    <t>KPI1ACT-34</t>
  </si>
  <si>
    <t>KPI1ACT-35</t>
  </si>
  <si>
    <t>KPI1ACT-36</t>
  </si>
  <si>
    <t>KPI1ACT-37</t>
  </si>
  <si>
    <t>KPI1ACT-38</t>
  </si>
  <si>
    <t>KPI1ACT-39</t>
  </si>
  <si>
    <t>KPI1ACT-40</t>
  </si>
  <si>
    <t>KPI1ACT-41</t>
  </si>
  <si>
    <t>KPI1ACT-42</t>
  </si>
  <si>
    <t>KPI1ACT-43</t>
  </si>
  <si>
    <t>KPI1ACT-44</t>
  </si>
  <si>
    <t>KPI1ACT-45</t>
  </si>
  <si>
    <t>KPI1ACT-46</t>
  </si>
  <si>
    <t>KPI1ACT-47</t>
  </si>
  <si>
    <t>KPI1ACT-48</t>
  </si>
  <si>
    <t>KPI1ACT-49</t>
  </si>
  <si>
    <t>KPI1ACT-50</t>
  </si>
  <si>
    <t>KPI1Diff-1</t>
  </si>
  <si>
    <t>KPI1Diff-2</t>
  </si>
  <si>
    <t>KPI1Diff-3</t>
  </si>
  <si>
    <t>KPI1Diff-4</t>
  </si>
  <si>
    <t>KPI1Diff-5</t>
  </si>
  <si>
    <t>KPI1Diff-6</t>
  </si>
  <si>
    <t>KPI1Diff-7</t>
  </si>
  <si>
    <t>KPI1Diff-8</t>
  </si>
  <si>
    <t>KPI1Diff-9</t>
  </si>
  <si>
    <t>KPI1Diff-10</t>
  </si>
  <si>
    <t>KPI1Diff-11</t>
  </si>
  <si>
    <t>KPI1Diff-12</t>
  </si>
  <si>
    <t>KPI1Diff-13</t>
  </si>
  <si>
    <t>KPI1Diff-14</t>
  </si>
  <si>
    <t>KPI1Diff-15</t>
  </si>
  <si>
    <t>KPI1Diff-16</t>
  </si>
  <si>
    <t>KPI1Diff-17</t>
  </si>
  <si>
    <t>KPI1Diff-18</t>
  </si>
  <si>
    <t>KPI1Diff-19</t>
  </si>
  <si>
    <t>KPI1Diff-20</t>
  </si>
  <si>
    <t>KPI1Diff-21</t>
  </si>
  <si>
    <t>KPI1Diff-22</t>
  </si>
  <si>
    <t>KPI1Diff-23</t>
  </si>
  <si>
    <t>KPI1Diff-24</t>
  </si>
  <si>
    <t>KPI1Diff-25</t>
  </si>
  <si>
    <t>KPI1Diff-26</t>
  </si>
  <si>
    <t>KPI1Diff-27</t>
  </si>
  <si>
    <t>KPI1Diff-28</t>
  </si>
  <si>
    <t>KPI1Diff-29</t>
  </si>
  <si>
    <t>KPI1Diff-30</t>
  </si>
  <si>
    <t>KPI1Diff-31</t>
  </si>
  <si>
    <t>KPI1Diff-32</t>
  </si>
  <si>
    <t>KPI1Diff-33</t>
  </si>
  <si>
    <t>KPI1Diff-34</t>
  </si>
  <si>
    <t>KPI1Diff-35</t>
  </si>
  <si>
    <t>KPI1Diff-36</t>
  </si>
  <si>
    <t>KPI1Diff-37</t>
  </si>
  <si>
    <t>KPI1Diff-38</t>
  </si>
  <si>
    <t>KPI1Diff-39</t>
  </si>
  <si>
    <t>KPI1Diff-40</t>
  </si>
  <si>
    <t>KPI1Diff-41</t>
  </si>
  <si>
    <t>KPI1Diff-42</t>
  </si>
  <si>
    <t>KPI1Diff-43</t>
  </si>
  <si>
    <t>KPI1Diff-44</t>
  </si>
  <si>
    <t>KPI1Diff-45</t>
  </si>
  <si>
    <t>KPI1Diff-46</t>
  </si>
  <si>
    <t>KPI1Diff-47</t>
  </si>
  <si>
    <t>KPI1Diff-48</t>
  </si>
  <si>
    <t>KPI1Diff-49</t>
  </si>
  <si>
    <t>KPI1Diff-50</t>
  </si>
  <si>
    <t>KPI1Diff-51</t>
  </si>
  <si>
    <t>KPI1Diff-52</t>
  </si>
  <si>
    <t>KPI2TGT-1</t>
  </si>
  <si>
    <t>KPI2TGT-2</t>
  </si>
  <si>
    <t>KPI2TGT-3</t>
  </si>
  <si>
    <t>KPI2TGT-4</t>
  </si>
  <si>
    <t>KPI2TGT-5</t>
  </si>
  <si>
    <t>KPI2TGT-6</t>
  </si>
  <si>
    <t>KPI2TGT-7</t>
  </si>
  <si>
    <t>KPI2TGT-8</t>
  </si>
  <si>
    <t>KPI2TGT-9</t>
  </si>
  <si>
    <t>KPI2TGT-10</t>
  </si>
  <si>
    <t>KPI2TGT-11</t>
  </si>
  <si>
    <t>KPI2TGT-12</t>
  </si>
  <si>
    <t>KPI2TGT-13</t>
  </si>
  <si>
    <t>KPI2TGT-14</t>
  </si>
  <si>
    <t>KPI2TGT-15</t>
  </si>
  <si>
    <t>KPI2TGT-16</t>
  </si>
  <si>
    <t>KPI2TGT-17</t>
  </si>
  <si>
    <t>KPI2TGT-18</t>
  </si>
  <si>
    <t>KPI2TGT-19</t>
  </si>
  <si>
    <t>KPI2TGT-20</t>
  </si>
  <si>
    <t>KPI2TGT-21</t>
  </si>
  <si>
    <t>KPI2TGT-22</t>
  </si>
  <si>
    <t>KPI2TGT-23</t>
  </si>
  <si>
    <t>KPI2TGT-24</t>
  </si>
  <si>
    <t>KPI2TGT-25</t>
  </si>
  <si>
    <t>KPI2TGT-26</t>
  </si>
  <si>
    <t>KPI2TGT-27</t>
  </si>
  <si>
    <t>KPI2TGT-28</t>
  </si>
  <si>
    <t>KPI2TGT-29</t>
  </si>
  <si>
    <t>KPI2TGT-30</t>
  </si>
  <si>
    <t>KPI2TGT-31</t>
  </si>
  <si>
    <t>KPI2TGT-32</t>
  </si>
  <si>
    <t>KPI2TGT-33</t>
  </si>
  <si>
    <t>KPI2TGT-34</t>
  </si>
  <si>
    <t>KPI2TGT-35</t>
  </si>
  <si>
    <t>KPI2TGT-36</t>
  </si>
  <si>
    <t>KPI2TGT-37</t>
  </si>
  <si>
    <t>KPI2TGT-38</t>
  </si>
  <si>
    <t>KPI2TGT-39</t>
  </si>
  <si>
    <t>KPI2TGT-40</t>
  </si>
  <si>
    <t>KPI2TGT-41</t>
  </si>
  <si>
    <t>KPI2TGT-42</t>
  </si>
  <si>
    <t>KPI2TGT-43</t>
  </si>
  <si>
    <t>KPI2TGT-44</t>
  </si>
  <si>
    <t>KPI2TGT-45</t>
  </si>
  <si>
    <t>KPI2TGT-46</t>
  </si>
  <si>
    <t>KPI2TGT-47</t>
  </si>
  <si>
    <t>KPI2TGT-48</t>
  </si>
  <si>
    <t>KPI2TGT-49</t>
  </si>
  <si>
    <t>KPI2TGT-50</t>
  </si>
  <si>
    <t>KPI2TGT-51</t>
  </si>
  <si>
    <t>KPI2TGT-52</t>
  </si>
  <si>
    <t>KPI2ACT-1</t>
  </si>
  <si>
    <t>KPI2ACT-2</t>
  </si>
  <si>
    <t>KPI2ACT-3</t>
  </si>
  <si>
    <t>KPI2ACT-4</t>
  </si>
  <si>
    <t>KPI2ACT-5</t>
  </si>
  <si>
    <t>KPI2ACT-6</t>
  </si>
  <si>
    <t>KPI2ACT-7</t>
  </si>
  <si>
    <t>KPI2ACT-8</t>
  </si>
  <si>
    <t>KPI2ACT-9</t>
  </si>
  <si>
    <t>KPI2ACT-10</t>
  </si>
  <si>
    <t>KPI2ACT-11</t>
  </si>
  <si>
    <t>KPI2ACT-12</t>
  </si>
  <si>
    <t>KPI2ACT-13</t>
  </si>
  <si>
    <t>KPI2ACT-14</t>
  </si>
  <si>
    <t>KPI2ACT-15</t>
  </si>
  <si>
    <t>KPI2ACT-16</t>
  </si>
  <si>
    <t>KPI2ACT-17</t>
  </si>
  <si>
    <t>KPI2ACT-18</t>
  </si>
  <si>
    <t>KPI2ACT-19</t>
  </si>
  <si>
    <t>KPI2ACT-20</t>
  </si>
  <si>
    <t>KPI2ACT-21</t>
  </si>
  <si>
    <t>KPI2ACT-22</t>
  </si>
  <si>
    <t>KPI2ACT-23</t>
  </si>
  <si>
    <t>KPI2ACT-24</t>
  </si>
  <si>
    <t>KPI2ACT-25</t>
  </si>
  <si>
    <t>KPI2ACT-26</t>
  </si>
  <si>
    <t>KPI2ACT-27</t>
  </si>
  <si>
    <t>KPI2ACT-28</t>
  </si>
  <si>
    <t>KPI2ACT-29</t>
  </si>
  <si>
    <t>KPI2ACT-30</t>
  </si>
  <si>
    <t>KPI2ACT-31</t>
  </si>
  <si>
    <t>KPI2ACT-32</t>
  </si>
  <si>
    <t>KPI2ACT-33</t>
  </si>
  <si>
    <t>KPI2ACT-34</t>
  </si>
  <si>
    <t>KPI2ACT-35</t>
  </si>
  <si>
    <t>KPI2ACT-36</t>
  </si>
  <si>
    <t>KPI2ACT-37</t>
  </si>
  <si>
    <t>KPI2ACT-38</t>
  </si>
  <si>
    <t>KPI2ACT-39</t>
  </si>
  <si>
    <t>KPI2ACT-40</t>
  </si>
  <si>
    <t>KPI2ACT-41</t>
  </si>
  <si>
    <t>KPI2ACT-42</t>
  </si>
  <si>
    <t>KPI2ACT-43</t>
  </si>
  <si>
    <t>KPI2ACT-44</t>
  </si>
  <si>
    <t>KPI2ACT-45</t>
  </si>
  <si>
    <t>KPI2ACT-46</t>
  </si>
  <si>
    <t>KPI2ACT-47</t>
  </si>
  <si>
    <t>KPI2ACT-48</t>
  </si>
  <si>
    <t>KPI2ACT-49</t>
  </si>
  <si>
    <t>KPI2ACT-50</t>
  </si>
  <si>
    <t>KPI2ACT-51</t>
  </si>
  <si>
    <t>KPI2ACT-52</t>
  </si>
  <si>
    <t>KPI2Diff-1</t>
  </si>
  <si>
    <t>KPI2Diff-2</t>
  </si>
  <si>
    <t>KPI2Diff-3</t>
  </si>
  <si>
    <t>KPI2Diff-4</t>
  </si>
  <si>
    <t>KPI2Diff-5</t>
  </si>
  <si>
    <t>KPI2Diff-6</t>
  </si>
  <si>
    <t>KPI2Diff-7</t>
  </si>
  <si>
    <t>KPI2Diff-8</t>
  </si>
  <si>
    <t>KPI2Diff-9</t>
  </si>
  <si>
    <t>KPI2Diff-10</t>
  </si>
  <si>
    <t>KPI2Diff-11</t>
  </si>
  <si>
    <t>KPI2Diff-12</t>
  </si>
  <si>
    <t>KPI2Diff-13</t>
  </si>
  <si>
    <t>KPI2Diff-14</t>
  </si>
  <si>
    <t>KPI2Diff-15</t>
  </si>
  <si>
    <t>KPI2Diff-16</t>
  </si>
  <si>
    <t>KPI2Diff-17</t>
  </si>
  <si>
    <t>KPI2Diff-18</t>
  </si>
  <si>
    <t>KPI2Diff-19</t>
  </si>
  <si>
    <t>KPI2Diff-20</t>
  </si>
  <si>
    <t>KPI2Diff-21</t>
  </si>
  <si>
    <t>KPI2Diff-22</t>
  </si>
  <si>
    <t>KPI2Diff-23</t>
  </si>
  <si>
    <t>KPI2Diff-24</t>
  </si>
  <si>
    <t>KPI2Diff-25</t>
  </si>
  <si>
    <t>KPI2Diff-26</t>
  </si>
  <si>
    <t>KPI2Diff-27</t>
  </si>
  <si>
    <t>KPI2Diff-28</t>
  </si>
  <si>
    <t>KPI2Diff-29</t>
  </si>
  <si>
    <t>KPI2Diff-30</t>
  </si>
  <si>
    <t>KPI2Diff-31</t>
  </si>
  <si>
    <t>KPI2Diff-32</t>
  </si>
  <si>
    <t>KPI2Diff-33</t>
  </si>
  <si>
    <t>KPI2Diff-34</t>
  </si>
  <si>
    <t>KPI2Diff-35</t>
  </si>
  <si>
    <t>KPI2Diff-36</t>
  </si>
  <si>
    <t>KPI2Diff-37</t>
  </si>
  <si>
    <t>KPI2Diff-38</t>
  </si>
  <si>
    <t>KPI2Diff-39</t>
  </si>
  <si>
    <t>KPI2Diff-40</t>
  </si>
  <si>
    <t>KPI2Diff-41</t>
  </si>
  <si>
    <t>KPI2Diff-42</t>
  </si>
  <si>
    <t>KPI2Diff-43</t>
  </si>
  <si>
    <t>KPI2Diff-44</t>
  </si>
  <si>
    <t>KPI2Diff-45</t>
  </si>
  <si>
    <t>KPI2Diff-46</t>
  </si>
  <si>
    <t>KPI2Diff-47</t>
  </si>
  <si>
    <t>KPI2Diff-48</t>
  </si>
  <si>
    <t>KPI2Diff-49</t>
  </si>
  <si>
    <t>KPI2Diff-50</t>
  </si>
  <si>
    <t>KPI2Diff-51</t>
  </si>
  <si>
    <t>KPI2Diff-52</t>
  </si>
  <si>
    <t>Business Name Here</t>
  </si>
  <si>
    <t>TOTAL FINANCIAL</t>
  </si>
  <si>
    <t>TOTAL AI SCORE FOR BU</t>
  </si>
  <si>
    <t>jamie.collingwood@pyxissoftware.com</t>
  </si>
  <si>
    <t>AI Camp Bunking solution</t>
  </si>
  <si>
    <t>Advanced Email Campaigns</t>
  </si>
  <si>
    <t>hyperpersonalized email campaigns</t>
  </si>
  <si>
    <t>OrbitAI</t>
  </si>
  <si>
    <t>Enables revenue growth through enhanced sales processes</t>
  </si>
  <si>
    <t>Improvements in email response campaigns and meetings booked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</si>
</sst>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_);\(&quot;$&quot;#,##0\)"/>
    <numFmt numFmtId="165" formatCode="_(&quot;$&quot;* #,##0.00_);_(&quot;$&quot;* \(#,##0.00\);_(&quot;$&quot;* &quot;-&quot;??_);_(@_)"/>
    <numFmt numFmtId="166" formatCode="_-* #,##0_-;\-* #,##0_-;_-* &quot;-&quot;??_-;_-@_-"/>
    <numFmt numFmtId="167" formatCode="mmm\ dd\ yyyy"/>
    <numFmt numFmtId="168" formatCode="mmm\-dd"/>
    <numFmt numFmtId="169" formatCode="_-* #,##0.0_-;\-* #,##0.0_-;_-* &quot;-&quot;??_-;_-@_-"/>
    <numFmt numFmtId="170" formatCode="yyyy\-\q\q"/>
    <numFmt numFmtId="171" formatCode="0.0"/>
    <numFmt numFmtId="172" formatCode="_(* #,##0.0_);_(* \(#,##0.0\);_(* &quot;-&quot;?_);_(@_)"/>
  </numFmts>
  <fonts count="31">
    <font>
      <sz val="11"/>
      <color theme="1"/>
      <name val="Aptos Narrow"/>
      <family val="2"/>
      <scheme val="minor"/>
    </font>
    <font>
      <sz val="10"/>
      <color theme="1"/>
      <name val="Arial"/>
      <family val="2"/>
    </font>
    <font>
      <b/>
      <sz val="10"/>
      <color rgb="FFFFFFFF"/>
      <name val="Arial"/>
      <family val="2"/>
    </font>
    <font>
      <b/>
      <sz val="10"/>
      <color theme="1"/>
      <name val="Arial"/>
      <family val="2"/>
    </font>
    <font>
      <sz val="12"/>
      <color theme="1"/>
      <name val="Calibri"/>
      <family val="2"/>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52">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s>
  <cellStyleXfs count="5">
    <xf numFmtId="0" fontId="0" fillId="0" borderId="0"/>
    <xf numFmtId="43" fontId="8"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0" fontId="12" fillId="0" borderId="0" applyNumberFormat="0" applyFill="0" applyBorder="0" applyAlignment="0" applyProtection="0"/>
  </cellStyleXfs>
  <cellXfs count="192">
    <xf numFmtId="0" fontId="0" fillId="0" borderId="0" xfId="0"/>
    <xf numFmtId="0" fontId="1" fillId="0" borderId="3" xfId="0" applyFont="1" applyBorder="1" applyAlignment="1">
      <alignment readingOrder="1"/>
    </xf>
    <xf numFmtId="0" fontId="2" fillId="2" borderId="4" xfId="0" applyFont="1" applyFill="1" applyBorder="1" applyAlignment="1">
      <alignment wrapText="1" readingOrder="1"/>
    </xf>
    <xf numFmtId="0" fontId="1" fillId="0" borderId="4" xfId="0" applyFont="1" applyBorder="1" applyAlignment="1">
      <alignment wrapText="1" readingOrder="1"/>
    </xf>
    <xf numFmtId="0" fontId="3" fillId="0" borderId="3" xfId="0" applyFont="1" applyBorder="1" applyAlignment="1">
      <alignment readingOrder="1"/>
    </xf>
    <xf numFmtId="0" fontId="2" fillId="2" borderId="3" xfId="0" applyFont="1" applyFill="1" applyBorder="1" applyAlignment="1">
      <alignment readingOrder="1"/>
    </xf>
    <xf numFmtId="0" fontId="4" fillId="0" borderId="4" xfId="0" applyFont="1" applyBorder="1" applyAlignment="1">
      <alignment wrapText="1" readingOrder="1"/>
    </xf>
    <xf numFmtId="0" fontId="0" fillId="0" borderId="0" xfId="0" applyAlignment="1">
      <alignment wrapText="1"/>
    </xf>
    <xf numFmtId="0" fontId="5" fillId="2" borderId="1" xfId="0" applyFont="1" applyFill="1" applyBorder="1" applyAlignment="1">
      <alignment wrapText="1" readingOrder="1"/>
    </xf>
    <xf numFmtId="0" fontId="5" fillId="2" borderId="2" xfId="0" applyFont="1" applyFill="1" applyBorder="1" applyAlignment="1">
      <alignment wrapText="1" readingOrder="1"/>
    </xf>
    <xf numFmtId="0" fontId="7" fillId="0" borderId="4" xfId="0" applyFont="1" applyBorder="1" applyAlignment="1">
      <alignment wrapText="1" readingOrder="1"/>
    </xf>
    <xf numFmtId="9" fontId="0" fillId="0" borderId="0" xfId="2" applyFont="1"/>
    <xf numFmtId="0" fontId="0" fillId="0" borderId="8" xfId="0" applyBorder="1" applyAlignment="1">
      <alignment vertical="center" wrapText="1"/>
    </xf>
    <xf numFmtId="0" fontId="0" fillId="0" borderId="0" xfId="0" applyAlignment="1">
      <alignment vertical="center"/>
    </xf>
    <xf numFmtId="0" fontId="11" fillId="8" borderId="19" xfId="0" applyFont="1" applyFill="1" applyBorder="1"/>
    <xf numFmtId="0" fontId="11" fillId="8" borderId="20" xfId="0" applyFont="1" applyFill="1" applyBorder="1"/>
    <xf numFmtId="0" fontId="11" fillId="8" borderId="21" xfId="0" applyFont="1" applyFill="1" applyBorder="1"/>
    <xf numFmtId="0" fontId="11" fillId="8" borderId="22" xfId="0" applyFont="1" applyFill="1" applyBorder="1"/>
    <xf numFmtId="0" fontId="0" fillId="9" borderId="22" xfId="0" applyFill="1" applyBorder="1"/>
    <xf numFmtId="0" fontId="0" fillId="0" borderId="22" xfId="0" applyBorder="1"/>
    <xf numFmtId="0" fontId="0" fillId="9" borderId="8" xfId="0" applyFill="1" applyBorder="1" applyAlignment="1">
      <alignment vertical="center" wrapText="1"/>
    </xf>
    <xf numFmtId="0" fontId="0" fillId="9" borderId="20" xfId="0" applyFill="1" applyBorder="1" applyAlignment="1">
      <alignment vertical="center"/>
    </xf>
    <xf numFmtId="0" fontId="0" fillId="9" borderId="21" xfId="0" applyFill="1" applyBorder="1" applyAlignment="1">
      <alignment vertical="center"/>
    </xf>
    <xf numFmtId="0" fontId="0" fillId="0" borderId="20" xfId="0" applyBorder="1" applyAlignment="1">
      <alignment vertical="center"/>
    </xf>
    <xf numFmtId="0" fontId="0" fillId="0" borderId="21" xfId="0" applyBorder="1" applyAlignment="1">
      <alignment vertical="center"/>
    </xf>
    <xf numFmtId="14" fontId="0" fillId="9" borderId="22" xfId="0" applyNumberFormat="1" applyFill="1" applyBorder="1"/>
    <xf numFmtId="14" fontId="0" fillId="0" borderId="22" xfId="0" applyNumberFormat="1" applyBorder="1"/>
    <xf numFmtId="14" fontId="0" fillId="0" borderId="0" xfId="0" applyNumberFormat="1"/>
    <xf numFmtId="0" fontId="13" fillId="0" borderId="0" xfId="0" applyFont="1"/>
    <xf numFmtId="0" fontId="14" fillId="0" borderId="0" xfId="0" applyFont="1"/>
    <xf numFmtId="170" fontId="13" fillId="0" borderId="0" xfId="0" applyNumberFormat="1" applyFont="1"/>
    <xf numFmtId="0" fontId="13" fillId="0" borderId="0" xfId="0" applyFont="1" applyAlignment="1">
      <alignment horizontal="left"/>
    </xf>
    <xf numFmtId="0" fontId="16" fillId="3" borderId="0" xfId="0" applyFont="1" applyFill="1" applyAlignment="1">
      <alignment horizontal="left" vertical="center" wrapText="1" indent="1" readingOrder="1"/>
    </xf>
    <xf numFmtId="0" fontId="18" fillId="0" borderId="0" xfId="0" applyFont="1"/>
    <xf numFmtId="0" fontId="17" fillId="3" borderId="0" xfId="0" applyFont="1" applyFill="1" applyAlignment="1">
      <alignment horizontal="left" vertical="top" wrapText="1" indent="1"/>
    </xf>
    <xf numFmtId="14" fontId="18" fillId="0" borderId="0" xfId="0" applyNumberFormat="1" applyFont="1"/>
    <xf numFmtId="0" fontId="24" fillId="0" borderId="0" xfId="0" applyFont="1" applyAlignment="1">
      <alignment readingOrder="1"/>
    </xf>
    <xf numFmtId="14" fontId="21" fillId="0" borderId="0" xfId="0" applyNumberFormat="1" applyFont="1" applyAlignment="1">
      <alignment readingOrder="1"/>
    </xf>
    <xf numFmtId="0" fontId="21" fillId="0" borderId="0" xfId="0" applyFont="1" applyAlignment="1">
      <alignment readingOrder="1"/>
    </xf>
    <xf numFmtId="0" fontId="13" fillId="0" borderId="0" xfId="0" applyFont="1" applyAlignment="1">
      <alignment vertical="top"/>
    </xf>
    <xf numFmtId="0" fontId="21" fillId="0" borderId="0" xfId="0" applyFont="1" applyAlignment="1">
      <alignment horizontal="left" vertical="center" readingOrder="1"/>
    </xf>
    <xf numFmtId="0" fontId="17" fillId="7" borderId="10" xfId="0" applyFont="1" applyFill="1" applyBorder="1" applyAlignment="1">
      <alignment horizontal="left" vertical="center" wrapText="1" indent="1"/>
    </xf>
    <xf numFmtId="14" fontId="13" fillId="0" borderId="0" xfId="0" applyNumberFormat="1" applyFont="1"/>
    <xf numFmtId="0" fontId="23" fillId="7" borderId="10" xfId="0" applyFont="1" applyFill="1" applyBorder="1" applyAlignment="1">
      <alignment horizontal="left" vertical="center" indent="1"/>
    </xf>
    <xf numFmtId="0" fontId="13" fillId="0" borderId="0" xfId="0" applyFont="1" applyAlignment="1">
      <alignment horizontal="left" vertical="top" wrapText="1" indent="1"/>
    </xf>
    <xf numFmtId="0" fontId="15" fillId="2" borderId="9" xfId="0" applyFont="1" applyFill="1" applyBorder="1" applyAlignment="1">
      <alignment horizontal="center" vertical="center" wrapText="1" readingOrder="1"/>
    </xf>
    <xf numFmtId="0" fontId="26" fillId="0" borderId="0" xfId="0" applyFont="1"/>
    <xf numFmtId="0" fontId="26" fillId="0" borderId="0" xfId="0" applyFont="1" applyAlignment="1">
      <alignment horizontal="left"/>
    </xf>
    <xf numFmtId="168" fontId="17" fillId="13" borderId="9" xfId="0" applyNumberFormat="1" applyFont="1" applyFill="1" applyBorder="1" applyAlignment="1" applyProtection="1">
      <alignment horizontal="center" vertical="center" textRotation="90" readingOrder="1"/>
      <protection locked="0"/>
    </xf>
    <xf numFmtId="168" fontId="19" fillId="5" borderId="9" xfId="0" applyNumberFormat="1" applyFont="1" applyFill="1" applyBorder="1" applyAlignment="1">
      <alignment horizontal="center" vertical="center" textRotation="90" readingOrder="1"/>
    </xf>
    <xf numFmtId="0" fontId="21" fillId="13" borderId="9" xfId="0" applyFont="1" applyFill="1" applyBorder="1" applyAlignment="1" applyProtection="1">
      <alignment readingOrder="1"/>
      <protection locked="0"/>
    </xf>
    <xf numFmtId="0" fontId="21" fillId="7" borderId="9" xfId="0" applyFont="1" applyFill="1" applyBorder="1" applyAlignment="1">
      <alignment readingOrder="1"/>
    </xf>
    <xf numFmtId="0" fontId="13" fillId="0" borderId="0" xfId="0" applyFont="1" applyAlignment="1">
      <alignment horizontal="left" indent="1" readingOrder="1"/>
    </xf>
    <xf numFmtId="0" fontId="27" fillId="0" borderId="0" xfId="0" applyFont="1" applyAlignment="1">
      <alignment readingOrder="1"/>
    </xf>
    <xf numFmtId="0" fontId="28" fillId="0" borderId="0" xfId="0" applyFont="1" applyAlignment="1">
      <alignment readingOrder="1"/>
    </xf>
    <xf numFmtId="0" fontId="30" fillId="2" borderId="10" xfId="0" applyFont="1" applyFill="1" applyBorder="1" applyAlignment="1">
      <alignment horizontal="left" vertical="center" wrapText="1" indent="1" readingOrder="1"/>
    </xf>
    <xf numFmtId="0" fontId="13" fillId="0" borderId="10" xfId="0" applyFont="1" applyBorder="1" applyAlignment="1">
      <alignment horizontal="left" vertical="top" indent="1"/>
    </xf>
    <xf numFmtId="0" fontId="13" fillId="0" borderId="10" xfId="0" applyFont="1" applyBorder="1" applyAlignment="1">
      <alignment horizontal="left" vertical="top" wrapText="1" indent="1"/>
    </xf>
    <xf numFmtId="0" fontId="13" fillId="0" borderId="10" xfId="0" applyFont="1" applyBorder="1" applyAlignment="1">
      <alignment horizontal="right" vertical="top" indent="1"/>
    </xf>
    <xf numFmtId="171" fontId="21" fillId="13" borderId="9" xfId="0" applyNumberFormat="1" applyFont="1" applyFill="1" applyBorder="1" applyAlignment="1">
      <alignment readingOrder="1"/>
    </xf>
    <xf numFmtId="171" fontId="21" fillId="13" borderId="9" xfId="0" applyNumberFormat="1" applyFont="1" applyFill="1" applyBorder="1" applyAlignment="1" applyProtection="1">
      <alignment readingOrder="1"/>
      <protection locked="0"/>
    </xf>
    <xf numFmtId="164" fontId="13" fillId="0" borderId="10" xfId="3" applyNumberFormat="1" applyFont="1" applyBorder="1" applyAlignment="1">
      <alignment horizontal="right" vertical="top"/>
    </xf>
    <xf numFmtId="171" fontId="13" fillId="0" borderId="0" xfId="0" applyNumberFormat="1" applyFont="1"/>
    <xf numFmtId="166" fontId="13" fillId="0" borderId="0" xfId="1" applyNumberFormat="1" applyFont="1"/>
    <xf numFmtId="172" fontId="21" fillId="0" borderId="0" xfId="0" applyNumberFormat="1" applyFont="1" applyAlignment="1">
      <alignment readingOrder="1"/>
    </xf>
    <xf numFmtId="0" fontId="9" fillId="0" borderId="36" xfId="0" applyFont="1" applyBorder="1"/>
    <xf numFmtId="0" fontId="0" fillId="0" borderId="36" xfId="0" applyBorder="1"/>
    <xf numFmtId="14" fontId="0" fillId="0" borderId="36" xfId="0" applyNumberFormat="1" applyBorder="1"/>
    <xf numFmtId="0" fontId="0" fillId="14" borderId="36" xfId="0" applyFill="1" applyBorder="1"/>
    <xf numFmtId="14" fontId="0" fillId="14" borderId="36" xfId="0" applyNumberFormat="1" applyFill="1" applyBorder="1"/>
    <xf numFmtId="14" fontId="17" fillId="13" borderId="9" xfId="0" applyNumberFormat="1" applyFont="1" applyFill="1" applyBorder="1" applyAlignment="1" applyProtection="1">
      <alignment horizontal="center" vertical="center" textRotation="90" readingOrder="1"/>
      <protection locked="0"/>
    </xf>
    <xf numFmtId="14" fontId="19" fillId="5" borderId="9" xfId="0" applyNumberFormat="1" applyFont="1" applyFill="1" applyBorder="1" applyAlignment="1">
      <alignment horizontal="center" vertical="center" textRotation="90" readingOrder="1"/>
    </xf>
    <xf numFmtId="0" fontId="16" fillId="0" borderId="40" xfId="0" applyFont="1" applyBorder="1" applyAlignment="1">
      <alignment horizontal="center" vertical="center"/>
    </xf>
    <xf numFmtId="164" fontId="16" fillId="0" borderId="41" xfId="3" applyNumberFormat="1" applyFont="1" applyBorder="1" applyAlignment="1">
      <alignment horizontal="right" vertical="center"/>
    </xf>
    <xf numFmtId="0" fontId="16" fillId="0" borderId="45" xfId="0" applyFont="1" applyBorder="1" applyAlignment="1">
      <alignment horizontal="right" vertical="center" indent="1"/>
    </xf>
    <xf numFmtId="0" fontId="13" fillId="0" borderId="47" xfId="0" applyFont="1" applyBorder="1" applyAlignment="1">
      <alignment horizontal="left" vertical="top" indent="1"/>
    </xf>
    <xf numFmtId="0" fontId="13" fillId="0" borderId="46" xfId="0" applyFont="1" applyBorder="1" applyAlignment="1">
      <alignment horizontal="left" vertical="top" indent="1"/>
    </xf>
    <xf numFmtId="0" fontId="13" fillId="0" borderId="41" xfId="0" applyFont="1" applyBorder="1" applyAlignment="1">
      <alignment horizontal="left" vertical="top" indent="1"/>
    </xf>
    <xf numFmtId="0" fontId="13" fillId="0" borderId="41" xfId="0" applyFont="1" applyBorder="1" applyAlignment="1">
      <alignment horizontal="left" vertical="top" wrapText="1" indent="1"/>
    </xf>
    <xf numFmtId="0" fontId="13" fillId="14" borderId="35" xfId="0" applyFont="1" applyFill="1" applyBorder="1" applyAlignment="1">
      <alignment horizontal="center" vertical="center" textRotation="90"/>
    </xf>
    <xf numFmtId="0" fontId="13" fillId="14" borderId="35" xfId="0" applyFont="1" applyFill="1" applyBorder="1" applyAlignment="1">
      <alignment horizontal="left" vertical="top" indent="1"/>
    </xf>
    <xf numFmtId="0" fontId="13" fillId="14" borderId="35" xfId="0" applyFont="1" applyFill="1" applyBorder="1" applyAlignment="1">
      <alignment horizontal="left" vertical="top" wrapText="1" indent="1"/>
    </xf>
    <xf numFmtId="164" fontId="13" fillId="14" borderId="35" xfId="3" applyNumberFormat="1" applyFont="1" applyFill="1" applyBorder="1" applyAlignment="1">
      <alignment horizontal="right" vertical="top"/>
    </xf>
    <xf numFmtId="0" fontId="13" fillId="14" borderId="35" xfId="0" applyFont="1" applyFill="1" applyBorder="1" applyAlignment="1">
      <alignment horizontal="right" vertical="top" indent="1"/>
    </xf>
    <xf numFmtId="0" fontId="13" fillId="0" borderId="48" xfId="0" applyFont="1" applyBorder="1" applyAlignment="1">
      <alignment horizontal="left" vertical="top" indent="1"/>
    </xf>
    <xf numFmtId="0" fontId="13" fillId="0" borderId="49" xfId="0" applyFont="1" applyBorder="1" applyAlignment="1">
      <alignment horizontal="left" vertical="top" indent="1"/>
    </xf>
    <xf numFmtId="0" fontId="13" fillId="0" borderId="49" xfId="0" applyFont="1" applyBorder="1" applyAlignment="1">
      <alignment horizontal="left" vertical="top" wrapText="1" indent="1"/>
    </xf>
    <xf numFmtId="164" fontId="13" fillId="0" borderId="49" xfId="3" applyNumberFormat="1" applyFont="1" applyBorder="1" applyAlignment="1">
      <alignment horizontal="right" vertical="top"/>
    </xf>
    <xf numFmtId="0" fontId="13" fillId="0" borderId="49" xfId="0" applyFont="1" applyBorder="1" applyAlignment="1">
      <alignment horizontal="right" vertical="top" indent="1"/>
    </xf>
    <xf numFmtId="0" fontId="13" fillId="0" borderId="50" xfId="0" applyFont="1" applyBorder="1" applyAlignment="1">
      <alignment horizontal="right" vertical="top" indent="1"/>
    </xf>
    <xf numFmtId="0" fontId="13" fillId="0" borderId="51" xfId="0" applyFont="1" applyBorder="1" applyAlignment="1">
      <alignment horizontal="right" vertical="top" indent="1"/>
    </xf>
    <xf numFmtId="0" fontId="29" fillId="13" borderId="37" xfId="0" applyFont="1" applyFill="1" applyBorder="1" applyAlignment="1" applyProtection="1">
      <alignment horizontal="left" vertical="center" indent="1"/>
      <protection locked="0"/>
    </xf>
    <xf numFmtId="0" fontId="29" fillId="13" borderId="38" xfId="0" applyFont="1" applyFill="1" applyBorder="1" applyAlignment="1" applyProtection="1">
      <alignment horizontal="left" vertical="center" indent="1"/>
      <protection locked="0"/>
    </xf>
    <xf numFmtId="0" fontId="29" fillId="13" borderId="39" xfId="0" applyFont="1" applyFill="1" applyBorder="1" applyAlignment="1" applyProtection="1">
      <alignment horizontal="left" vertical="center" inden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43" fontId="13" fillId="0" borderId="12" xfId="1" applyFont="1" applyBorder="1" applyAlignment="1">
      <alignment horizontal="left" vertical="center" indent="1"/>
    </xf>
    <xf numFmtId="43" fontId="13" fillId="0" borderId="13" xfId="1" applyFont="1" applyBorder="1" applyAlignment="1">
      <alignment horizontal="left" vertical="center" indent="1"/>
    </xf>
    <xf numFmtId="43" fontId="13" fillId="0" borderId="14" xfId="1" applyFont="1" applyBorder="1" applyAlignment="1">
      <alignment horizontal="left" vertical="center" indent="1"/>
    </xf>
    <xf numFmtId="0" fontId="19" fillId="7" borderId="16" xfId="0" applyFont="1" applyFill="1" applyBorder="1" applyAlignment="1">
      <alignment horizontal="left" indent="1" readingOrder="1"/>
    </xf>
    <xf numFmtId="0" fontId="19" fillId="7" borderId="17" xfId="0" applyFont="1" applyFill="1" applyBorder="1" applyAlignment="1">
      <alignment horizontal="left" indent="1" readingOrder="1"/>
    </xf>
    <xf numFmtId="0" fontId="19" fillId="7" borderId="18" xfId="0" applyFont="1" applyFill="1" applyBorder="1" applyAlignment="1">
      <alignment horizontal="left" indent="1" readingOrder="1"/>
    </xf>
    <xf numFmtId="0" fontId="15" fillId="2" borderId="16" xfId="0" applyFont="1" applyFill="1" applyBorder="1" applyAlignment="1">
      <alignment horizontal="left" vertical="center" wrapText="1" indent="1" readingOrder="1"/>
    </xf>
    <xf numFmtId="0" fontId="15" fillId="2" borderId="17" xfId="0" applyFont="1" applyFill="1" applyBorder="1" applyAlignment="1">
      <alignment horizontal="left" vertical="center" wrapText="1" indent="1" readingOrder="1"/>
    </xf>
    <xf numFmtId="0" fontId="15" fillId="2" borderId="18" xfId="0" applyFont="1" applyFill="1" applyBorder="1" applyAlignment="1">
      <alignment horizontal="left" vertical="center" wrapText="1" indent="1" readingOrder="1"/>
    </xf>
    <xf numFmtId="0" fontId="16" fillId="6" borderId="16" xfId="0" applyFont="1" applyFill="1" applyBorder="1" applyAlignment="1">
      <alignment horizontal="left" vertical="center" indent="1"/>
    </xf>
    <xf numFmtId="0" fontId="16" fillId="6" borderId="17" xfId="0" applyFont="1" applyFill="1" applyBorder="1" applyAlignment="1">
      <alignment horizontal="left" vertical="center" indent="1"/>
    </xf>
    <xf numFmtId="0" fontId="16" fillId="6" borderId="18" xfId="0" applyFont="1" applyFill="1" applyBorder="1" applyAlignment="1">
      <alignment horizontal="left" vertical="center" indent="1"/>
    </xf>
    <xf numFmtId="0" fontId="13" fillId="13" borderId="12" xfId="0" applyFont="1" applyFill="1" applyBorder="1" applyAlignment="1" applyProtection="1">
      <alignment horizontal="left" vertical="center" indent="1"/>
      <protection locked="0"/>
    </xf>
    <xf numFmtId="0" fontId="13" fillId="13" borderId="14" xfId="0" applyFont="1" applyFill="1" applyBorder="1" applyAlignment="1" applyProtection="1">
      <alignment horizontal="left" vertical="center" indent="1"/>
      <protection locked="0"/>
    </xf>
    <xf numFmtId="0" fontId="17" fillId="7" borderId="12" xfId="0" applyFont="1" applyFill="1" applyBorder="1" applyAlignment="1">
      <alignment horizontal="left" vertical="center" wrapText="1" indent="1"/>
    </xf>
    <xf numFmtId="0" fontId="17" fillId="7" borderId="13" xfId="0" applyFont="1" applyFill="1" applyBorder="1" applyAlignment="1">
      <alignment horizontal="left" vertical="center" wrapText="1" indent="1"/>
    </xf>
    <xf numFmtId="0" fontId="17" fillId="7" borderId="14" xfId="0" applyFont="1" applyFill="1" applyBorder="1" applyAlignment="1">
      <alignment horizontal="left" vertical="center" wrapText="1" indent="1"/>
    </xf>
    <xf numFmtId="0" fontId="17" fillId="5" borderId="12" xfId="0" applyFont="1" applyFill="1" applyBorder="1" applyAlignment="1">
      <alignment horizontal="left" vertical="center" indent="1"/>
    </xf>
    <xf numFmtId="0" fontId="17" fillId="5" borderId="13" xfId="0" applyFont="1" applyFill="1" applyBorder="1" applyAlignment="1">
      <alignment horizontal="left" vertical="center" indent="1"/>
    </xf>
    <xf numFmtId="0" fontId="17" fillId="5" borderId="14" xfId="0" applyFont="1" applyFill="1" applyBorder="1" applyAlignment="1">
      <alignment horizontal="left" vertical="center" indent="1"/>
    </xf>
    <xf numFmtId="0" fontId="13" fillId="13" borderId="30" xfId="0" applyFont="1" applyFill="1" applyBorder="1" applyAlignment="1" applyProtection="1">
      <alignment horizontal="left" vertical="top" wrapText="1" indent="1"/>
      <protection locked="0"/>
    </xf>
    <xf numFmtId="0" fontId="13" fillId="13" borderId="29" xfId="0" applyFont="1" applyFill="1" applyBorder="1" applyAlignment="1" applyProtection="1">
      <alignment horizontal="left" vertical="top" wrapText="1" indent="1"/>
      <protection locked="0"/>
    </xf>
    <xf numFmtId="0" fontId="13" fillId="13" borderId="31" xfId="0" applyFont="1" applyFill="1" applyBorder="1" applyAlignment="1" applyProtection="1">
      <alignment horizontal="left" vertical="top" wrapText="1" indent="1"/>
      <protection locked="0"/>
    </xf>
    <xf numFmtId="0" fontId="13" fillId="13" borderId="34" xfId="0" applyFont="1" applyFill="1" applyBorder="1" applyAlignment="1" applyProtection="1">
      <alignment horizontal="left" vertical="top" wrapText="1" indent="1"/>
      <protection locked="0"/>
    </xf>
    <xf numFmtId="0" fontId="13" fillId="13" borderId="0" xfId="0" applyFont="1" applyFill="1" applyAlignment="1" applyProtection="1">
      <alignment horizontal="left" vertical="top" wrapText="1" indent="1"/>
      <protection locked="0"/>
    </xf>
    <xf numFmtId="0" fontId="13" fillId="13" borderId="32" xfId="0" applyFont="1" applyFill="1" applyBorder="1" applyAlignment="1" applyProtection="1">
      <alignment horizontal="left" vertical="top" wrapText="1" indent="1"/>
      <protection locked="0"/>
    </xf>
    <xf numFmtId="0" fontId="13" fillId="13" borderId="15" xfId="0" applyFont="1" applyFill="1" applyBorder="1" applyAlignment="1" applyProtection="1">
      <alignment horizontal="left" vertical="top" wrapText="1" indent="1"/>
      <protection locked="0"/>
    </xf>
    <xf numFmtId="0" fontId="13" fillId="13" borderId="11" xfId="0" applyFont="1" applyFill="1" applyBorder="1" applyAlignment="1" applyProtection="1">
      <alignment horizontal="left" vertical="top" wrapText="1" indent="1"/>
      <protection locked="0"/>
    </xf>
    <xf numFmtId="0" fontId="13" fillId="13" borderId="33" xfId="0" applyFont="1" applyFill="1" applyBorder="1" applyAlignment="1" applyProtection="1">
      <alignment horizontal="left" vertical="top" wrapText="1" indent="1"/>
      <protection locked="0"/>
    </xf>
    <xf numFmtId="0" fontId="16" fillId="4" borderId="30" xfId="0" applyFont="1" applyFill="1" applyBorder="1" applyAlignment="1">
      <alignment horizontal="left" vertical="center" indent="1"/>
    </xf>
    <xf numFmtId="0" fontId="16" fillId="4" borderId="29" xfId="0" applyFont="1" applyFill="1" applyBorder="1" applyAlignment="1">
      <alignment horizontal="left" vertical="center" indent="1"/>
    </xf>
    <xf numFmtId="0" fontId="16" fillId="4" borderId="31" xfId="0" applyFont="1" applyFill="1" applyBorder="1" applyAlignment="1">
      <alignment horizontal="left" vertical="center" indent="1"/>
    </xf>
    <xf numFmtId="0" fontId="16" fillId="4" borderId="34" xfId="0" applyFont="1" applyFill="1" applyBorder="1" applyAlignment="1">
      <alignment horizontal="left" vertical="center" indent="1"/>
    </xf>
    <xf numFmtId="0" fontId="16" fillId="4" borderId="0" xfId="0" applyFont="1" applyFill="1" applyAlignment="1">
      <alignment horizontal="left" vertical="center" indent="1"/>
    </xf>
    <xf numFmtId="0" fontId="16" fillId="4" borderId="32" xfId="0" applyFont="1" applyFill="1" applyBorder="1" applyAlignment="1">
      <alignment horizontal="left" vertical="center" indent="1"/>
    </xf>
    <xf numFmtId="0" fontId="16" fillId="4" borderId="15" xfId="0" applyFont="1" applyFill="1" applyBorder="1" applyAlignment="1">
      <alignment horizontal="left" vertical="center" indent="1"/>
    </xf>
    <xf numFmtId="0" fontId="16" fillId="4" borderId="11" xfId="0" applyFont="1" applyFill="1" applyBorder="1" applyAlignment="1">
      <alignment horizontal="left" vertical="center" indent="1"/>
    </xf>
    <xf numFmtId="0" fontId="16" fillId="4" borderId="33" xfId="0" applyFont="1" applyFill="1" applyBorder="1" applyAlignment="1">
      <alignment horizontal="left" vertical="center" indent="1"/>
    </xf>
    <xf numFmtId="14" fontId="13" fillId="13" borderId="12" xfId="0" applyNumberFormat="1" applyFont="1" applyFill="1" applyBorder="1" applyAlignment="1" applyProtection="1">
      <alignment horizontal="center" vertical="center"/>
      <protection locked="0"/>
    </xf>
    <xf numFmtId="14" fontId="13" fillId="13" borderId="13" xfId="0" applyNumberFormat="1" applyFont="1" applyFill="1" applyBorder="1" applyAlignment="1" applyProtection="1">
      <alignment horizontal="center" vertical="center"/>
      <protection locked="0"/>
    </xf>
    <xf numFmtId="14" fontId="13" fillId="13" borderId="14" xfId="0" applyNumberFormat="1" applyFont="1" applyFill="1" applyBorder="1" applyAlignment="1" applyProtection="1">
      <alignment horizontal="center" vertical="center"/>
      <protection locked="0"/>
    </xf>
    <xf numFmtId="0" fontId="18" fillId="13" borderId="30" xfId="0" applyFont="1" applyFill="1" applyBorder="1" applyAlignment="1" applyProtection="1">
      <alignment horizontal="left" vertical="top" wrapText="1" indent="1"/>
      <protection locked="0"/>
    </xf>
    <xf numFmtId="0" fontId="18" fillId="13" borderId="29" xfId="0" applyFont="1" applyFill="1" applyBorder="1" applyAlignment="1" applyProtection="1">
      <alignment horizontal="left" vertical="top" wrapText="1" indent="1"/>
      <protection locked="0"/>
    </xf>
    <xf numFmtId="0" fontId="18" fillId="13" borderId="31" xfId="0" applyFont="1" applyFill="1" applyBorder="1" applyAlignment="1" applyProtection="1">
      <alignment horizontal="left" vertical="top" wrapText="1" indent="1"/>
      <protection locked="0"/>
    </xf>
    <xf numFmtId="0" fontId="18" fillId="13" borderId="34" xfId="0" applyFont="1" applyFill="1" applyBorder="1" applyAlignment="1" applyProtection="1">
      <alignment horizontal="left" vertical="top" wrapText="1" indent="1"/>
      <protection locked="0"/>
    </xf>
    <xf numFmtId="0" fontId="18" fillId="13" borderId="0" xfId="0" applyFont="1" applyFill="1" applyAlignment="1" applyProtection="1">
      <alignment horizontal="left" vertical="top" wrapText="1" indent="1"/>
      <protection locked="0"/>
    </xf>
    <xf numFmtId="0" fontId="18" fillId="13" borderId="32" xfId="0" applyFont="1" applyFill="1" applyBorder="1" applyAlignment="1" applyProtection="1">
      <alignment horizontal="left" vertical="top" wrapText="1" indent="1"/>
      <protection locked="0"/>
    </xf>
    <xf numFmtId="0" fontId="18" fillId="13" borderId="15" xfId="0" applyFont="1" applyFill="1" applyBorder="1" applyAlignment="1" applyProtection="1">
      <alignment horizontal="left" vertical="top" wrapText="1" indent="1"/>
      <protection locked="0"/>
    </xf>
    <xf numFmtId="0" fontId="18" fillId="13" borderId="11" xfId="0" applyFont="1" applyFill="1" applyBorder="1" applyAlignment="1" applyProtection="1">
      <alignment horizontal="left" vertical="top" wrapText="1" indent="1"/>
      <protection locked="0"/>
    </xf>
    <xf numFmtId="0" fontId="18" fillId="13" borderId="33" xfId="0" applyFont="1" applyFill="1" applyBorder="1" applyAlignment="1" applyProtection="1">
      <alignment horizontal="left" vertical="top" wrapText="1"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3" fillId="12" borderId="14" xfId="0" applyFont="1" applyFill="1" applyBorder="1" applyAlignment="1" applyProtection="1">
      <alignment horizontal="left" vertical="center" indent="1"/>
      <protection locked="0"/>
    </xf>
    <xf numFmtId="0" fontId="25" fillId="13" borderId="12" xfId="4" applyFont="1" applyFill="1" applyBorder="1" applyAlignment="1" applyProtection="1">
      <alignment horizontal="left" vertical="center" indent="1"/>
      <protection locked="0"/>
    </xf>
    <xf numFmtId="0" fontId="25" fillId="13" borderId="14" xfId="4" applyFont="1" applyFill="1" applyBorder="1" applyAlignment="1" applyProtection="1">
      <alignment horizontal="left" vertical="center" indent="1"/>
      <protection locked="0"/>
    </xf>
    <xf numFmtId="0" fontId="15" fillId="2" borderId="12" xfId="0" applyFont="1" applyFill="1" applyBorder="1" applyAlignment="1">
      <alignment horizontal="center" vertical="center" wrapText="1" readingOrder="1"/>
    </xf>
    <xf numFmtId="0" fontId="15" fillId="2" borderId="13" xfId="0" applyFont="1" applyFill="1" applyBorder="1" applyAlignment="1">
      <alignment horizontal="center" vertical="center" wrapText="1" readingOrder="1"/>
    </xf>
    <xf numFmtId="0" fontId="15" fillId="2" borderId="14" xfId="0" applyFont="1" applyFill="1" applyBorder="1" applyAlignment="1">
      <alignment horizontal="center" vertical="center" wrapText="1" readingOrder="1"/>
    </xf>
    <xf numFmtId="0" fontId="16" fillId="0" borderId="11" xfId="0" applyFont="1" applyBorder="1" applyAlignment="1">
      <alignment horizontal="center" vertical="top"/>
    </xf>
    <xf numFmtId="0" fontId="16" fillId="0" borderId="0" xfId="0" applyFont="1" applyAlignment="1">
      <alignment horizontal="center" vertical="top"/>
    </xf>
    <xf numFmtId="0" fontId="15" fillId="2" borderId="12" xfId="0" applyFont="1" applyFill="1" applyBorder="1" applyAlignment="1">
      <alignment horizontal="left" vertical="center" wrapText="1" indent="1" readingOrder="1"/>
    </xf>
    <xf numFmtId="0" fontId="15" fillId="2" borderId="13" xfId="0" applyFont="1" applyFill="1" applyBorder="1" applyAlignment="1">
      <alignment horizontal="left" vertical="center" wrapText="1" indent="1" readingOrder="1"/>
    </xf>
    <xf numFmtId="0" fontId="15" fillId="2" borderId="14" xfId="0" applyFont="1" applyFill="1" applyBorder="1" applyAlignment="1">
      <alignment horizontal="left" vertical="center" wrapText="1" indent="1" readingOrder="1"/>
    </xf>
    <xf numFmtId="0" fontId="23" fillId="5" borderId="10" xfId="0" applyFont="1" applyFill="1" applyBorder="1" applyAlignment="1">
      <alignment horizontal="left" vertical="center" wrapText="1" indent="1"/>
    </xf>
    <xf numFmtId="43" fontId="22" fillId="10" borderId="10" xfId="1" applyFont="1" applyFill="1" applyBorder="1" applyAlignment="1">
      <alignment horizontal="center" vertical="center" wrapText="1" readingOrder="1"/>
    </xf>
    <xf numFmtId="0" fontId="17" fillId="12" borderId="12" xfId="0" applyFont="1" applyFill="1" applyBorder="1" applyAlignment="1" applyProtection="1">
      <alignment horizontal="left" vertical="center" wrapText="1" indent="1"/>
      <protection locked="0"/>
    </xf>
    <xf numFmtId="0" fontId="17" fillId="12" borderId="13" xfId="0" applyFont="1" applyFill="1" applyBorder="1" applyAlignment="1" applyProtection="1">
      <alignment horizontal="left" vertical="center" wrapText="1" indent="1"/>
      <protection locked="0"/>
    </xf>
    <xf numFmtId="0" fontId="17" fillId="12" borderId="14" xfId="0" applyFont="1" applyFill="1" applyBorder="1" applyAlignment="1" applyProtection="1">
      <alignment horizontal="left" vertical="center" wrapText="1" indent="1"/>
      <protection locked="0"/>
    </xf>
    <xf numFmtId="0" fontId="17" fillId="12" borderId="12" xfId="0" applyFont="1" applyFill="1" applyBorder="1" applyAlignment="1" applyProtection="1">
      <alignment horizontal="left" vertical="center" indent="1"/>
      <protection locked="0"/>
    </xf>
    <xf numFmtId="0" fontId="17" fillId="12" borderId="13" xfId="0" applyFont="1" applyFill="1" applyBorder="1" applyAlignment="1" applyProtection="1">
      <alignment horizontal="left" vertical="center" indent="1"/>
      <protection locked="0"/>
    </xf>
    <xf numFmtId="0" fontId="17" fillId="12" borderId="14" xfId="0" applyFont="1" applyFill="1" applyBorder="1" applyAlignment="1" applyProtection="1">
      <alignment horizontal="left" vertical="center" indent="1"/>
      <protection locked="0"/>
    </xf>
    <xf numFmtId="0" fontId="19" fillId="11" borderId="27" xfId="0" applyFont="1" applyFill="1" applyBorder="1" applyAlignment="1">
      <alignment horizontal="center" vertical="center" wrapText="1" readingOrder="1"/>
    </xf>
    <xf numFmtId="0" fontId="19" fillId="11" borderId="28" xfId="0" applyFont="1" applyFill="1" applyBorder="1" applyAlignment="1">
      <alignment horizontal="center" vertical="center" wrapText="1" readingOrder="1"/>
    </xf>
    <xf numFmtId="0" fontId="15" fillId="2" borderId="30" xfId="0" applyFont="1" applyFill="1" applyBorder="1" applyAlignment="1">
      <alignment horizontal="left" vertical="center" wrapText="1" indent="1" readingOrder="1"/>
    </xf>
    <xf numFmtId="0" fontId="15" fillId="2" borderId="29" xfId="0" applyFont="1" applyFill="1" applyBorder="1" applyAlignment="1">
      <alignment horizontal="left" vertical="center" wrapText="1" indent="1" readingOrder="1"/>
    </xf>
    <xf numFmtId="0" fontId="15" fillId="2" borderId="31" xfId="0" applyFont="1" applyFill="1" applyBorder="1" applyAlignment="1">
      <alignment horizontal="left" vertical="center" wrapText="1" indent="1" readingOrder="1"/>
    </xf>
    <xf numFmtId="0" fontId="15" fillId="2" borderId="15" xfId="0" applyFont="1" applyFill="1" applyBorder="1" applyAlignment="1">
      <alignment horizontal="left" vertical="center" wrapText="1" indent="1" readingOrder="1"/>
    </xf>
    <xf numFmtId="0" fontId="15" fillId="2" borderId="11" xfId="0" applyFont="1" applyFill="1" applyBorder="1" applyAlignment="1">
      <alignment horizontal="left" vertical="center" wrapText="1" indent="1" readingOrder="1"/>
    </xf>
    <xf numFmtId="0" fontId="15" fillId="2" borderId="33" xfId="0" applyFont="1" applyFill="1" applyBorder="1" applyAlignment="1">
      <alignment horizontal="left" vertical="center" wrapText="1" indent="1" readingOrder="1"/>
    </xf>
    <xf numFmtId="0" fontId="16" fillId="13" borderId="10" xfId="0" applyFont="1" applyFill="1" applyBorder="1" applyAlignment="1" applyProtection="1">
      <alignment horizontal="left" vertical="center" wrapText="1" indent="1" readingOrder="1"/>
      <protection locked="0"/>
    </xf>
    <xf numFmtId="0" fontId="15" fillId="2" borderId="10" xfId="0" applyFont="1" applyFill="1" applyBorder="1" applyAlignment="1">
      <alignment horizontal="left" vertical="center" wrapText="1" indent="1" readingOrder="1"/>
    </xf>
    <xf numFmtId="0" fontId="17" fillId="7" borderId="10" xfId="0" applyFont="1" applyFill="1" applyBorder="1" applyAlignment="1">
      <alignment horizontal="left" vertical="center" indent="1"/>
    </xf>
    <xf numFmtId="0" fontId="20" fillId="2" borderId="10" xfId="0" applyFont="1" applyFill="1" applyBorder="1" applyAlignment="1">
      <alignment horizontal="left" vertical="center" wrapText="1" indent="1" readingOrder="1"/>
    </xf>
    <xf numFmtId="169" fontId="13" fillId="10" borderId="10" xfId="1" applyNumberFormat="1" applyFont="1" applyFill="1" applyBorder="1" applyAlignment="1">
      <alignment horizontal="center" vertical="center"/>
    </xf>
    <xf numFmtId="0" fontId="21" fillId="3" borderId="0" xfId="0" applyFont="1" applyFill="1" applyAlignment="1">
      <alignment horizontal="center" vertical="center" wrapText="1" readingOrder="1"/>
    </xf>
    <xf numFmtId="0" fontId="22" fillId="7" borderId="10" xfId="0" applyFont="1" applyFill="1" applyBorder="1" applyAlignment="1">
      <alignment horizontal="center" vertical="center" wrapText="1" readingOrder="1"/>
    </xf>
    <xf numFmtId="166" fontId="13" fillId="10" borderId="10" xfId="1" applyNumberFormat="1" applyFont="1" applyFill="1" applyBorder="1" applyAlignment="1">
      <alignment horizontal="center" vertical="center"/>
    </xf>
    <xf numFmtId="167" fontId="15" fillId="2" borderId="23" xfId="0" applyNumberFormat="1" applyFont="1" applyFill="1" applyBorder="1" applyAlignment="1">
      <alignment horizontal="center" vertical="center" wrapText="1" readingOrder="1"/>
    </xf>
    <xf numFmtId="167" fontId="15" fillId="2" borderId="24" xfId="0" applyNumberFormat="1" applyFont="1" applyFill="1" applyBorder="1" applyAlignment="1">
      <alignment horizontal="center" vertical="center" wrapText="1" readingOrder="1"/>
    </xf>
    <xf numFmtId="167" fontId="15" fillId="2" borderId="25" xfId="0" applyNumberFormat="1" applyFont="1" applyFill="1" applyBorder="1" applyAlignment="1">
      <alignment horizontal="center" vertical="center" wrapText="1" readingOrder="1"/>
    </xf>
    <xf numFmtId="0" fontId="19" fillId="11" borderId="26" xfId="0" applyFont="1" applyFill="1" applyBorder="1" applyAlignment="1">
      <alignment horizontal="center" vertical="center" wrapText="1" readingOrder="1"/>
    </xf>
    <xf numFmtId="0" fontId="12" fillId="13" borderId="12" xfId="4" applyFill="1" applyBorder="1" applyAlignment="1" applyProtection="1">
      <alignment horizontal="left" vertical="center" indent="1"/>
      <protection locked="0"/>
    </xf>
    <xf numFmtId="0" fontId="6" fillId="0" borderId="5" xfId="0" applyFont="1" applyBorder="1" applyAlignment="1">
      <alignment vertical="center" wrapText="1" readingOrder="1"/>
    </xf>
    <xf numFmtId="0" fontId="6" fillId="0" borderId="6" xfId="0" applyFont="1" applyBorder="1" applyAlignment="1">
      <alignment vertical="center" wrapText="1" readingOrder="1"/>
    </xf>
    <xf numFmtId="0" fontId="6" fillId="0" borderId="7"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uest User" id="{6B22402B-9E52-48BE-868B-8CE626F97266}" userId="S::urn:spo:tenantanon#26df3fa1-ec2c-4a41-9ab0-1068f80a34d0::" providerId="AD"/>
  <person displayName="Maria Demopoulos" id="{87D8D7B2-137C-477C-BC3C-3D901F250E8F}" userId="S::maria.demopoulos@alarmbills.com::be8ffbd5-93b7-47e0-a173-a5de27fb68d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5">
  <autoFilter ref="B3:H8" xr:uid="{35406839-1AFA-42DD-8281-ADAA993B2AF7}"/>
  <sortState xmlns:xlrd2="http://schemas.microsoft.com/office/spreadsheetml/2017/richdata2" ref="B4:H8">
    <sortCondition ref="C3:C8"/>
  </sortState>
  <tableColumns count="7">
    <tableColumn id="1" xr3:uid="{20C2A0F0-3E92-4982-AB26-5C56C2912149}" name="Definition" dataDxfId="84"/>
    <tableColumn id="2" xr3:uid="{D5812158-3075-4D7E-B373-785C73B6D29E}" name="Value" dataDxfId="83"/>
    <tableColumn id="3" xr3:uid="{3B20F67B-DAD0-4959-9D2E-1B58CF2952C0}" name="Definition2" dataDxfId="82"/>
    <tableColumn id="4" xr3:uid="{BE61F64B-9260-42DD-9045-F03A822A0998}" name="Examples" dataDxfId="81"/>
    <tableColumn id="6" xr3:uid="{0D4F1E26-F1BA-44BB-942B-4DE3DE6499F5}" name="Assessment Criteria 2" dataDxfId="80"/>
    <tableColumn id="7" xr3:uid="{812876E9-CD08-4641-A3A7-931DA6FD7B33}" name="Assessment Criteria 3" dataDxfId="79"/>
    <tableColumn id="8" xr3:uid="{9444582A-9B58-420A-AD83-AD1EDB99051D}"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30" totalsRowShown="0">
  <autoFilter ref="J3:J30"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6-18T08:16:58.35" personId="{6B22402B-9E52-48BE-868B-8CE626F97266}" id="{EC24E358-F933-4658-8527-A0B4966D9683}">
    <text>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ext>
  </threadedComment>
  <threadedComment ref="A10" dT="2025-06-18T08:20:33.22" personId="{6B22402B-9E52-48BE-868B-8CE626F97266}" id="{549322D4-AB2B-4007-87CB-826516F16620}">
    <text>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text>
  </threadedComment>
  <threadedComment ref="A10" dT="2025-06-25T19:37:04.72" personId="{87D8D7B2-137C-477C-BC3C-3D901F250E8F}" id="{EF17A3A8-3050-4FBD-AF0E-851D992AD72D}" parentId="{549322D4-AB2B-4007-87CB-826516F16620}">
    <text>updated "3 - Developing" to include this suggestion.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jamie.collingwood@jonasfitnes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6"/>
  <sheetViews>
    <sheetView showGridLines="0" topLeftCell="A2" zoomScaleNormal="100" workbookViewId="0">
      <selection activeCell="M6" sqref="M6"/>
    </sheetView>
  </sheetViews>
  <sheetFormatPr defaultColWidth="9" defaultRowHeight="15"/>
  <cols>
    <col min="1" max="1" width="3.42578125" style="28" customWidth="1"/>
    <col min="2" max="2" width="6" style="28" customWidth="1"/>
    <col min="3" max="3" width="12.28515625" style="28" customWidth="1"/>
    <col min="4" max="4" width="34.5703125" style="28" customWidth="1"/>
    <col min="5" max="5" width="20.140625" style="28" bestFit="1" customWidth="1"/>
    <col min="6" max="6" width="25" style="28" customWidth="1"/>
    <col min="7" max="7" width="16.5703125" style="28" customWidth="1"/>
    <col min="8" max="8" width="9.5703125" style="28" customWidth="1"/>
    <col min="9" max="9" width="24" style="28" bestFit="1" customWidth="1"/>
    <col min="10" max="10" width="44.7109375" style="28" customWidth="1"/>
    <col min="11" max="11" width="16.85546875" style="28" customWidth="1"/>
    <col min="12" max="12" width="40.5703125" style="28" customWidth="1"/>
    <col min="13" max="13" width="12.140625" style="28" customWidth="1"/>
    <col min="14" max="18" width="11.140625" style="28" customWidth="1"/>
    <col min="19" max="16384" width="9" style="28"/>
  </cols>
  <sheetData>
    <row r="2" spans="2:18" ht="27.95" customHeight="1">
      <c r="B2" s="91" t="s">
        <v>636</v>
      </c>
      <c r="C2" s="92"/>
      <c r="D2" s="93"/>
    </row>
    <row r="3" spans="2:18" ht="15.75" thickBot="1"/>
    <row r="4" spans="2:18" ht="38.25" customHeight="1" thickBot="1">
      <c r="B4" s="55" t="s">
        <v>233</v>
      </c>
      <c r="C4" s="55" t="s">
        <v>273</v>
      </c>
      <c r="D4" s="55" t="s">
        <v>272</v>
      </c>
      <c r="E4" s="55" t="s">
        <v>274</v>
      </c>
      <c r="F4" s="55" t="s">
        <v>234</v>
      </c>
      <c r="G4" s="55" t="s">
        <v>236</v>
      </c>
      <c r="H4" s="55" t="s">
        <v>145</v>
      </c>
      <c r="I4" s="55" t="s">
        <v>146</v>
      </c>
      <c r="J4" s="55" t="s">
        <v>0</v>
      </c>
      <c r="K4" s="55" t="s">
        <v>275</v>
      </c>
      <c r="L4" s="55" t="s">
        <v>143</v>
      </c>
      <c r="M4" s="55" t="s">
        <v>240</v>
      </c>
      <c r="N4" s="55" t="s">
        <v>237</v>
      </c>
      <c r="O4" s="55" t="s">
        <v>238</v>
      </c>
      <c r="P4" s="55" t="s">
        <v>155</v>
      </c>
      <c r="Q4" s="55" t="s">
        <v>239</v>
      </c>
      <c r="R4" s="55" t="s">
        <v>154</v>
      </c>
    </row>
    <row r="5" spans="2:18" s="39" customFormat="1" ht="42.75" thickBot="1">
      <c r="B5" s="79" t="s">
        <v>287</v>
      </c>
      <c r="C5" s="80" t="str">
        <f>IF(F5="","","PYXiS")</f>
        <v>PYXiS</v>
      </c>
      <c r="D5" s="80" t="str">
        <f>IF(F5="","",'P1'!$C$17)</f>
        <v>jamie.collingwood@pyxissoftware.com</v>
      </c>
      <c r="E5" s="80" t="str">
        <f>IF(D5="","",B$2)</f>
        <v>Business Name Here</v>
      </c>
      <c r="F5" s="81" t="str">
        <f>IF('P1'!$F$3="","",'P1'!$F$3)</f>
        <v>Advanced Email Campaigns</v>
      </c>
      <c r="G5" s="81" t="str">
        <f ca="1">IF(F5="","",'P1'!$AO$5)</f>
        <v>Dev</v>
      </c>
      <c r="H5" s="81" t="str">
        <f ca="1">IF(F5="","",'P1'!$AO$4)</f>
        <v>Live</v>
      </c>
      <c r="I5" s="81" t="str">
        <f>'P1'!$F$8</f>
        <v>Complex Tool</v>
      </c>
      <c r="J5" s="81" t="str">
        <f>'P1'!$F$5</f>
        <v>hyperpersonalized email campaigns</v>
      </c>
      <c r="K5" s="81" t="str">
        <f>'P1'!$AC$7</f>
        <v>Maintenance</v>
      </c>
      <c r="L5" s="81" t="str">
        <f>'P1'!$G$13</f>
        <v>Revenue Growth from AI-enhanced products</v>
      </c>
      <c r="M5" s="82">
        <f>'P1'!$BE$33*1000</f>
        <v>250000</v>
      </c>
      <c r="N5" s="82">
        <f ca="1">'P1'!$E$48*1000</f>
        <v>0</v>
      </c>
      <c r="O5" s="83">
        <f>'P1'!$AV$3</f>
        <v>25</v>
      </c>
      <c r="P5" s="83">
        <f ca="1">'P1'!$AV$4</f>
        <v>1</v>
      </c>
      <c r="Q5" s="83">
        <f ca="1">'P1'!$AV$5</f>
        <v>1.2</v>
      </c>
      <c r="R5" s="83">
        <f ca="1">O5*P5*Q5</f>
        <v>30</v>
      </c>
    </row>
    <row r="6" spans="2:18" s="39" customFormat="1" ht="16.5" thickTop="1" thickBot="1">
      <c r="B6" s="84">
        <v>1</v>
      </c>
      <c r="C6" s="85" t="str">
        <f>IF(F6="","","PYXiS")</f>
        <v/>
      </c>
      <c r="D6" s="85" t="str">
        <f>IF(F6="","",Sample!$C$17)</f>
        <v/>
      </c>
      <c r="E6" s="85" t="str">
        <f>IF(F6="","",B$2)</f>
        <v/>
      </c>
      <c r="F6" s="86" t="str">
        <f>IF(Sample!$F$3="","",Sample!$F$3)</f>
        <v/>
      </c>
      <c r="G6" s="86" t="str">
        <f>IF(F6="","",Sample!$AO$5)</f>
        <v/>
      </c>
      <c r="H6" s="86" t="str">
        <f>IF(F6="","",Sample!$AO$4)</f>
        <v/>
      </c>
      <c r="I6" s="86" t="str">
        <f>IF(F6="","",Sample!$F$8)</f>
        <v/>
      </c>
      <c r="J6" s="86" t="str">
        <f>IF(F6="","",Sample!$F$5)</f>
        <v/>
      </c>
      <c r="K6" s="86" t="str">
        <f>IF(F6="","",Sample!$AC$7)</f>
        <v/>
      </c>
      <c r="L6" s="86" t="str">
        <f>IF(F6="","",Sample!$G$13)</f>
        <v/>
      </c>
      <c r="M6" s="87">
        <f>Sample!$BE$33*1000</f>
        <v>0</v>
      </c>
      <c r="N6" s="87">
        <f ca="1">Sample!$E$48*1000</f>
        <v>0</v>
      </c>
      <c r="O6" s="88">
        <f>Sample!$AV$3</f>
        <v>10</v>
      </c>
      <c r="P6" s="88">
        <f ca="1">Sample!$AV$4</f>
        <v>0</v>
      </c>
      <c r="Q6" s="88">
        <f ca="1">Sample!$AV$5</f>
        <v>0</v>
      </c>
      <c r="R6" s="89">
        <f ca="1">O6*P6*Q6</f>
        <v>0</v>
      </c>
    </row>
    <row r="7" spans="2:18" s="39" customFormat="1" ht="15.75" thickBot="1">
      <c r="B7" s="75">
        <v>2</v>
      </c>
      <c r="C7" s="56" t="str">
        <f t="shared" ref="C7:C15" si="0">IF(F7="","","PYXiS")</f>
        <v/>
      </c>
      <c r="D7" s="56" t="str">
        <f>IF(F7="","",'P2'!$C$17)</f>
        <v/>
      </c>
      <c r="E7" s="56" t="str">
        <f t="shared" ref="E7:E15" si="1">IF(F7="","",B$2)</f>
        <v/>
      </c>
      <c r="F7" s="57" t="str">
        <f>IF('P2'!$F$3="","",'P2'!$F$3)</f>
        <v/>
      </c>
      <c r="G7" s="57" t="str">
        <f>IF(F7="","",'P2'!$AO$5)</f>
        <v/>
      </c>
      <c r="H7" s="57" t="str">
        <f>IF(F7="","",'P2'!$AO$4)</f>
        <v/>
      </c>
      <c r="I7" s="57" t="str">
        <f>IF(F7="","",'P2'!$F$8)</f>
        <v/>
      </c>
      <c r="J7" s="57" t="str">
        <f>IF(F7="","",'P2'!$F$5)</f>
        <v/>
      </c>
      <c r="K7" s="57" t="str">
        <f>IF(F7="","",'P2'!$AC$7)</f>
        <v/>
      </c>
      <c r="L7" s="57" t="str">
        <f>IF(F7="","",'P2'!$G$13)</f>
        <v/>
      </c>
      <c r="M7" s="61">
        <f>'P2'!$BE$33*1000</f>
        <v>0</v>
      </c>
      <c r="N7" s="61">
        <f ca="1">'P2'!$E$48*1000</f>
        <v>0</v>
      </c>
      <c r="O7" s="58">
        <f>'P2'!$AV$3</f>
        <v>0</v>
      </c>
      <c r="P7" s="58">
        <f ca="1">'P2'!$AV$4</f>
        <v>0</v>
      </c>
      <c r="Q7" s="58">
        <f ca="1">'P2'!$AV$5</f>
        <v>0</v>
      </c>
      <c r="R7" s="90">
        <f t="shared" ref="R7:R9" ca="1" si="2">O7*P7*Q7</f>
        <v>0</v>
      </c>
    </row>
    <row r="8" spans="2:18" s="39" customFormat="1" ht="15.75" thickBot="1">
      <c r="B8" s="75">
        <v>3</v>
      </c>
      <c r="C8" s="56" t="str">
        <f t="shared" si="0"/>
        <v/>
      </c>
      <c r="D8" s="56" t="str">
        <f>IF(F8="","",'P3'!$C$17)</f>
        <v/>
      </c>
      <c r="E8" s="56" t="str">
        <f t="shared" si="1"/>
        <v/>
      </c>
      <c r="F8" s="57" t="str">
        <f>IF('P3'!$F$3="","",'P3'!$F$3)</f>
        <v/>
      </c>
      <c r="G8" s="57" t="str">
        <f>IF(F8="","",'P3'!$AO$5)</f>
        <v/>
      </c>
      <c r="H8" s="57" t="str">
        <f>IF(F8="","",'P3'!$AO$4)</f>
        <v/>
      </c>
      <c r="I8" s="57" t="str">
        <f>IF(F8="","",'P3'!$F$8)</f>
        <v/>
      </c>
      <c r="J8" s="57" t="str">
        <f>IF(F8="","",'P3'!$F$5)</f>
        <v/>
      </c>
      <c r="K8" s="57" t="str">
        <f>IF(F8="","",'P3'!$AC$7)</f>
        <v/>
      </c>
      <c r="L8" s="57" t="str">
        <f>IF(F8="","",'P3'!$G$13)</f>
        <v/>
      </c>
      <c r="M8" s="61">
        <f>'P3'!$BE$33*1000</f>
        <v>0</v>
      </c>
      <c r="N8" s="61">
        <f ca="1">'P3'!$E$48*1000</f>
        <v>0</v>
      </c>
      <c r="O8" s="58">
        <f>'P3'!$AV$3</f>
        <v>0</v>
      </c>
      <c r="P8" s="58">
        <f ca="1">'P3'!$AV$4</f>
        <v>0</v>
      </c>
      <c r="Q8" s="58">
        <f ca="1">'P3'!$AV$5</f>
        <v>0</v>
      </c>
      <c r="R8" s="90">
        <f t="shared" ca="1" si="2"/>
        <v>0</v>
      </c>
    </row>
    <row r="9" spans="2:18" s="39" customFormat="1" ht="15.75" thickBot="1">
      <c r="B9" s="75">
        <v>4</v>
      </c>
      <c r="C9" s="56" t="str">
        <f t="shared" si="0"/>
        <v/>
      </c>
      <c r="D9" s="56" t="str">
        <f>IF(F9="","",'P4'!$C$17)</f>
        <v/>
      </c>
      <c r="E9" s="56" t="str">
        <f t="shared" si="1"/>
        <v/>
      </c>
      <c r="F9" s="57" t="str">
        <f>IF('P4'!$F$3="","",'P4'!$F$3)</f>
        <v/>
      </c>
      <c r="G9" s="57" t="str">
        <f>IF(F9="","",'P4'!$AO$5)</f>
        <v/>
      </c>
      <c r="H9" s="57" t="str">
        <f>IF(F9="","",'P4'!$AO$4)</f>
        <v/>
      </c>
      <c r="I9" s="57" t="str">
        <f>IF(F9="","",'P4'!$F$8)</f>
        <v/>
      </c>
      <c r="J9" s="57" t="str">
        <f>IF(F9="","",'P4'!$F$5)</f>
        <v/>
      </c>
      <c r="K9" s="57" t="str">
        <f>IF(F9="","",'P4'!$AC$7)</f>
        <v/>
      </c>
      <c r="L9" s="57" t="str">
        <f>IF(F9="","",'P4'!$G$13)</f>
        <v/>
      </c>
      <c r="M9" s="61">
        <f>'P4'!$BE$33*1000</f>
        <v>0</v>
      </c>
      <c r="N9" s="61">
        <f ca="1">'P4'!$E$48*1000</f>
        <v>0</v>
      </c>
      <c r="O9" s="58">
        <f>'P4'!$AV$3</f>
        <v>0</v>
      </c>
      <c r="P9" s="58">
        <f ca="1">'P4'!$AV$4</f>
        <v>0</v>
      </c>
      <c r="Q9" s="58">
        <f ca="1">'P4'!$AV$5</f>
        <v>0</v>
      </c>
      <c r="R9" s="90">
        <f t="shared" ca="1" si="2"/>
        <v>0</v>
      </c>
    </row>
    <row r="10" spans="2:18" s="39" customFormat="1" ht="15.75" thickBot="1">
      <c r="B10" s="75">
        <v>5</v>
      </c>
      <c r="C10" s="56" t="str">
        <f t="shared" si="0"/>
        <v/>
      </c>
      <c r="D10" s="56" t="str">
        <f>IF(F10="","",[1]P5!$C$17)</f>
        <v/>
      </c>
      <c r="E10" s="56" t="str">
        <f t="shared" si="1"/>
        <v/>
      </c>
      <c r="F10" s="57" t="str">
        <f>IF('P5'!$F$3="","",'P5'!$F$3)</f>
        <v/>
      </c>
      <c r="G10" s="57" t="str">
        <f>IF(F10="","",'P5'!$AO$5)</f>
        <v/>
      </c>
      <c r="H10" s="57" t="str">
        <f>IF(F10="","",'P5'!$AO$4)</f>
        <v/>
      </c>
      <c r="I10" s="57" t="str">
        <f>IF(F10="","",'P5'!$F$8)</f>
        <v/>
      </c>
      <c r="J10" s="57" t="str">
        <f>IF(F10="","",'P5'!$F$5)</f>
        <v/>
      </c>
      <c r="K10" s="57" t="str">
        <f>IF(F10="","",'P5'!$AC$7)</f>
        <v/>
      </c>
      <c r="L10" s="57" t="str">
        <f>IF(F10="","",'P5'!$G$13)</f>
        <v/>
      </c>
      <c r="M10" s="61">
        <f>'P5'!$BE$33*1000</f>
        <v>0</v>
      </c>
      <c r="N10" s="61">
        <f ca="1">'P5'!$E$48*1000</f>
        <v>0</v>
      </c>
      <c r="O10" s="58">
        <f>'P5'!$AV$3</f>
        <v>0</v>
      </c>
      <c r="P10" s="58">
        <f ca="1">'P5'!$AV$4</f>
        <v>0</v>
      </c>
      <c r="Q10" s="58">
        <f ca="1">'P5'!$AV$5</f>
        <v>0</v>
      </c>
      <c r="R10" s="90">
        <f ca="1">O10*P50*Q10</f>
        <v>0</v>
      </c>
    </row>
    <row r="11" spans="2:18" s="39" customFormat="1" ht="15.75" thickBot="1">
      <c r="B11" s="75">
        <v>6</v>
      </c>
      <c r="C11" s="56" t="str">
        <f t="shared" si="0"/>
        <v/>
      </c>
      <c r="D11" s="56" t="str">
        <f>IF(F11="","",'P6'!$C$17)</f>
        <v/>
      </c>
      <c r="E11" s="56" t="str">
        <f t="shared" si="1"/>
        <v/>
      </c>
      <c r="F11" s="57" t="str">
        <f>IF('P6'!$F$3="","",'P6'!$F$3)</f>
        <v/>
      </c>
      <c r="G11" s="57" t="str">
        <f>IF(F11="","",'P6'!$AO$5)</f>
        <v/>
      </c>
      <c r="H11" s="57" t="str">
        <f>IF(F11="","",'P6'!$AO$4)</f>
        <v/>
      </c>
      <c r="I11" s="57" t="str">
        <f>IF(F11="","",'P6'!$F$8)</f>
        <v/>
      </c>
      <c r="J11" s="57" t="str">
        <f>IF(F11="","",'P6'!$F$5)</f>
        <v/>
      </c>
      <c r="K11" s="57" t="str">
        <f>IF(F11="","",'P6'!$AC$7)</f>
        <v/>
      </c>
      <c r="L11" s="57" t="str">
        <f>IF(F11="","",'P6'!$G$13)</f>
        <v/>
      </c>
      <c r="M11" s="61">
        <f>'P6'!$BE$33*1000</f>
        <v>0</v>
      </c>
      <c r="N11" s="61">
        <f ca="1">'P6'!$E$48*1000</f>
        <v>0</v>
      </c>
      <c r="O11" s="58">
        <f>'P6'!$AV$3</f>
        <v>0</v>
      </c>
      <c r="P11" s="58">
        <f ca="1">'P6'!$AV$4</f>
        <v>0</v>
      </c>
      <c r="Q11" s="58">
        <f ca="1">'P6'!$AV$5</f>
        <v>0</v>
      </c>
      <c r="R11" s="90">
        <f ca="1">O11*P61*Q11</f>
        <v>0</v>
      </c>
    </row>
    <row r="12" spans="2:18" s="39" customFormat="1" ht="15.75" thickBot="1">
      <c r="B12" s="75">
        <v>7</v>
      </c>
      <c r="C12" s="56" t="str">
        <f t="shared" si="0"/>
        <v/>
      </c>
      <c r="D12" s="56" t="str">
        <f>IF(F12="","",'P7'!$C$17)</f>
        <v/>
      </c>
      <c r="E12" s="56" t="str">
        <f t="shared" si="1"/>
        <v/>
      </c>
      <c r="F12" s="57" t="str">
        <f>IF('P7'!$F$3="","",'P7'!$F$3)</f>
        <v/>
      </c>
      <c r="G12" s="57" t="str">
        <f>IF(F12="","",'P7'!$AO$5)</f>
        <v/>
      </c>
      <c r="H12" s="57" t="str">
        <f>IF(F12="","",'P7'!$AO$4)</f>
        <v/>
      </c>
      <c r="I12" s="57" t="str">
        <f>IF(F12="","",'P7'!$F$8)</f>
        <v/>
      </c>
      <c r="J12" s="57" t="str">
        <f>IF(F12="","",'P7'!$F$5)</f>
        <v/>
      </c>
      <c r="K12" s="57" t="str">
        <f>IF(F12="","",'P7'!$AC$7)</f>
        <v/>
      </c>
      <c r="L12" s="57" t="str">
        <f>IF(F12="","",'P7'!$G$13)</f>
        <v/>
      </c>
      <c r="M12" s="61">
        <f>'P7'!$BE$33*1000</f>
        <v>0</v>
      </c>
      <c r="N12" s="61">
        <f ca="1">'P7'!$E$48*1000</f>
        <v>0</v>
      </c>
      <c r="O12" s="58">
        <f>'P7'!$AV$3</f>
        <v>0</v>
      </c>
      <c r="P12" s="58">
        <f ca="1">'P7'!$AV$4</f>
        <v>0</v>
      </c>
      <c r="Q12" s="58">
        <f ca="1">'P7'!$AV$5</f>
        <v>0</v>
      </c>
      <c r="R12" s="90">
        <f ca="1">O12*P72*Q12</f>
        <v>0</v>
      </c>
    </row>
    <row r="13" spans="2:18" s="39" customFormat="1" ht="15.75" thickBot="1">
      <c r="B13" s="75">
        <v>8</v>
      </c>
      <c r="C13" s="56" t="str">
        <f t="shared" si="0"/>
        <v/>
      </c>
      <c r="D13" s="56" t="str">
        <f>IF(F13="","",'P8'!$C$17)</f>
        <v/>
      </c>
      <c r="E13" s="56" t="str">
        <f t="shared" si="1"/>
        <v/>
      </c>
      <c r="F13" s="57" t="str">
        <f>IF('P8'!$F$3="","",'P8'!$F$3)</f>
        <v/>
      </c>
      <c r="G13" s="57" t="str">
        <f>IF(F13="","",'P8'!$AO$5)</f>
        <v/>
      </c>
      <c r="H13" s="57" t="str">
        <f>IF(F13="","",'P8'!$AO$4)</f>
        <v/>
      </c>
      <c r="I13" s="57" t="str">
        <f>IF(F13="","",'P8'!$F$8)</f>
        <v/>
      </c>
      <c r="J13" s="57" t="str">
        <f>IF(F13="","",'P8'!$F$5)</f>
        <v/>
      </c>
      <c r="K13" s="57" t="str">
        <f>IF(F13="","",'P8'!$AC$7)</f>
        <v/>
      </c>
      <c r="L13" s="57" t="str">
        <f>IF(F13="","",'P8'!$G$13)</f>
        <v/>
      </c>
      <c r="M13" s="61">
        <f>'P8'!$BE$33*1000</f>
        <v>0</v>
      </c>
      <c r="N13" s="61">
        <f ca="1">'P8'!$E$48*1000</f>
        <v>0</v>
      </c>
      <c r="O13" s="58">
        <f>'P8'!$AV$3</f>
        <v>0</v>
      </c>
      <c r="P13" s="58">
        <f ca="1">'P8'!$AV$4</f>
        <v>0</v>
      </c>
      <c r="Q13" s="58">
        <f ca="1">'P8'!$AV$5</f>
        <v>0</v>
      </c>
      <c r="R13" s="90">
        <f ca="1">O13*P83*Q13</f>
        <v>0</v>
      </c>
    </row>
    <row r="14" spans="2:18" s="39" customFormat="1" ht="15.75" thickBot="1">
      <c r="B14" s="75">
        <v>9</v>
      </c>
      <c r="C14" s="56" t="str">
        <f t="shared" si="0"/>
        <v/>
      </c>
      <c r="D14" s="56" t="str">
        <f>IF(F14="","",'P9'!$C$17)</f>
        <v/>
      </c>
      <c r="E14" s="56" t="str">
        <f t="shared" si="1"/>
        <v/>
      </c>
      <c r="F14" s="57" t="str">
        <f>IF('P9'!$F$3="","",'P9'!$F$3)</f>
        <v/>
      </c>
      <c r="G14" s="57" t="str">
        <f>IF(F14="","",'P9'!$AO$5)</f>
        <v/>
      </c>
      <c r="H14" s="57" t="str">
        <f>IF(F14="","",'P9'!$AO$4)</f>
        <v/>
      </c>
      <c r="I14" s="57" t="str">
        <f>IF(F14="","",'P9'!$F$8)</f>
        <v/>
      </c>
      <c r="J14" s="57" t="str">
        <f>IF(F14="","",'P9'!$F$5)</f>
        <v/>
      </c>
      <c r="K14" s="57" t="str">
        <f>IF(F14="","",'P9'!$AC$7)</f>
        <v/>
      </c>
      <c r="L14" s="57" t="str">
        <f>IF(F14="","",'P9'!$G$13)</f>
        <v/>
      </c>
      <c r="M14" s="61">
        <f>'P9'!$BE$33*1000</f>
        <v>0</v>
      </c>
      <c r="N14" s="61">
        <f ca="1">'P9'!$E$48*1000</f>
        <v>0</v>
      </c>
      <c r="O14" s="58">
        <f>'P9'!$AV$3</f>
        <v>0</v>
      </c>
      <c r="P14" s="58">
        <f ca="1">'P9'!$AV$4</f>
        <v>0</v>
      </c>
      <c r="Q14" s="58">
        <f ca="1">'P9'!$AV$5</f>
        <v>0</v>
      </c>
      <c r="R14" s="90">
        <f ca="1">O14*P94*Q14</f>
        <v>0</v>
      </c>
    </row>
    <row r="15" spans="2:18" s="39" customFormat="1" ht="15.75" thickBot="1">
      <c r="B15" s="76">
        <v>10</v>
      </c>
      <c r="C15" s="77" t="str">
        <f t="shared" si="0"/>
        <v/>
      </c>
      <c r="D15" s="77" t="str">
        <f>IF(F15="","",'P10'!$C$17)</f>
        <v/>
      </c>
      <c r="E15" s="77" t="str">
        <f t="shared" si="1"/>
        <v/>
      </c>
      <c r="F15" s="78" t="str">
        <f>IF('P10'!$F$3="","",'P10'!$F$3)</f>
        <v/>
      </c>
      <c r="G15" s="78" t="str">
        <f>IF(F15="","",'P10'!$AO$5)</f>
        <v/>
      </c>
      <c r="H15" s="78" t="str">
        <f>IF(F15="","",'P10'!$AO$4)</f>
        <v/>
      </c>
      <c r="I15" s="78" t="str">
        <f>IF(F15="","",'P10'!$F$8)</f>
        <v/>
      </c>
      <c r="J15" s="78" t="str">
        <f>IF(F15="","",'P10'!$F$5)</f>
        <v/>
      </c>
      <c r="K15" s="78" t="str">
        <f>IF(F15="","",'P10'!$AC$7)</f>
        <v/>
      </c>
      <c r="L15" s="57" t="str">
        <f>IF(F15="","",'P10'!$G$13)</f>
        <v/>
      </c>
      <c r="M15" s="61">
        <f>'P10'!$BE$33*1000</f>
        <v>0</v>
      </c>
      <c r="N15" s="61">
        <f ca="1">'P10'!$E$48*1000</f>
        <v>0</v>
      </c>
      <c r="O15" s="58">
        <f>'P10'!$AV$3</f>
        <v>0</v>
      </c>
      <c r="P15" s="58">
        <f ca="1">'P10'!$AV$4</f>
        <v>0</v>
      </c>
      <c r="Q15" s="58">
        <f ca="1">'P10'!$AV$5</f>
        <v>0</v>
      </c>
      <c r="R15" s="90">
        <f ca="1">O15*P105*Q15</f>
        <v>0</v>
      </c>
    </row>
    <row r="16" spans="2:18" s="39" customFormat="1" ht="28.5" customHeight="1" thickTop="1" thickBot="1">
      <c r="B16"/>
      <c r="C16"/>
      <c r="D16"/>
      <c r="E16"/>
      <c r="F16"/>
      <c r="G16"/>
      <c r="H16"/>
      <c r="I16"/>
      <c r="J16"/>
      <c r="K16"/>
      <c r="L16" s="72" t="s">
        <v>637</v>
      </c>
      <c r="M16" s="73">
        <f>SUM(M6:M15)</f>
        <v>0</v>
      </c>
      <c r="N16" s="73">
        <f ca="1">SUM(N6:N15)</f>
        <v>0</v>
      </c>
      <c r="O16" s="94" t="s">
        <v>638</v>
      </c>
      <c r="P16" s="95"/>
      <c r="Q16" s="96"/>
      <c r="R16" s="74">
        <f ca="1">SUM(R6:R15)</f>
        <v>0</v>
      </c>
    </row>
    <row r="17" spans="2:11" ht="15.75" thickTop="1">
      <c r="B17"/>
      <c r="C17"/>
      <c r="D17"/>
      <c r="E17"/>
      <c r="F17"/>
      <c r="G17"/>
      <c r="H17"/>
      <c r="I17"/>
      <c r="J17"/>
      <c r="K17"/>
    </row>
    <row r="18" spans="2:11">
      <c r="B18"/>
      <c r="C18"/>
      <c r="D18"/>
      <c r="E18"/>
      <c r="F18"/>
      <c r="G18"/>
      <c r="H18"/>
      <c r="I18"/>
      <c r="J18"/>
      <c r="K18"/>
    </row>
    <row r="19" spans="2:11">
      <c r="B19"/>
      <c r="C19"/>
      <c r="D19"/>
      <c r="E19"/>
      <c r="F19"/>
      <c r="G19"/>
      <c r="H19"/>
      <c r="I19"/>
      <c r="J19"/>
      <c r="K19"/>
    </row>
    <row r="20" spans="2:11">
      <c r="C20"/>
      <c r="D20"/>
      <c r="E20"/>
    </row>
    <row r="21" spans="2:11">
      <c r="C21"/>
      <c r="D21"/>
      <c r="E21"/>
    </row>
    <row r="22" spans="2:11">
      <c r="C22"/>
      <c r="D22"/>
      <c r="E22"/>
    </row>
    <row r="23" spans="2:11">
      <c r="C23"/>
      <c r="D23"/>
      <c r="E23"/>
    </row>
    <row r="24" spans="2:11">
      <c r="C24"/>
      <c r="D24"/>
      <c r="E24"/>
    </row>
    <row r="25" spans="2:11">
      <c r="C25"/>
      <c r="D25"/>
      <c r="E25"/>
    </row>
    <row r="26" spans="2:11">
      <c r="C26"/>
      <c r="D26"/>
      <c r="E26"/>
    </row>
  </sheetData>
  <sheetProtection formatColumns="0" formatRows="0"/>
  <mergeCells count="2">
    <mergeCell ref="B2:D2"/>
    <mergeCell ref="O16:Q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48"/>
  <sheetViews>
    <sheetView showGridLines="0" zoomScale="90" zoomScaleNormal="90" workbookViewId="0">
      <pane xSplit="5" ySplit="7" topLeftCell="F9" activePane="bottomRight" state="frozen"/>
      <selection activeCell="AY10" sqref="AV10:BA10"/>
      <selection pane="topRight" activeCell="AY10" sqref="AV10:BA10"/>
      <selection pane="bottomLeft" activeCell="AY10" sqref="AV10:BA10"/>
      <selection pane="bottomRight" activeCell="F3" sqref="F3:AE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Simple Tool</v>
      </c>
      <c r="AP3" s="178"/>
      <c r="AQ3" s="178"/>
      <c r="AR3" s="178"/>
      <c r="AS3" s="178"/>
      <c r="AT3" s="178"/>
      <c r="AU3" s="178"/>
      <c r="AV3" s="183">
        <f>IF(F7="",0,VLOOKUP(F7,Lookups!B12:H16,3))</f>
        <v>10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t="s">
        <v>181</v>
      </c>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Simple Tool</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xml:space="preserve">ChatGPT for content, Co-Pilot for drafting emails, AI meeting sunnaries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Adoption Rate</v>
      </c>
      <c r="G12" s="153"/>
      <c r="H12" s="153"/>
      <c r="I12" s="153"/>
      <c r="J12" s="153"/>
      <c r="K12" s="153"/>
      <c r="L12" s="153"/>
      <c r="M12" s="154"/>
      <c r="O12" s="152" t="str">
        <f>IF(F7="","",VLOOKUP(F7,Lookups!B12:H16,6))</f>
        <v>Productivity Gains</v>
      </c>
      <c r="P12" s="153"/>
      <c r="Q12" s="153"/>
      <c r="R12" s="153"/>
      <c r="S12" s="153"/>
      <c r="T12" s="153"/>
      <c r="U12" s="153"/>
      <c r="V12" s="154"/>
      <c r="X12" s="152" t="str">
        <f>IF(F7="","",VLOOKUP(F7,Lookups!B12:H16,7))</f>
        <v>Cost Savings</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90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Employee Productivity Gains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76" priority="1" operator="equal">
      <formula>"No Change"</formula>
    </cfRule>
    <cfRule type="cellIs" dxfId="75" priority="2" operator="equal">
      <formula>"Progression"</formula>
    </cfRule>
  </conditionalFormatting>
  <conditionalFormatting sqref="BB10:BB21">
    <cfRule type="expression" dxfId="74" priority="3">
      <formula>IFERROR(FIND("Ahead",BB10),0)&gt;0</formula>
    </cfRule>
    <cfRule type="expression" dxfId="73" priority="4">
      <formula>IFERROR(FIND("Overdue",BB10),0)&gt;0</formula>
    </cfRule>
    <cfRule type="cellIs" dxfId="72" priority="5" operator="equal">
      <formula>"Met Target"</formula>
    </cfRule>
    <cfRule type="cellIs" dxfId="71" priority="6" operator="equal">
      <formula>"Missing Target"</formula>
    </cfRule>
    <cfRule type="expression" dxfId="7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3CC28D0F-8150-4E24-A222-64FE02FF50E0}">
          <x14:formula1>
            <xm:f>Lookups!$B$4:$B$8</xm:f>
          </x14:formula1>
          <xm:sqref>F7</xm:sqref>
        </x14:dataValidation>
        <x14:dataValidation type="list" allowBlank="1" showInputMessage="1" showErrorMessage="1" xr:uid="{D2C4ED31-DFC3-49AA-BBC6-46093DEFDFEA}">
          <x14:formula1>
            <xm:f>Lookups!$J$4:$J$29</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pageSetUpPr fitToPage="1"/>
  </sheetPr>
  <dimension ref="B2:BS48"/>
  <sheetViews>
    <sheetView showGridLines="0" tabSelected="1" zoomScale="70" zoomScaleNormal="70" workbookViewId="0">
      <pane xSplit="5" ySplit="7" topLeftCell="S8" activePane="bottomRight" state="frozen"/>
      <selection activeCell="AY10" sqref="AV10:BA10"/>
      <selection pane="topRight" activeCell="AY10" sqref="AV10:BA10"/>
      <selection pane="bottomLeft" activeCell="AY10" sqref="AV10:BA10"/>
      <selection pane="bottomRight" activeCell="AY14" sqref="AY14:BA1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t="s">
        <v>641</v>
      </c>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Complex Tool</v>
      </c>
      <c r="AP3" s="178"/>
      <c r="AQ3" s="178"/>
      <c r="AR3" s="178"/>
      <c r="AS3" s="178"/>
      <c r="AT3" s="178"/>
      <c r="AU3" s="178"/>
      <c r="AV3" s="183">
        <f>IF(F7="",0,VLOOKUP(F7,Lookups!B12:H16,3))</f>
        <v>25</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Live</v>
      </c>
      <c r="AP4" s="178"/>
      <c r="AQ4" s="178"/>
      <c r="AR4" s="178"/>
      <c r="AS4" s="178"/>
      <c r="AT4" s="178"/>
      <c r="AU4" s="178"/>
      <c r="AV4" s="180">
        <f ca="1">VLOOKUP(AO4,Lookups!L4:M8,2)</f>
        <v>1</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t="s">
        <v>642</v>
      </c>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Dev</v>
      </c>
      <c r="AP5" s="178"/>
      <c r="AQ5" s="179" t="str">
        <f ca="1">IF(AV5=1,"No Change","Progression")</f>
        <v>Progression</v>
      </c>
      <c r="AR5" s="179"/>
      <c r="AS5" s="179"/>
      <c r="AT5" s="179"/>
      <c r="AU5" s="179"/>
      <c r="AV5" s="180">
        <f ca="1">IF(AO5=AO4,1,1.2)</f>
        <v>1.2</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30</v>
      </c>
      <c r="AW6" s="161"/>
      <c r="AX6" s="161"/>
      <c r="AY6" s="34"/>
      <c r="AZ6" s="34"/>
      <c r="BA6" s="34"/>
      <c r="BB6" s="34"/>
      <c r="BC6" s="34"/>
      <c r="BD6" s="34"/>
      <c r="BH6" s="29"/>
      <c r="BI6" s="33"/>
      <c r="BJ6" s="33"/>
      <c r="BK6" s="33"/>
    </row>
    <row r="7" spans="2:63" ht="28.5" customHeight="1" thickBot="1">
      <c r="B7" s="157" t="s">
        <v>185</v>
      </c>
      <c r="C7" s="158"/>
      <c r="D7" s="158"/>
      <c r="E7" s="159"/>
      <c r="F7" s="162" t="s">
        <v>246</v>
      </c>
      <c r="G7" s="163"/>
      <c r="H7" s="163"/>
      <c r="I7" s="163"/>
      <c r="J7" s="163"/>
      <c r="K7" s="163"/>
      <c r="L7" s="163"/>
      <c r="M7" s="163"/>
      <c r="N7" s="163"/>
      <c r="O7" s="163"/>
      <c r="P7" s="163"/>
      <c r="Q7" s="163"/>
      <c r="R7" s="163"/>
      <c r="S7" s="163"/>
      <c r="T7" s="163"/>
      <c r="U7" s="163"/>
      <c r="V7" s="163"/>
      <c r="W7" s="163"/>
      <c r="X7" s="164"/>
      <c r="Y7" s="157" t="s">
        <v>275</v>
      </c>
      <c r="Z7" s="158"/>
      <c r="AA7" s="158"/>
      <c r="AB7" s="159"/>
      <c r="AC7" s="165" t="s">
        <v>277</v>
      </c>
      <c r="AD7" s="166"/>
      <c r="AE7" s="167"/>
      <c r="BH7" s="29"/>
      <c r="BI7" s="29"/>
      <c r="BJ7" s="33"/>
      <c r="BK7" s="33"/>
    </row>
    <row r="8" spans="2:63" ht="28.5" customHeight="1" thickBot="1">
      <c r="B8" s="157" t="s">
        <v>146</v>
      </c>
      <c r="C8" s="158"/>
      <c r="D8" s="158"/>
      <c r="E8" s="159"/>
      <c r="F8" s="160" t="str">
        <f>IF(F7="","",VLOOKUP(F7,Lookups!B12:H16,2))</f>
        <v>Complex Tool</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AI-powered code review, automated testing, advanced development environments</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v>45884</v>
      </c>
      <c r="AW10" s="136"/>
      <c r="AX10" s="137"/>
      <c r="AY10" s="135">
        <v>45885</v>
      </c>
      <c r="AZ10" s="136"/>
      <c r="BA10" s="137"/>
      <c r="BB10" s="97" t="str">
        <f>IF(AV10=$BK$3,"Missing Target",IF(AY10=$BK$3,IF($AZ$3&gt;AV10,INT($AZ$3-AV10)&amp;" Day(s) Overdue","Incomplete"),IF(AY10&gt;AV10,INT(AY10-AV10)&amp;" Day(s) Late",IF(AY10=AV10,"OK",INT(AV10-AY10)&amp;" Day(s) Ahead"))))</f>
        <v>1 Day(s) Late</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f>AV10+7</f>
        <v>45891</v>
      </c>
      <c r="AW11" s="136"/>
      <c r="AX11" s="137"/>
      <c r="AY11" s="135">
        <v>45901</v>
      </c>
      <c r="AZ11" s="136"/>
      <c r="BA11" s="137"/>
      <c r="BB11" s="97" t="str">
        <f t="shared" ref="BB11:BB14" si="0">IF(AV11=$BK$3,"Missing Target",IF(AY11=$BK$3,IF($AZ$3&gt;AV11,INT($AZ$3-AV11)&amp;" Day(s) Overdue","Incomplete"),IF(AY11&gt;AV11,INT(AY11-AV11)&amp;" Day(s) Late",IF(AY11=AV11,"OK",INT(AV11-AY11)&amp;" Day(s) Ahead"))))</f>
        <v>10 Day(s) Late</v>
      </c>
      <c r="BC11" s="98"/>
      <c r="BD11" s="98"/>
      <c r="BE11" s="99"/>
      <c r="BG11" s="40"/>
      <c r="BH11" s="38"/>
      <c r="BI11" s="38"/>
      <c r="BJ11" s="33"/>
    </row>
    <row r="12" spans="2:63" ht="28.5" customHeight="1" thickBot="1">
      <c r="B12" s="152" t="s">
        <v>262</v>
      </c>
      <c r="C12" s="153"/>
      <c r="D12" s="154"/>
      <c r="F12" s="152" t="str">
        <f>IF(F7="","",VLOOKUP(F7,Lookups!B12:H16,5))</f>
        <v>Integration Depth</v>
      </c>
      <c r="G12" s="153"/>
      <c r="H12" s="153"/>
      <c r="I12" s="153"/>
      <c r="J12" s="153"/>
      <c r="K12" s="153"/>
      <c r="L12" s="153"/>
      <c r="M12" s="154"/>
      <c r="O12" s="152" t="str">
        <f>IF(F7="","",VLOOKUP(F7,Lookups!B12:H16,6))</f>
        <v>Process Improvement</v>
      </c>
      <c r="P12" s="153"/>
      <c r="Q12" s="153"/>
      <c r="R12" s="153"/>
      <c r="S12" s="153"/>
      <c r="T12" s="153"/>
      <c r="U12" s="153"/>
      <c r="V12" s="154"/>
      <c r="X12" s="152" t="str">
        <f>IF(F7="","",VLOOKUP(F7,Lookups!B12:H16,7))</f>
        <v>Skills Development</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f t="shared" ref="AV12:AV21" si="1">AV11+7</f>
        <v>45898</v>
      </c>
      <c r="AW12" s="136"/>
      <c r="AX12" s="137"/>
      <c r="AY12" s="135">
        <f>AV12</f>
        <v>45898</v>
      </c>
      <c r="AZ12" s="136"/>
      <c r="BA12" s="137"/>
      <c r="BB12" s="97" t="str">
        <f t="shared" si="0"/>
        <v>OK</v>
      </c>
      <c r="BC12" s="98"/>
      <c r="BD12" s="98"/>
      <c r="BE12" s="99"/>
      <c r="BG12" s="40"/>
      <c r="BH12" s="38"/>
      <c r="BI12" s="38"/>
    </row>
    <row r="13" spans="2:63" ht="28.5" customHeight="1" thickBot="1">
      <c r="B13" s="138" t="s">
        <v>643</v>
      </c>
      <c r="C13" s="139"/>
      <c r="D13" s="140"/>
      <c r="F13" s="41" t="s">
        <v>259</v>
      </c>
      <c r="G13" s="147" t="s">
        <v>41</v>
      </c>
      <c r="H13" s="148"/>
      <c r="I13" s="148"/>
      <c r="J13" s="148"/>
      <c r="K13" s="148"/>
      <c r="L13" s="148"/>
      <c r="M13" s="149"/>
      <c r="O13" s="41" t="s">
        <v>259</v>
      </c>
      <c r="P13" s="147" t="s">
        <v>60</v>
      </c>
      <c r="Q13" s="148"/>
      <c r="R13" s="148"/>
      <c r="S13" s="148"/>
      <c r="T13" s="148"/>
      <c r="U13" s="148"/>
      <c r="V13" s="149"/>
      <c r="X13" s="41" t="s">
        <v>259</v>
      </c>
      <c r="Y13" s="147" t="s">
        <v>68</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f t="shared" si="1"/>
        <v>45905</v>
      </c>
      <c r="AW13" s="136"/>
      <c r="AX13" s="137"/>
      <c r="AY13" s="135">
        <f>AV13+2</f>
        <v>45907</v>
      </c>
      <c r="AZ13" s="136"/>
      <c r="BA13" s="137"/>
      <c r="BB13" s="97" t="str">
        <f t="shared" si="0"/>
        <v>2 Day(s) Late</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f t="shared" si="1"/>
        <v>45912</v>
      </c>
      <c r="AW14" s="136"/>
      <c r="AX14" s="137"/>
      <c r="AY14" s="135">
        <f>AV14+7</f>
        <v>45919</v>
      </c>
      <c r="AZ14" s="136"/>
      <c r="BA14" s="137"/>
      <c r="BB14" s="97" t="str">
        <f t="shared" si="0"/>
        <v>7 Day(s) Late</v>
      </c>
      <c r="BC14" s="98"/>
      <c r="BD14" s="98"/>
      <c r="BE14" s="99"/>
      <c r="BI14" s="42"/>
      <c r="BJ14" s="42"/>
    </row>
    <row r="15" spans="2:63" ht="28.5" customHeight="1" thickBot="1">
      <c r="B15" s="144"/>
      <c r="C15" s="145"/>
      <c r="D15" s="146"/>
      <c r="F15" s="117" t="s">
        <v>644</v>
      </c>
      <c r="G15" s="118"/>
      <c r="H15" s="118"/>
      <c r="I15" s="118"/>
      <c r="J15" s="118"/>
      <c r="K15" s="118"/>
      <c r="L15" s="118"/>
      <c r="M15" s="119"/>
      <c r="O15" s="117" t="s">
        <v>640</v>
      </c>
      <c r="P15" s="118"/>
      <c r="Q15" s="118"/>
      <c r="R15" s="118"/>
      <c r="S15" s="118"/>
      <c r="T15" s="118"/>
      <c r="U15" s="118"/>
      <c r="V15" s="119"/>
      <c r="X15" s="117" t="s">
        <v>640</v>
      </c>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f t="shared" si="1"/>
        <v>45919</v>
      </c>
      <c r="AW15" s="136"/>
      <c r="AX15" s="137"/>
      <c r="AY15" s="135">
        <f>AY14</f>
        <v>45919</v>
      </c>
      <c r="AZ15" s="136"/>
      <c r="BA15" s="137"/>
      <c r="BB15" s="97" t="str">
        <f t="shared" ref="BB15:BB21" si="2">IF(AV15=$A$1,"Missing Target",IF(AY15=$A$1,IF($AZ$3&gt;AV15,INT($AZ$3-AV15)&amp;" Day(s) Overdue","Incomplete"),IF(AY15&gt;AV15,INT(AY15-AV15)&amp;" Day(s) Late",IF(AY15=AV15,"OK",INT(AV15-AY15)&amp;" Day(s) Ahead"))))</f>
        <v>OK</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f t="shared" si="1"/>
        <v>45926</v>
      </c>
      <c r="AW16" s="136"/>
      <c r="AX16" s="137"/>
      <c r="AY16" s="135">
        <v>45931</v>
      </c>
      <c r="AZ16" s="136"/>
      <c r="BA16" s="137"/>
      <c r="BB16" s="97" t="str">
        <f t="shared" si="2"/>
        <v>5 Day(s) Late</v>
      </c>
      <c r="BC16" s="98"/>
      <c r="BD16" s="98"/>
      <c r="BE16" s="99"/>
    </row>
    <row r="17" spans="2:71" ht="28.5" customHeight="1" thickBot="1">
      <c r="B17" s="43" t="s">
        <v>272</v>
      </c>
      <c r="C17" s="188" t="s">
        <v>639</v>
      </c>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f t="shared" si="1"/>
        <v>45933</v>
      </c>
      <c r="AW17" s="136"/>
      <c r="AX17" s="137"/>
      <c r="AY17" s="135">
        <v>45932</v>
      </c>
      <c r="AZ17" s="136"/>
      <c r="BA17" s="137"/>
      <c r="BB17" s="97" t="str">
        <f t="shared" si="2"/>
        <v>1 Day(s) Ahead</v>
      </c>
      <c r="BC17" s="98"/>
      <c r="BD17" s="98"/>
      <c r="BE17" s="99"/>
    </row>
    <row r="18" spans="2:71" ht="28.5" customHeight="1" thickBot="1">
      <c r="B18" s="43" t="s">
        <v>255</v>
      </c>
      <c r="C18" s="109" t="s">
        <v>284</v>
      </c>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f t="shared" si="1"/>
        <v>45940</v>
      </c>
      <c r="AW18" s="136"/>
      <c r="AX18" s="137"/>
      <c r="AY18" s="135">
        <v>45940</v>
      </c>
      <c r="AZ18" s="136"/>
      <c r="BA18" s="137"/>
      <c r="BB18" s="97" t="str">
        <f t="shared" si="2"/>
        <v>OK</v>
      </c>
      <c r="BC18" s="98"/>
      <c r="BD18" s="98"/>
      <c r="BE18" s="99"/>
    </row>
    <row r="19" spans="2:71" ht="28.5" customHeight="1" thickBot="1">
      <c r="B19" s="43" t="s">
        <v>257</v>
      </c>
      <c r="C19" s="109" t="s">
        <v>264</v>
      </c>
      <c r="D19" s="110"/>
      <c r="F19" s="117" t="s">
        <v>645</v>
      </c>
      <c r="G19" s="118"/>
      <c r="H19" s="118"/>
      <c r="I19" s="118"/>
      <c r="J19" s="118"/>
      <c r="K19" s="118"/>
      <c r="L19" s="118"/>
      <c r="M19" s="119"/>
      <c r="O19" s="117" t="s">
        <v>640</v>
      </c>
      <c r="P19" s="118"/>
      <c r="Q19" s="118"/>
      <c r="R19" s="118"/>
      <c r="S19" s="118"/>
      <c r="T19" s="118"/>
      <c r="U19" s="118"/>
      <c r="V19" s="119"/>
      <c r="X19" s="117" t="s">
        <v>640</v>
      </c>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f t="shared" si="1"/>
        <v>45947</v>
      </c>
      <c r="AW19" s="136"/>
      <c r="AX19" s="137"/>
      <c r="AY19" s="135">
        <v>45947</v>
      </c>
      <c r="AZ19" s="136"/>
      <c r="BA19" s="137"/>
      <c r="BB19" s="97" t="str">
        <f t="shared" si="2"/>
        <v>OK</v>
      </c>
      <c r="BC19" s="98"/>
      <c r="BD19" s="98"/>
      <c r="BE19" s="99"/>
    </row>
    <row r="20" spans="2:71" ht="28.5" customHeight="1" thickBot="1">
      <c r="B20" s="43" t="s">
        <v>256</v>
      </c>
      <c r="C20" s="109" t="s">
        <v>286</v>
      </c>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f t="shared" si="1"/>
        <v>45954</v>
      </c>
      <c r="AW20" s="136"/>
      <c r="AX20" s="137"/>
      <c r="AY20" s="135">
        <v>45954</v>
      </c>
      <c r="AZ20" s="136"/>
      <c r="BA20" s="137"/>
      <c r="BB20" s="97" t="str">
        <f t="shared" si="2"/>
        <v>OK</v>
      </c>
      <c r="BC20" s="98"/>
      <c r="BD20" s="98"/>
      <c r="BE20" s="99"/>
    </row>
    <row r="21" spans="2:71" ht="28.5" customHeight="1" thickBot="1">
      <c r="B21" s="43" t="s">
        <v>254</v>
      </c>
      <c r="C21" s="109" t="s">
        <v>285</v>
      </c>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f t="shared" si="1"/>
        <v>45961</v>
      </c>
      <c r="AW21" s="136"/>
      <c r="AX21" s="137"/>
      <c r="AY21" s="135"/>
      <c r="AZ21" s="136"/>
      <c r="BA21" s="137"/>
      <c r="BB21" s="97" t="str">
        <f t="shared" ca="1" si="2"/>
        <v>Incomplete</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3">F23+1</f>
        <v>2</v>
      </c>
      <c r="H23" s="45">
        <f t="shared" si="3"/>
        <v>3</v>
      </c>
      <c r="I23" s="45">
        <f t="shared" si="3"/>
        <v>4</v>
      </c>
      <c r="J23" s="45">
        <f>I23+1</f>
        <v>5</v>
      </c>
      <c r="K23" s="45">
        <f t="shared" ref="K23:BE23" si="4">J23+1</f>
        <v>6</v>
      </c>
      <c r="L23" s="45">
        <f t="shared" si="4"/>
        <v>7</v>
      </c>
      <c r="M23" s="45">
        <f t="shared" si="4"/>
        <v>8</v>
      </c>
      <c r="N23" s="45">
        <f t="shared" si="4"/>
        <v>9</v>
      </c>
      <c r="O23" s="45">
        <f t="shared" si="4"/>
        <v>10</v>
      </c>
      <c r="P23" s="45">
        <f t="shared" si="4"/>
        <v>11</v>
      </c>
      <c r="Q23" s="45">
        <f t="shared" si="4"/>
        <v>12</v>
      </c>
      <c r="R23" s="45">
        <f t="shared" si="4"/>
        <v>13</v>
      </c>
      <c r="S23" s="45">
        <f t="shared" si="4"/>
        <v>14</v>
      </c>
      <c r="T23" s="45">
        <f t="shared" si="4"/>
        <v>15</v>
      </c>
      <c r="U23" s="45">
        <f t="shared" si="4"/>
        <v>16</v>
      </c>
      <c r="V23" s="45">
        <f t="shared" si="4"/>
        <v>17</v>
      </c>
      <c r="W23" s="45">
        <f t="shared" si="4"/>
        <v>18</v>
      </c>
      <c r="X23" s="45">
        <f t="shared" si="4"/>
        <v>19</v>
      </c>
      <c r="Y23" s="45">
        <f t="shared" si="4"/>
        <v>20</v>
      </c>
      <c r="Z23" s="45">
        <f t="shared" si="4"/>
        <v>21</v>
      </c>
      <c r="AA23" s="45">
        <f t="shared" si="4"/>
        <v>22</v>
      </c>
      <c r="AB23" s="45">
        <f t="shared" si="4"/>
        <v>23</v>
      </c>
      <c r="AC23" s="45">
        <f t="shared" si="4"/>
        <v>24</v>
      </c>
      <c r="AD23" s="45">
        <f t="shared" si="4"/>
        <v>25</v>
      </c>
      <c r="AE23" s="45">
        <f t="shared" si="4"/>
        <v>26</v>
      </c>
      <c r="AF23" s="45">
        <f t="shared" si="4"/>
        <v>27</v>
      </c>
      <c r="AG23" s="45">
        <f t="shared" si="4"/>
        <v>28</v>
      </c>
      <c r="AH23" s="45">
        <f t="shared" si="4"/>
        <v>29</v>
      </c>
      <c r="AI23" s="45">
        <f t="shared" si="4"/>
        <v>30</v>
      </c>
      <c r="AJ23" s="45">
        <f t="shared" si="4"/>
        <v>31</v>
      </c>
      <c r="AK23" s="45">
        <f t="shared" si="4"/>
        <v>32</v>
      </c>
      <c r="AL23" s="45">
        <f t="shared" si="4"/>
        <v>33</v>
      </c>
      <c r="AM23" s="45">
        <f t="shared" si="4"/>
        <v>34</v>
      </c>
      <c r="AN23" s="45">
        <f t="shared" si="4"/>
        <v>35</v>
      </c>
      <c r="AO23" s="45">
        <f t="shared" si="4"/>
        <v>36</v>
      </c>
      <c r="AP23" s="45">
        <f t="shared" si="4"/>
        <v>37</v>
      </c>
      <c r="AQ23" s="45">
        <f t="shared" si="4"/>
        <v>38</v>
      </c>
      <c r="AR23" s="45">
        <f t="shared" si="4"/>
        <v>39</v>
      </c>
      <c r="AS23" s="45">
        <f t="shared" si="4"/>
        <v>40</v>
      </c>
      <c r="AT23" s="45">
        <f t="shared" si="4"/>
        <v>41</v>
      </c>
      <c r="AU23" s="45">
        <f t="shared" si="4"/>
        <v>42</v>
      </c>
      <c r="AV23" s="45">
        <f t="shared" si="4"/>
        <v>43</v>
      </c>
      <c r="AW23" s="45">
        <f t="shared" si="4"/>
        <v>44</v>
      </c>
      <c r="AX23" s="45">
        <f t="shared" si="4"/>
        <v>45</v>
      </c>
      <c r="AY23" s="45">
        <f t="shared" si="4"/>
        <v>46</v>
      </c>
      <c r="AZ23" s="45">
        <f t="shared" si="4"/>
        <v>47</v>
      </c>
      <c r="BA23" s="45">
        <f t="shared" si="4"/>
        <v>48</v>
      </c>
      <c r="BB23" s="45">
        <f t="shared" si="4"/>
        <v>49</v>
      </c>
      <c r="BC23" s="45">
        <f t="shared" si="4"/>
        <v>50</v>
      </c>
      <c r="BD23" s="45">
        <f t="shared" si="4"/>
        <v>51</v>
      </c>
      <c r="BE23" s="45">
        <f t="shared" si="4"/>
        <v>52</v>
      </c>
      <c r="BS23" s="47"/>
    </row>
    <row r="24" spans="2:71" ht="63.4" customHeight="1">
      <c r="B24" s="106" t="s">
        <v>242</v>
      </c>
      <c r="C24" s="107"/>
      <c r="D24" s="107"/>
      <c r="E24" s="108"/>
      <c r="F24" s="70">
        <v>45884</v>
      </c>
      <c r="G24" s="71">
        <f>F24+7</f>
        <v>45891</v>
      </c>
      <c r="H24" s="71">
        <f t="shared" ref="H24:BE24" si="5">G24+7</f>
        <v>45898</v>
      </c>
      <c r="I24" s="71">
        <f t="shared" si="5"/>
        <v>45905</v>
      </c>
      <c r="J24" s="71">
        <f t="shared" si="5"/>
        <v>45912</v>
      </c>
      <c r="K24" s="71">
        <f t="shared" si="5"/>
        <v>45919</v>
      </c>
      <c r="L24" s="71">
        <f t="shared" si="5"/>
        <v>45926</v>
      </c>
      <c r="M24" s="71">
        <f t="shared" si="5"/>
        <v>45933</v>
      </c>
      <c r="N24" s="71">
        <f t="shared" si="5"/>
        <v>45940</v>
      </c>
      <c r="O24" s="71">
        <f t="shared" si="5"/>
        <v>45947</v>
      </c>
      <c r="P24" s="71">
        <f t="shared" si="5"/>
        <v>45954</v>
      </c>
      <c r="Q24" s="71">
        <f t="shared" si="5"/>
        <v>45961</v>
      </c>
      <c r="R24" s="71">
        <f t="shared" si="5"/>
        <v>45968</v>
      </c>
      <c r="S24" s="71">
        <f t="shared" si="5"/>
        <v>45975</v>
      </c>
      <c r="T24" s="71">
        <f t="shared" si="5"/>
        <v>45982</v>
      </c>
      <c r="U24" s="71">
        <f t="shared" si="5"/>
        <v>45989</v>
      </c>
      <c r="V24" s="71">
        <f t="shared" si="5"/>
        <v>45996</v>
      </c>
      <c r="W24" s="71">
        <f t="shared" si="5"/>
        <v>46003</v>
      </c>
      <c r="X24" s="71">
        <f t="shared" si="5"/>
        <v>46010</v>
      </c>
      <c r="Y24" s="71">
        <f t="shared" si="5"/>
        <v>46017</v>
      </c>
      <c r="Z24" s="71">
        <f t="shared" si="5"/>
        <v>46024</v>
      </c>
      <c r="AA24" s="71">
        <f t="shared" si="5"/>
        <v>46031</v>
      </c>
      <c r="AB24" s="71">
        <f t="shared" si="5"/>
        <v>46038</v>
      </c>
      <c r="AC24" s="71">
        <f t="shared" si="5"/>
        <v>46045</v>
      </c>
      <c r="AD24" s="71">
        <f t="shared" si="5"/>
        <v>46052</v>
      </c>
      <c r="AE24" s="71">
        <f t="shared" si="5"/>
        <v>46059</v>
      </c>
      <c r="AF24" s="71">
        <f t="shared" si="5"/>
        <v>46066</v>
      </c>
      <c r="AG24" s="71">
        <f t="shared" si="5"/>
        <v>46073</v>
      </c>
      <c r="AH24" s="71">
        <f t="shared" si="5"/>
        <v>46080</v>
      </c>
      <c r="AI24" s="71">
        <f t="shared" si="5"/>
        <v>46087</v>
      </c>
      <c r="AJ24" s="71">
        <f t="shared" si="5"/>
        <v>46094</v>
      </c>
      <c r="AK24" s="71">
        <f t="shared" si="5"/>
        <v>46101</v>
      </c>
      <c r="AL24" s="71">
        <f t="shared" si="5"/>
        <v>46108</v>
      </c>
      <c r="AM24" s="71">
        <f t="shared" si="5"/>
        <v>46115</v>
      </c>
      <c r="AN24" s="71">
        <f t="shared" si="5"/>
        <v>46122</v>
      </c>
      <c r="AO24" s="71">
        <f t="shared" si="5"/>
        <v>46129</v>
      </c>
      <c r="AP24" s="71">
        <f t="shared" si="5"/>
        <v>46136</v>
      </c>
      <c r="AQ24" s="71">
        <f t="shared" si="5"/>
        <v>46143</v>
      </c>
      <c r="AR24" s="71">
        <f t="shared" si="5"/>
        <v>46150</v>
      </c>
      <c r="AS24" s="71">
        <f t="shared" si="5"/>
        <v>46157</v>
      </c>
      <c r="AT24" s="71">
        <f t="shared" si="5"/>
        <v>46164</v>
      </c>
      <c r="AU24" s="71">
        <f t="shared" si="5"/>
        <v>46171</v>
      </c>
      <c r="AV24" s="71">
        <f t="shared" si="5"/>
        <v>46178</v>
      </c>
      <c r="AW24" s="71">
        <f t="shared" si="5"/>
        <v>46185</v>
      </c>
      <c r="AX24" s="71">
        <f t="shared" si="5"/>
        <v>46192</v>
      </c>
      <c r="AY24" s="71">
        <f t="shared" si="5"/>
        <v>46199</v>
      </c>
      <c r="AZ24" s="71">
        <f t="shared" si="5"/>
        <v>46206</v>
      </c>
      <c r="BA24" s="71">
        <f t="shared" si="5"/>
        <v>46213</v>
      </c>
      <c r="BB24" s="71">
        <f t="shared" si="5"/>
        <v>46220</v>
      </c>
      <c r="BC24" s="71">
        <f t="shared" si="5"/>
        <v>46227</v>
      </c>
      <c r="BD24" s="71">
        <f t="shared" si="5"/>
        <v>46234</v>
      </c>
      <c r="BE24" s="71">
        <f t="shared" si="5"/>
        <v>46241</v>
      </c>
      <c r="BJ24" s="38"/>
    </row>
    <row r="25" spans="2:71">
      <c r="B25" s="100" t="str">
        <f>G13&amp;" TARGET"</f>
        <v>Revenue Growth from AI-enhanced products TARGET</v>
      </c>
      <c r="C25" s="101"/>
      <c r="D25" s="101"/>
      <c r="E25" s="102"/>
      <c r="F25" s="50">
        <v>23</v>
      </c>
      <c r="G25" s="50">
        <f>F25</f>
        <v>23</v>
      </c>
      <c r="H25" s="50">
        <f>G25</f>
        <v>23</v>
      </c>
      <c r="I25" s="50">
        <f t="shared" ref="I25:M25" si="6">H25</f>
        <v>23</v>
      </c>
      <c r="J25" s="50">
        <f t="shared" si="6"/>
        <v>23</v>
      </c>
      <c r="K25" s="50">
        <f t="shared" si="6"/>
        <v>23</v>
      </c>
      <c r="L25" s="50">
        <f t="shared" si="6"/>
        <v>23</v>
      </c>
      <c r="M25" s="50">
        <f t="shared" si="6"/>
        <v>23</v>
      </c>
      <c r="N25" s="50">
        <v>60</v>
      </c>
      <c r="O25" s="50">
        <v>60</v>
      </c>
      <c r="P25" s="50">
        <v>65</v>
      </c>
      <c r="Q25" s="50">
        <v>65</v>
      </c>
      <c r="R25" s="50">
        <v>66</v>
      </c>
      <c r="S25" s="50">
        <v>67</v>
      </c>
      <c r="T25" s="50">
        <v>68</v>
      </c>
      <c r="U25" s="50">
        <v>69</v>
      </c>
      <c r="V25" s="50">
        <v>70</v>
      </c>
      <c r="W25" s="50">
        <v>71</v>
      </c>
      <c r="X25" s="50">
        <v>72</v>
      </c>
      <c r="Y25" s="50">
        <v>73</v>
      </c>
      <c r="Z25" s="50">
        <v>74</v>
      </c>
      <c r="AA25" s="50">
        <v>75</v>
      </c>
      <c r="AB25" s="50">
        <v>76</v>
      </c>
      <c r="AC25" s="50">
        <v>77</v>
      </c>
      <c r="AD25" s="50">
        <v>78</v>
      </c>
      <c r="AE25" s="50">
        <v>79</v>
      </c>
      <c r="AF25" s="50">
        <v>80</v>
      </c>
      <c r="AG25" s="50">
        <v>80</v>
      </c>
      <c r="AH25" s="50">
        <v>80</v>
      </c>
      <c r="AI25" s="50">
        <v>80</v>
      </c>
      <c r="AJ25" s="50">
        <v>80</v>
      </c>
      <c r="AK25" s="50">
        <v>80</v>
      </c>
      <c r="AL25" s="50">
        <v>80</v>
      </c>
      <c r="AM25" s="50">
        <v>80</v>
      </c>
      <c r="AN25" s="50">
        <v>80</v>
      </c>
      <c r="AO25" s="50">
        <v>80</v>
      </c>
      <c r="AP25" s="50">
        <v>80</v>
      </c>
      <c r="AQ25" s="50">
        <v>80</v>
      </c>
      <c r="AR25" s="50">
        <v>80</v>
      </c>
      <c r="AS25" s="50">
        <v>80</v>
      </c>
      <c r="AT25" s="50">
        <v>80</v>
      </c>
      <c r="AU25" s="50">
        <v>80</v>
      </c>
      <c r="AV25" s="50">
        <v>80</v>
      </c>
      <c r="AW25" s="50">
        <v>80</v>
      </c>
      <c r="AX25" s="50">
        <v>80</v>
      </c>
      <c r="AY25" s="50">
        <v>80</v>
      </c>
      <c r="AZ25" s="50">
        <v>80</v>
      </c>
      <c r="BA25" s="50">
        <v>80</v>
      </c>
      <c r="BB25" s="50">
        <v>80</v>
      </c>
      <c r="BC25" s="50">
        <v>80</v>
      </c>
      <c r="BD25" s="50">
        <v>80</v>
      </c>
      <c r="BE25" s="50">
        <v>80</v>
      </c>
    </row>
    <row r="26" spans="2:71">
      <c r="B26" s="100" t="s">
        <v>241</v>
      </c>
      <c r="C26" s="101"/>
      <c r="D26" s="101"/>
      <c r="E26" s="102"/>
      <c r="F26" s="50">
        <v>25</v>
      </c>
      <c r="G26" s="50">
        <v>26</v>
      </c>
      <c r="H26" s="50">
        <v>27</v>
      </c>
      <c r="I26" s="50">
        <v>28</v>
      </c>
      <c r="J26" s="50">
        <v>28</v>
      </c>
      <c r="K26" s="50">
        <v>55</v>
      </c>
      <c r="L26" s="50">
        <v>55</v>
      </c>
      <c r="M26" s="50">
        <v>57</v>
      </c>
      <c r="N26" s="50">
        <v>61</v>
      </c>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2</v>
      </c>
      <c r="G27" s="51">
        <f t="shared" ref="G27:BE27" si="7">G26-G25</f>
        <v>3</v>
      </c>
      <c r="H27" s="51">
        <f t="shared" si="7"/>
        <v>4</v>
      </c>
      <c r="I27" s="51">
        <f t="shared" si="7"/>
        <v>5</v>
      </c>
      <c r="J27" s="51">
        <f t="shared" si="7"/>
        <v>5</v>
      </c>
      <c r="K27" s="51">
        <f t="shared" si="7"/>
        <v>32</v>
      </c>
      <c r="L27" s="51">
        <f t="shared" si="7"/>
        <v>32</v>
      </c>
      <c r="M27" s="51">
        <f t="shared" si="7"/>
        <v>34</v>
      </c>
      <c r="N27" s="51">
        <f t="shared" si="7"/>
        <v>1</v>
      </c>
      <c r="O27" s="51">
        <f t="shared" si="7"/>
        <v>-60</v>
      </c>
      <c r="P27" s="51">
        <f t="shared" si="7"/>
        <v>-65</v>
      </c>
      <c r="Q27" s="51">
        <f t="shared" si="7"/>
        <v>-65</v>
      </c>
      <c r="R27" s="51">
        <f t="shared" si="7"/>
        <v>-66</v>
      </c>
      <c r="S27" s="51">
        <f t="shared" si="7"/>
        <v>-67</v>
      </c>
      <c r="T27" s="51">
        <f t="shared" si="7"/>
        <v>-68</v>
      </c>
      <c r="U27" s="51">
        <f t="shared" si="7"/>
        <v>-69</v>
      </c>
      <c r="V27" s="51">
        <f t="shared" si="7"/>
        <v>-70</v>
      </c>
      <c r="W27" s="51">
        <f t="shared" si="7"/>
        <v>-71</v>
      </c>
      <c r="X27" s="51">
        <f t="shared" si="7"/>
        <v>-72</v>
      </c>
      <c r="Y27" s="51">
        <f t="shared" si="7"/>
        <v>-73</v>
      </c>
      <c r="Z27" s="51">
        <f t="shared" si="7"/>
        <v>-74</v>
      </c>
      <c r="AA27" s="51">
        <f t="shared" si="7"/>
        <v>-75</v>
      </c>
      <c r="AB27" s="51">
        <f t="shared" si="7"/>
        <v>-76</v>
      </c>
      <c r="AC27" s="51">
        <f t="shared" si="7"/>
        <v>-77</v>
      </c>
      <c r="AD27" s="51">
        <f t="shared" si="7"/>
        <v>-78</v>
      </c>
      <c r="AE27" s="51">
        <f t="shared" si="7"/>
        <v>-79</v>
      </c>
      <c r="AF27" s="51">
        <f t="shared" si="7"/>
        <v>-80</v>
      </c>
      <c r="AG27" s="51">
        <f t="shared" si="7"/>
        <v>-80</v>
      </c>
      <c r="AH27" s="51">
        <f t="shared" si="7"/>
        <v>-80</v>
      </c>
      <c r="AI27" s="51">
        <f t="shared" si="7"/>
        <v>-80</v>
      </c>
      <c r="AJ27" s="51">
        <f t="shared" si="7"/>
        <v>-80</v>
      </c>
      <c r="AK27" s="51">
        <f t="shared" si="7"/>
        <v>-80</v>
      </c>
      <c r="AL27" s="51">
        <f t="shared" si="7"/>
        <v>-80</v>
      </c>
      <c r="AM27" s="51">
        <f t="shared" si="7"/>
        <v>-80</v>
      </c>
      <c r="AN27" s="51">
        <f t="shared" si="7"/>
        <v>-80</v>
      </c>
      <c r="AO27" s="51">
        <f t="shared" si="7"/>
        <v>-80</v>
      </c>
      <c r="AP27" s="51">
        <f t="shared" si="7"/>
        <v>-80</v>
      </c>
      <c r="AQ27" s="51">
        <f t="shared" si="7"/>
        <v>-80</v>
      </c>
      <c r="AR27" s="51">
        <f t="shared" si="7"/>
        <v>-80</v>
      </c>
      <c r="AS27" s="51">
        <f t="shared" si="7"/>
        <v>-80</v>
      </c>
      <c r="AT27" s="51">
        <f t="shared" si="7"/>
        <v>-80</v>
      </c>
      <c r="AU27" s="51">
        <f t="shared" si="7"/>
        <v>-80</v>
      </c>
      <c r="AV27" s="51">
        <f t="shared" si="7"/>
        <v>-80</v>
      </c>
      <c r="AW27" s="51">
        <f t="shared" si="7"/>
        <v>-80</v>
      </c>
      <c r="AX27" s="51">
        <f t="shared" si="7"/>
        <v>-80</v>
      </c>
      <c r="AY27" s="51">
        <f t="shared" si="7"/>
        <v>-80</v>
      </c>
      <c r="AZ27" s="51">
        <f t="shared" si="7"/>
        <v>-80</v>
      </c>
      <c r="BA27" s="51">
        <f t="shared" si="7"/>
        <v>-80</v>
      </c>
      <c r="BB27" s="51">
        <f t="shared" si="7"/>
        <v>-80</v>
      </c>
      <c r="BC27" s="51">
        <f t="shared" si="7"/>
        <v>-80</v>
      </c>
      <c r="BD27" s="51">
        <f t="shared" si="7"/>
        <v>-80</v>
      </c>
      <c r="BE27" s="51">
        <f t="shared" si="7"/>
        <v>-80</v>
      </c>
    </row>
    <row r="28" spans="2:71">
      <c r="B28" s="52"/>
      <c r="C28" s="52"/>
      <c r="D28" s="52"/>
      <c r="E28" s="52"/>
    </row>
    <row r="29" spans="2:71">
      <c r="B29" s="100" t="str">
        <f>P13&amp;" TARGET"</f>
        <v>Conversion Rates from AI-powered features TARGET</v>
      </c>
      <c r="C29" s="101"/>
      <c r="D29" s="101"/>
      <c r="E29" s="102"/>
      <c r="F29" s="50">
        <v>1</v>
      </c>
      <c r="G29" s="50">
        <v>2</v>
      </c>
      <c r="H29" s="50">
        <v>3</v>
      </c>
      <c r="I29" s="50"/>
      <c r="J29" s="50"/>
      <c r="K29" s="50"/>
      <c r="L29" s="50">
        <v>2</v>
      </c>
      <c r="M29" s="50">
        <v>2</v>
      </c>
      <c r="N29" s="50">
        <v>2</v>
      </c>
      <c r="O29" s="50">
        <v>2</v>
      </c>
      <c r="P29" s="50">
        <v>2</v>
      </c>
      <c r="Q29" s="50">
        <v>5</v>
      </c>
      <c r="R29" s="50">
        <v>5</v>
      </c>
      <c r="S29" s="50">
        <v>5</v>
      </c>
      <c r="T29" s="50">
        <v>5</v>
      </c>
      <c r="U29" s="50">
        <v>5</v>
      </c>
      <c r="V29" s="50">
        <v>10</v>
      </c>
      <c r="W29" s="50">
        <v>10</v>
      </c>
      <c r="X29" s="50">
        <v>10</v>
      </c>
      <c r="Y29" s="50">
        <v>10</v>
      </c>
      <c r="Z29" s="50">
        <v>10</v>
      </c>
      <c r="AA29" s="50">
        <v>15</v>
      </c>
      <c r="AB29" s="50">
        <v>15</v>
      </c>
      <c r="AC29" s="50">
        <v>15</v>
      </c>
      <c r="AD29" s="50">
        <v>15</v>
      </c>
      <c r="AE29" s="50">
        <v>20</v>
      </c>
      <c r="AF29" s="50">
        <v>20</v>
      </c>
      <c r="AG29" s="50">
        <v>20</v>
      </c>
      <c r="AH29" s="50">
        <v>20</v>
      </c>
      <c r="AI29" s="50">
        <v>25</v>
      </c>
      <c r="AJ29" s="50">
        <v>25</v>
      </c>
      <c r="AK29" s="50">
        <v>25</v>
      </c>
      <c r="AL29" s="50">
        <v>25</v>
      </c>
      <c r="AM29" s="50">
        <v>25</v>
      </c>
      <c r="AN29" s="50">
        <v>25</v>
      </c>
      <c r="AO29" s="50">
        <v>25</v>
      </c>
      <c r="AP29" s="50">
        <v>25</v>
      </c>
      <c r="AQ29" s="50">
        <v>25</v>
      </c>
      <c r="AR29" s="50">
        <v>25</v>
      </c>
      <c r="AS29" s="50">
        <v>25</v>
      </c>
      <c r="AT29" s="50">
        <v>25</v>
      </c>
      <c r="AU29" s="50">
        <v>25</v>
      </c>
      <c r="AV29" s="50">
        <v>25</v>
      </c>
      <c r="AW29" s="50">
        <v>25</v>
      </c>
      <c r="AX29" s="50">
        <v>25</v>
      </c>
      <c r="AY29" s="50">
        <v>25</v>
      </c>
      <c r="AZ29" s="50">
        <v>25</v>
      </c>
      <c r="BA29" s="50">
        <v>25</v>
      </c>
      <c r="BB29" s="50">
        <v>25</v>
      </c>
      <c r="BC29" s="50">
        <v>25</v>
      </c>
      <c r="BD29" s="50">
        <v>25</v>
      </c>
      <c r="BE29" s="50">
        <v>25</v>
      </c>
    </row>
    <row r="30" spans="2:71">
      <c r="B30" s="100" t="s">
        <v>241</v>
      </c>
      <c r="C30" s="101"/>
      <c r="D30" s="101"/>
      <c r="E30" s="102"/>
      <c r="F30" s="50">
        <v>2</v>
      </c>
      <c r="G30" s="50">
        <v>2</v>
      </c>
      <c r="H30" s="50">
        <v>2</v>
      </c>
      <c r="I30" s="50">
        <v>0</v>
      </c>
      <c r="J30" s="50">
        <v>0</v>
      </c>
      <c r="K30" s="50">
        <v>0</v>
      </c>
      <c r="L30" s="50">
        <v>0</v>
      </c>
      <c r="M30" s="50">
        <v>1</v>
      </c>
      <c r="N30" s="50">
        <v>1</v>
      </c>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1</v>
      </c>
      <c r="G31" s="51">
        <f t="shared" ref="G31" si="8">G30-G29</f>
        <v>0</v>
      </c>
      <c r="H31" s="51">
        <f t="shared" ref="H31" si="9">H30-H29</f>
        <v>-1</v>
      </c>
      <c r="I31" s="51">
        <f t="shared" ref="I31" si="10">I30-I29</f>
        <v>0</v>
      </c>
      <c r="J31" s="51">
        <f t="shared" ref="J31" si="11">J30-J29</f>
        <v>0</v>
      </c>
      <c r="K31" s="51">
        <f t="shared" ref="K31" si="12">K30-K29</f>
        <v>0</v>
      </c>
      <c r="L31" s="51">
        <f t="shared" ref="L31" si="13">L30-L29</f>
        <v>-2</v>
      </c>
      <c r="M31" s="51">
        <f t="shared" ref="M31" si="14">M30-M29</f>
        <v>-1</v>
      </c>
      <c r="N31" s="51">
        <f t="shared" ref="N31" si="15">N30-N29</f>
        <v>-1</v>
      </c>
      <c r="O31" s="51">
        <f t="shared" ref="O31" si="16">O30-O29</f>
        <v>-2</v>
      </c>
      <c r="P31" s="51">
        <f t="shared" ref="P31" si="17">P30-P29</f>
        <v>-2</v>
      </c>
      <c r="Q31" s="51">
        <f t="shared" ref="Q31" si="18">Q30-Q29</f>
        <v>-5</v>
      </c>
      <c r="R31" s="51">
        <f t="shared" ref="R31" si="19">R30-R29</f>
        <v>-5</v>
      </c>
      <c r="S31" s="51">
        <f t="shared" ref="S31" si="20">S30-S29</f>
        <v>-5</v>
      </c>
      <c r="T31" s="51">
        <f t="shared" ref="T31" si="21">T30-T29</f>
        <v>-5</v>
      </c>
      <c r="U31" s="51">
        <f t="shared" ref="U31" si="22">U30-U29</f>
        <v>-5</v>
      </c>
      <c r="V31" s="51">
        <f t="shared" ref="V31" si="23">V30-V29</f>
        <v>-10</v>
      </c>
      <c r="W31" s="51">
        <f t="shared" ref="W31" si="24">W30-W29</f>
        <v>-10</v>
      </c>
      <c r="X31" s="51">
        <f t="shared" ref="X31" si="25">X30-X29</f>
        <v>-10</v>
      </c>
      <c r="Y31" s="51">
        <f t="shared" ref="Y31" si="26">Y30-Y29</f>
        <v>-10</v>
      </c>
      <c r="Z31" s="51">
        <f t="shared" ref="Z31" si="27">Z30-Z29</f>
        <v>-10</v>
      </c>
      <c r="AA31" s="51">
        <f t="shared" ref="AA31" si="28">AA30-AA29</f>
        <v>-15</v>
      </c>
      <c r="AB31" s="51">
        <f t="shared" ref="AB31" si="29">AB30-AB29</f>
        <v>-15</v>
      </c>
      <c r="AC31" s="51">
        <f t="shared" ref="AC31" si="30">AC30-AC29</f>
        <v>-15</v>
      </c>
      <c r="AD31" s="51">
        <f t="shared" ref="AD31" si="31">AD30-AD29</f>
        <v>-15</v>
      </c>
      <c r="AE31" s="51">
        <f t="shared" ref="AE31" si="32">AE30-AE29</f>
        <v>-20</v>
      </c>
      <c r="AF31" s="51">
        <f t="shared" ref="AF31" si="33">AF30-AF29</f>
        <v>-20</v>
      </c>
      <c r="AG31" s="51">
        <f t="shared" ref="AG31" si="34">AG30-AG29</f>
        <v>-20</v>
      </c>
      <c r="AH31" s="51">
        <f t="shared" ref="AH31" si="35">AH30-AH29</f>
        <v>-20</v>
      </c>
      <c r="AI31" s="51">
        <f t="shared" ref="AI31" si="36">AI30-AI29</f>
        <v>-25</v>
      </c>
      <c r="AJ31" s="51">
        <f t="shared" ref="AJ31" si="37">AJ30-AJ29</f>
        <v>-25</v>
      </c>
      <c r="AK31" s="51">
        <f t="shared" ref="AK31" si="38">AK30-AK29</f>
        <v>-25</v>
      </c>
      <c r="AL31" s="51">
        <f t="shared" ref="AL31" si="39">AL30-AL29</f>
        <v>-25</v>
      </c>
      <c r="AM31" s="51">
        <f t="shared" ref="AM31" si="40">AM30-AM29</f>
        <v>-25</v>
      </c>
      <c r="AN31" s="51">
        <f t="shared" ref="AN31" si="41">AN30-AN29</f>
        <v>-25</v>
      </c>
      <c r="AO31" s="51">
        <f t="shared" ref="AO31" si="42">AO30-AO29</f>
        <v>-25</v>
      </c>
      <c r="AP31" s="51">
        <f t="shared" ref="AP31" si="43">AP30-AP29</f>
        <v>-25</v>
      </c>
      <c r="AQ31" s="51">
        <f t="shared" ref="AQ31" si="44">AQ30-AQ29</f>
        <v>-25</v>
      </c>
      <c r="AR31" s="51">
        <f t="shared" ref="AR31" si="45">AR30-AR29</f>
        <v>-25</v>
      </c>
      <c r="AS31" s="51">
        <f t="shared" ref="AS31" si="46">AS30-AS29</f>
        <v>-25</v>
      </c>
      <c r="AT31" s="51">
        <f t="shared" ref="AT31" si="47">AT30-AT29</f>
        <v>-25</v>
      </c>
      <c r="AU31" s="51">
        <f t="shared" ref="AU31" si="48">AU30-AU29</f>
        <v>-25</v>
      </c>
      <c r="AV31" s="51">
        <f t="shared" ref="AV31" si="49">AV30-AV29</f>
        <v>-25</v>
      </c>
      <c r="AW31" s="51">
        <f t="shared" ref="AW31" si="50">AW30-AW29</f>
        <v>-25</v>
      </c>
      <c r="AX31" s="51">
        <f t="shared" ref="AX31" si="51">AX30-AX29</f>
        <v>-25</v>
      </c>
      <c r="AY31" s="51">
        <f t="shared" ref="AY31" si="52">AY30-AY29</f>
        <v>-25</v>
      </c>
      <c r="AZ31" s="51">
        <f t="shared" ref="AZ31" si="53">AZ30-AZ29</f>
        <v>-25</v>
      </c>
      <c r="BA31" s="51">
        <f t="shared" ref="BA31" si="54">BA30-BA29</f>
        <v>-25</v>
      </c>
      <c r="BB31" s="51">
        <f t="shared" ref="BB31" si="55">BB30-BB29</f>
        <v>-25</v>
      </c>
      <c r="BC31" s="51">
        <f t="shared" ref="BC31" si="56">BC30-BC29</f>
        <v>-25</v>
      </c>
      <c r="BD31" s="51">
        <f t="shared" ref="BD31" si="57">BD30-BD29</f>
        <v>-25</v>
      </c>
      <c r="BE31" s="51">
        <f t="shared" ref="BE31" si="58">BE30-BE29</f>
        <v>-25</v>
      </c>
    </row>
    <row r="32" spans="2:71">
      <c r="B32" s="52"/>
      <c r="C32" s="52"/>
      <c r="D32" s="52"/>
      <c r="E32" s="52"/>
    </row>
    <row r="33" spans="2:62">
      <c r="B33" s="100" t="str">
        <f>Y13&amp;" TARGET"</f>
        <v>Automation Rate TARGET</v>
      </c>
      <c r="C33" s="101"/>
      <c r="D33" s="101"/>
      <c r="E33" s="102"/>
      <c r="F33" s="59"/>
      <c r="G33" s="59"/>
      <c r="H33" s="60"/>
      <c r="I33" s="60"/>
      <c r="J33" s="60"/>
      <c r="K33" s="60"/>
      <c r="L33" s="60"/>
      <c r="M33" s="60"/>
      <c r="N33" s="60"/>
      <c r="O33" s="60"/>
      <c r="P33" s="60">
        <v>50</v>
      </c>
      <c r="Q33" s="60">
        <f>P33</f>
        <v>50</v>
      </c>
      <c r="R33" s="60">
        <f t="shared" ref="R33:T33" si="59">Q33</f>
        <v>50</v>
      </c>
      <c r="S33" s="60">
        <f t="shared" si="59"/>
        <v>50</v>
      </c>
      <c r="T33" s="60">
        <f t="shared" si="59"/>
        <v>50</v>
      </c>
      <c r="U33" s="60">
        <v>100</v>
      </c>
      <c r="V33" s="60">
        <f>U33</f>
        <v>100</v>
      </c>
      <c r="W33" s="60">
        <f t="shared" ref="W33:AA33" si="60">V33</f>
        <v>100</v>
      </c>
      <c r="X33" s="60">
        <f t="shared" si="60"/>
        <v>100</v>
      </c>
      <c r="Y33" s="60">
        <f t="shared" si="60"/>
        <v>100</v>
      </c>
      <c r="Z33" s="60">
        <f t="shared" si="60"/>
        <v>100</v>
      </c>
      <c r="AA33" s="60">
        <f t="shared" si="60"/>
        <v>100</v>
      </c>
      <c r="AB33" s="60">
        <v>150</v>
      </c>
      <c r="AC33" s="60">
        <f>AB33</f>
        <v>150</v>
      </c>
      <c r="AD33" s="60">
        <f t="shared" ref="AD33:AI33" si="61">AC33</f>
        <v>150</v>
      </c>
      <c r="AE33" s="60">
        <f t="shared" si="61"/>
        <v>150</v>
      </c>
      <c r="AF33" s="60">
        <f t="shared" si="61"/>
        <v>150</v>
      </c>
      <c r="AG33" s="60">
        <f t="shared" si="61"/>
        <v>150</v>
      </c>
      <c r="AH33" s="60">
        <f t="shared" si="61"/>
        <v>150</v>
      </c>
      <c r="AI33" s="60">
        <f t="shared" si="61"/>
        <v>150</v>
      </c>
      <c r="AJ33" s="60">
        <v>250</v>
      </c>
      <c r="AK33" s="60">
        <f>AJ33</f>
        <v>250</v>
      </c>
      <c r="AL33" s="60">
        <f t="shared" ref="AL33:BE33" si="62">AK33</f>
        <v>250</v>
      </c>
      <c r="AM33" s="60">
        <f t="shared" si="62"/>
        <v>250</v>
      </c>
      <c r="AN33" s="60">
        <f t="shared" si="62"/>
        <v>250</v>
      </c>
      <c r="AO33" s="60">
        <f t="shared" si="62"/>
        <v>250</v>
      </c>
      <c r="AP33" s="60">
        <f t="shared" si="62"/>
        <v>250</v>
      </c>
      <c r="AQ33" s="60">
        <f t="shared" si="62"/>
        <v>250</v>
      </c>
      <c r="AR33" s="60">
        <f t="shared" si="62"/>
        <v>250</v>
      </c>
      <c r="AS33" s="60">
        <f t="shared" si="62"/>
        <v>250</v>
      </c>
      <c r="AT33" s="60">
        <f t="shared" si="62"/>
        <v>250</v>
      </c>
      <c r="AU33" s="60">
        <f t="shared" si="62"/>
        <v>250</v>
      </c>
      <c r="AV33" s="60">
        <f t="shared" si="62"/>
        <v>250</v>
      </c>
      <c r="AW33" s="60">
        <f t="shared" si="62"/>
        <v>250</v>
      </c>
      <c r="AX33" s="60">
        <f t="shared" si="62"/>
        <v>250</v>
      </c>
      <c r="AY33" s="60">
        <f t="shared" si="62"/>
        <v>250</v>
      </c>
      <c r="AZ33" s="60">
        <f t="shared" si="62"/>
        <v>250</v>
      </c>
      <c r="BA33" s="60">
        <f t="shared" si="62"/>
        <v>250</v>
      </c>
      <c r="BB33" s="60">
        <f t="shared" si="62"/>
        <v>250</v>
      </c>
      <c r="BC33" s="60">
        <f t="shared" si="62"/>
        <v>250</v>
      </c>
      <c r="BD33" s="60">
        <f t="shared" si="62"/>
        <v>250</v>
      </c>
      <c r="BE33" s="60">
        <f t="shared" si="62"/>
        <v>250</v>
      </c>
    </row>
    <row r="34" spans="2:62">
      <c r="B34" s="100" t="s">
        <v>241</v>
      </c>
      <c r="C34" s="101"/>
      <c r="D34" s="101"/>
      <c r="E34" s="102"/>
      <c r="F34" s="59">
        <v>0</v>
      </c>
      <c r="G34" s="59">
        <v>0</v>
      </c>
      <c r="H34" s="59">
        <v>0</v>
      </c>
      <c r="I34" s="59">
        <v>0</v>
      </c>
      <c r="J34" s="59">
        <v>0</v>
      </c>
      <c r="K34" s="59">
        <v>0</v>
      </c>
      <c r="L34" s="59">
        <v>0</v>
      </c>
      <c r="M34" s="59">
        <v>0</v>
      </c>
      <c r="N34" s="59"/>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 si="63">G34-G33</f>
        <v>0</v>
      </c>
      <c r="H35" s="51">
        <f t="shared" ref="H35" si="64">H34-H33</f>
        <v>0</v>
      </c>
      <c r="I35" s="51">
        <f t="shared" ref="I35" si="65">I34-I33</f>
        <v>0</v>
      </c>
      <c r="J35" s="51">
        <f t="shared" ref="J35" si="66">J34-J33</f>
        <v>0</v>
      </c>
      <c r="K35" s="51">
        <f t="shared" ref="K35" si="67">K34-K33</f>
        <v>0</v>
      </c>
      <c r="L35" s="51">
        <f t="shared" ref="L35" si="68">L34-L33</f>
        <v>0</v>
      </c>
      <c r="M35" s="51">
        <f t="shared" ref="M35" si="69">M34-M33</f>
        <v>0</v>
      </c>
      <c r="N35" s="51">
        <f t="shared" ref="N35" si="70">N34-N33</f>
        <v>0</v>
      </c>
      <c r="O35" s="51">
        <f t="shared" ref="O35" si="71">O34-O33</f>
        <v>0</v>
      </c>
      <c r="P35" s="51">
        <f t="shared" ref="P35" si="72">P34-P33</f>
        <v>-50</v>
      </c>
      <c r="Q35" s="51">
        <f t="shared" ref="Q35" si="73">Q34-Q33</f>
        <v>-50</v>
      </c>
      <c r="R35" s="51">
        <f t="shared" ref="R35" si="74">R34-R33</f>
        <v>-50</v>
      </c>
      <c r="S35" s="51">
        <f t="shared" ref="S35" si="75">S34-S33</f>
        <v>-50</v>
      </c>
      <c r="T35" s="51">
        <f t="shared" ref="T35" si="76">T34-T33</f>
        <v>-50</v>
      </c>
      <c r="U35" s="51">
        <f t="shared" ref="U35" si="77">U34-U33</f>
        <v>-100</v>
      </c>
      <c r="V35" s="51">
        <f t="shared" ref="V35" si="78">V34-V33</f>
        <v>-100</v>
      </c>
      <c r="W35" s="51">
        <f t="shared" ref="W35" si="79">W34-W33</f>
        <v>-100</v>
      </c>
      <c r="X35" s="51">
        <f t="shared" ref="X35" si="80">X34-X33</f>
        <v>-100</v>
      </c>
      <c r="Y35" s="51">
        <f t="shared" ref="Y35" si="81">Y34-Y33</f>
        <v>-100</v>
      </c>
      <c r="Z35" s="51">
        <f t="shared" ref="Z35" si="82">Z34-Z33</f>
        <v>-100</v>
      </c>
      <c r="AA35" s="51">
        <f t="shared" ref="AA35" si="83">AA34-AA33</f>
        <v>-100</v>
      </c>
      <c r="AB35" s="51">
        <f t="shared" ref="AB35" si="84">AB34-AB33</f>
        <v>-150</v>
      </c>
      <c r="AC35" s="51">
        <f t="shared" ref="AC35" si="85">AC34-AC33</f>
        <v>-150</v>
      </c>
      <c r="AD35" s="51">
        <f t="shared" ref="AD35" si="86">AD34-AD33</f>
        <v>-150</v>
      </c>
      <c r="AE35" s="51">
        <f t="shared" ref="AE35" si="87">AE34-AE33</f>
        <v>-150</v>
      </c>
      <c r="AF35" s="51">
        <f t="shared" ref="AF35" si="88">AF34-AF33</f>
        <v>-150</v>
      </c>
      <c r="AG35" s="51">
        <f t="shared" ref="AG35" si="89">AG34-AG33</f>
        <v>-150</v>
      </c>
      <c r="AH35" s="51">
        <f t="shared" ref="AH35" si="90">AH34-AH33</f>
        <v>-150</v>
      </c>
      <c r="AI35" s="51">
        <f t="shared" ref="AI35" si="91">AI34-AI33</f>
        <v>-150</v>
      </c>
      <c r="AJ35" s="51">
        <f t="shared" ref="AJ35" si="92">AJ34-AJ33</f>
        <v>-250</v>
      </c>
      <c r="AK35" s="51">
        <f t="shared" ref="AK35" si="93">AK34-AK33</f>
        <v>-250</v>
      </c>
      <c r="AL35" s="51">
        <f t="shared" ref="AL35" si="94">AL34-AL33</f>
        <v>-250</v>
      </c>
      <c r="AM35" s="51">
        <f t="shared" ref="AM35" si="95">AM34-AM33</f>
        <v>-250</v>
      </c>
      <c r="AN35" s="51">
        <f t="shared" ref="AN35" si="96">AN34-AN33</f>
        <v>-250</v>
      </c>
      <c r="AO35" s="51">
        <f t="shared" ref="AO35" si="97">AO34-AO33</f>
        <v>-250</v>
      </c>
      <c r="AP35" s="51">
        <f t="shared" ref="AP35" si="98">AP34-AP33</f>
        <v>-250</v>
      </c>
      <c r="AQ35" s="51">
        <f t="shared" ref="AQ35" si="99">AQ34-AQ33</f>
        <v>-250</v>
      </c>
      <c r="AR35" s="51">
        <f t="shared" ref="AR35" si="100">AR34-AR33</f>
        <v>-250</v>
      </c>
      <c r="AS35" s="51">
        <f t="shared" ref="AS35" si="101">AS34-AS33</f>
        <v>-250</v>
      </c>
      <c r="AT35" s="51">
        <f t="shared" ref="AT35" si="102">AT34-AT33</f>
        <v>-250</v>
      </c>
      <c r="AU35" s="51">
        <f t="shared" ref="AU35" si="103">AU34-AU33</f>
        <v>-250</v>
      </c>
      <c r="AV35" s="51">
        <f t="shared" ref="AV35" si="104">AV34-AV33</f>
        <v>-250</v>
      </c>
      <c r="AW35" s="51">
        <f t="shared" ref="AW35" si="105">AW34-AW33</f>
        <v>-250</v>
      </c>
      <c r="AX35" s="51">
        <f t="shared" ref="AX35" si="106">AX34-AX33</f>
        <v>-250</v>
      </c>
      <c r="AY35" s="51">
        <f t="shared" ref="AY35" si="107">AY34-AY33</f>
        <v>-250</v>
      </c>
      <c r="AZ35" s="51">
        <f t="shared" ref="AZ35" si="108">AZ34-AZ33</f>
        <v>-250</v>
      </c>
      <c r="BA35" s="51">
        <f t="shared" ref="BA35" si="109">BA34-BA33</f>
        <v>-250</v>
      </c>
      <c r="BB35" s="51">
        <f t="shared" ref="BB35" si="110">BB34-BB33</f>
        <v>-250</v>
      </c>
      <c r="BC35" s="51">
        <f t="shared" ref="BC35" si="111">BC34-BC33</f>
        <v>-250</v>
      </c>
      <c r="BD35" s="51">
        <f t="shared" ref="BD35" si="112">BD34-BD33</f>
        <v>-250</v>
      </c>
      <c r="BE35" s="51">
        <f t="shared" ref="BE35" si="113">BE34-BE33</f>
        <v>-250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IF($X$12="Revenue Impact",F33,0)</f>
        <v>0</v>
      </c>
      <c r="G38" s="53">
        <f t="shared" ref="G38:AK38" si="114">IF($X$12="Revenue Impact",G33,0)</f>
        <v>0</v>
      </c>
      <c r="H38" s="53">
        <f t="shared" si="114"/>
        <v>0</v>
      </c>
      <c r="I38" s="53">
        <f t="shared" si="114"/>
        <v>0</v>
      </c>
      <c r="J38" s="53">
        <f t="shared" si="114"/>
        <v>0</v>
      </c>
      <c r="K38" s="53">
        <f t="shared" si="114"/>
        <v>0</v>
      </c>
      <c r="L38" s="53">
        <f t="shared" si="114"/>
        <v>0</v>
      </c>
      <c r="M38" s="53">
        <f t="shared" si="114"/>
        <v>0</v>
      </c>
      <c r="N38" s="53">
        <f t="shared" si="114"/>
        <v>0</v>
      </c>
      <c r="O38" s="53">
        <f t="shared" si="114"/>
        <v>0</v>
      </c>
      <c r="P38" s="53">
        <f t="shared" si="114"/>
        <v>0</v>
      </c>
      <c r="Q38" s="53">
        <f t="shared" si="114"/>
        <v>0</v>
      </c>
      <c r="R38" s="53">
        <f t="shared" si="114"/>
        <v>0</v>
      </c>
      <c r="S38" s="53">
        <f t="shared" si="114"/>
        <v>0</v>
      </c>
      <c r="T38" s="53">
        <f t="shared" si="114"/>
        <v>0</v>
      </c>
      <c r="U38" s="53">
        <f t="shared" si="114"/>
        <v>0</v>
      </c>
      <c r="V38" s="53">
        <f t="shared" si="114"/>
        <v>0</v>
      </c>
      <c r="W38" s="53">
        <f t="shared" si="114"/>
        <v>0</v>
      </c>
      <c r="X38" s="53">
        <f t="shared" si="114"/>
        <v>0</v>
      </c>
      <c r="Y38" s="53">
        <f t="shared" si="114"/>
        <v>0</v>
      </c>
      <c r="Z38" s="53">
        <f t="shared" si="114"/>
        <v>0</v>
      </c>
      <c r="AA38" s="53">
        <f t="shared" si="114"/>
        <v>0</v>
      </c>
      <c r="AB38" s="53">
        <f t="shared" si="114"/>
        <v>0</v>
      </c>
      <c r="AC38" s="53">
        <f t="shared" si="114"/>
        <v>0</v>
      </c>
      <c r="AD38" s="53">
        <f t="shared" si="114"/>
        <v>0</v>
      </c>
      <c r="AE38" s="53">
        <f t="shared" si="114"/>
        <v>0</v>
      </c>
      <c r="AF38" s="53">
        <f t="shared" si="114"/>
        <v>0</v>
      </c>
      <c r="AG38" s="53">
        <f t="shared" si="114"/>
        <v>0</v>
      </c>
      <c r="AH38" s="53">
        <f t="shared" si="114"/>
        <v>0</v>
      </c>
      <c r="AI38" s="53">
        <f t="shared" si="114"/>
        <v>0</v>
      </c>
      <c r="AJ38" s="53">
        <f t="shared" si="114"/>
        <v>0</v>
      </c>
      <c r="AK38" s="53">
        <f t="shared" si="114"/>
        <v>0</v>
      </c>
      <c r="AL38" s="53">
        <f t="shared" ref="AL38:BE38" si="115">IF($X$12="Revenue Impact",AL33,0)</f>
        <v>0</v>
      </c>
      <c r="AM38" s="53">
        <f t="shared" si="115"/>
        <v>0</v>
      </c>
      <c r="AN38" s="53">
        <f t="shared" si="115"/>
        <v>0</v>
      </c>
      <c r="AO38" s="53">
        <f t="shared" si="115"/>
        <v>0</v>
      </c>
      <c r="AP38" s="53">
        <f t="shared" si="115"/>
        <v>0</v>
      </c>
      <c r="AQ38" s="53">
        <f t="shared" si="115"/>
        <v>0</v>
      </c>
      <c r="AR38" s="53">
        <f t="shared" si="115"/>
        <v>0</v>
      </c>
      <c r="AS38" s="53">
        <f t="shared" si="115"/>
        <v>0</v>
      </c>
      <c r="AT38" s="53">
        <f t="shared" si="115"/>
        <v>0</v>
      </c>
      <c r="AU38" s="53">
        <f t="shared" si="115"/>
        <v>0</v>
      </c>
      <c r="AV38" s="53">
        <f t="shared" si="115"/>
        <v>0</v>
      </c>
      <c r="AW38" s="53">
        <f t="shared" si="115"/>
        <v>0</v>
      </c>
      <c r="AX38" s="53">
        <f t="shared" si="115"/>
        <v>0</v>
      </c>
      <c r="AY38" s="53">
        <f t="shared" si="115"/>
        <v>0</v>
      </c>
      <c r="AZ38" s="53">
        <f t="shared" si="115"/>
        <v>0</v>
      </c>
      <c r="BA38" s="53">
        <f t="shared" si="115"/>
        <v>0</v>
      </c>
      <c r="BB38" s="53">
        <f t="shared" si="115"/>
        <v>0</v>
      </c>
      <c r="BC38" s="53">
        <f t="shared" si="115"/>
        <v>0</v>
      </c>
      <c r="BD38" s="53">
        <f t="shared" si="115"/>
        <v>0</v>
      </c>
      <c r="BE38" s="53">
        <f t="shared" si="115"/>
        <v>0</v>
      </c>
      <c r="BI38" s="38"/>
      <c r="BJ38" s="38"/>
    </row>
    <row r="39" spans="2:62">
      <c r="B39" s="53" t="s">
        <v>266</v>
      </c>
      <c r="C39" s="53"/>
      <c r="D39" s="53"/>
      <c r="E39" s="53"/>
      <c r="F39" s="53">
        <f t="shared" ref="F39:AK39" si="116">IF($X$12="Revenue Impact",F34,0)</f>
        <v>0</v>
      </c>
      <c r="G39" s="53">
        <f t="shared" si="116"/>
        <v>0</v>
      </c>
      <c r="H39" s="53">
        <f t="shared" si="116"/>
        <v>0</v>
      </c>
      <c r="I39" s="53">
        <f t="shared" si="116"/>
        <v>0</v>
      </c>
      <c r="J39" s="53">
        <f t="shared" si="116"/>
        <v>0</v>
      </c>
      <c r="K39" s="53">
        <f t="shared" si="116"/>
        <v>0</v>
      </c>
      <c r="L39" s="53">
        <f t="shared" si="116"/>
        <v>0</v>
      </c>
      <c r="M39" s="53">
        <f t="shared" si="116"/>
        <v>0</v>
      </c>
      <c r="N39" s="53">
        <f t="shared" si="116"/>
        <v>0</v>
      </c>
      <c r="O39" s="53">
        <f t="shared" si="116"/>
        <v>0</v>
      </c>
      <c r="P39" s="53">
        <f t="shared" si="116"/>
        <v>0</v>
      </c>
      <c r="Q39" s="53">
        <f t="shared" si="116"/>
        <v>0</v>
      </c>
      <c r="R39" s="53">
        <f t="shared" si="116"/>
        <v>0</v>
      </c>
      <c r="S39" s="53">
        <f t="shared" si="116"/>
        <v>0</v>
      </c>
      <c r="T39" s="53">
        <f t="shared" si="116"/>
        <v>0</v>
      </c>
      <c r="U39" s="53">
        <f t="shared" si="116"/>
        <v>0</v>
      </c>
      <c r="V39" s="53">
        <f t="shared" si="116"/>
        <v>0</v>
      </c>
      <c r="W39" s="53">
        <f t="shared" si="116"/>
        <v>0</v>
      </c>
      <c r="X39" s="53">
        <f t="shared" si="116"/>
        <v>0</v>
      </c>
      <c r="Y39" s="53">
        <f t="shared" si="116"/>
        <v>0</v>
      </c>
      <c r="Z39" s="53">
        <f t="shared" si="116"/>
        <v>0</v>
      </c>
      <c r="AA39" s="53">
        <f t="shared" si="116"/>
        <v>0</v>
      </c>
      <c r="AB39" s="53">
        <f t="shared" si="116"/>
        <v>0</v>
      </c>
      <c r="AC39" s="53">
        <f t="shared" si="116"/>
        <v>0</v>
      </c>
      <c r="AD39" s="53">
        <f t="shared" si="116"/>
        <v>0</v>
      </c>
      <c r="AE39" s="53">
        <f t="shared" si="116"/>
        <v>0</v>
      </c>
      <c r="AF39" s="53">
        <f t="shared" si="116"/>
        <v>0</v>
      </c>
      <c r="AG39" s="53">
        <f t="shared" si="116"/>
        <v>0</v>
      </c>
      <c r="AH39" s="53">
        <f t="shared" si="116"/>
        <v>0</v>
      </c>
      <c r="AI39" s="53">
        <f t="shared" si="116"/>
        <v>0</v>
      </c>
      <c r="AJ39" s="53">
        <f t="shared" si="116"/>
        <v>0</v>
      </c>
      <c r="AK39" s="53">
        <f t="shared" si="116"/>
        <v>0</v>
      </c>
      <c r="AL39" s="53">
        <f t="shared" ref="AL39:BE39" si="117">IF($X$12="Revenue Impact",AL34,0)</f>
        <v>0</v>
      </c>
      <c r="AM39" s="53">
        <f t="shared" si="117"/>
        <v>0</v>
      </c>
      <c r="AN39" s="53">
        <f t="shared" si="117"/>
        <v>0</v>
      </c>
      <c r="AO39" s="53">
        <f t="shared" si="117"/>
        <v>0</v>
      </c>
      <c r="AP39" s="53">
        <f t="shared" si="117"/>
        <v>0</v>
      </c>
      <c r="AQ39" s="53">
        <f t="shared" si="117"/>
        <v>0</v>
      </c>
      <c r="AR39" s="53">
        <f t="shared" si="117"/>
        <v>0</v>
      </c>
      <c r="AS39" s="53">
        <f t="shared" si="117"/>
        <v>0</v>
      </c>
      <c r="AT39" s="53">
        <f t="shared" si="117"/>
        <v>0</v>
      </c>
      <c r="AU39" s="53">
        <f t="shared" si="117"/>
        <v>0</v>
      </c>
      <c r="AV39" s="53">
        <f t="shared" si="117"/>
        <v>0</v>
      </c>
      <c r="AW39" s="53">
        <f t="shared" si="117"/>
        <v>0</v>
      </c>
      <c r="AX39" s="53">
        <f t="shared" si="117"/>
        <v>0</v>
      </c>
      <c r="AY39" s="53">
        <f t="shared" si="117"/>
        <v>0</v>
      </c>
      <c r="AZ39" s="53">
        <f t="shared" si="117"/>
        <v>0</v>
      </c>
      <c r="BA39" s="53">
        <f t="shared" si="117"/>
        <v>0</v>
      </c>
      <c r="BB39" s="53">
        <f t="shared" si="117"/>
        <v>0</v>
      </c>
      <c r="BC39" s="53">
        <f t="shared" si="117"/>
        <v>0</v>
      </c>
      <c r="BD39" s="53">
        <f t="shared" si="117"/>
        <v>0</v>
      </c>
      <c r="BE39" s="53">
        <f t="shared" si="117"/>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18">IF($X$12="Cost Savings",F33,0)</f>
        <v>0</v>
      </c>
      <c r="G41" s="53">
        <f t="shared" si="118"/>
        <v>0</v>
      </c>
      <c r="H41" s="53">
        <f t="shared" si="118"/>
        <v>0</v>
      </c>
      <c r="I41" s="53">
        <f t="shared" si="118"/>
        <v>0</v>
      </c>
      <c r="J41" s="53">
        <f t="shared" si="118"/>
        <v>0</v>
      </c>
      <c r="K41" s="53">
        <f t="shared" si="118"/>
        <v>0</v>
      </c>
      <c r="L41" s="53">
        <f t="shared" si="118"/>
        <v>0</v>
      </c>
      <c r="M41" s="53">
        <f t="shared" si="118"/>
        <v>0</v>
      </c>
      <c r="N41" s="53">
        <f t="shared" si="118"/>
        <v>0</v>
      </c>
      <c r="O41" s="53">
        <f t="shared" si="118"/>
        <v>0</v>
      </c>
      <c r="P41" s="53">
        <f t="shared" si="118"/>
        <v>0</v>
      </c>
      <c r="Q41" s="53">
        <f t="shared" si="118"/>
        <v>0</v>
      </c>
      <c r="R41" s="53">
        <f t="shared" si="118"/>
        <v>0</v>
      </c>
      <c r="S41" s="53">
        <f t="shared" si="118"/>
        <v>0</v>
      </c>
      <c r="T41" s="53">
        <f t="shared" si="118"/>
        <v>0</v>
      </c>
      <c r="U41" s="53">
        <f t="shared" si="118"/>
        <v>0</v>
      </c>
      <c r="V41" s="53">
        <f t="shared" si="118"/>
        <v>0</v>
      </c>
      <c r="W41" s="53">
        <f t="shared" si="118"/>
        <v>0</v>
      </c>
      <c r="X41" s="53">
        <f t="shared" si="118"/>
        <v>0</v>
      </c>
      <c r="Y41" s="53">
        <f t="shared" si="118"/>
        <v>0</v>
      </c>
      <c r="Z41" s="53">
        <f t="shared" si="118"/>
        <v>0</v>
      </c>
      <c r="AA41" s="53">
        <f t="shared" si="118"/>
        <v>0</v>
      </c>
      <c r="AB41" s="53">
        <f t="shared" si="118"/>
        <v>0</v>
      </c>
      <c r="AC41" s="53">
        <f t="shared" si="118"/>
        <v>0</v>
      </c>
      <c r="AD41" s="53">
        <f t="shared" si="118"/>
        <v>0</v>
      </c>
      <c r="AE41" s="53">
        <f t="shared" si="118"/>
        <v>0</v>
      </c>
      <c r="AF41" s="53">
        <f t="shared" si="118"/>
        <v>0</v>
      </c>
      <c r="AG41" s="53">
        <f t="shared" si="118"/>
        <v>0</v>
      </c>
      <c r="AH41" s="53">
        <f t="shared" si="118"/>
        <v>0</v>
      </c>
      <c r="AI41" s="53">
        <f t="shared" si="118"/>
        <v>0</v>
      </c>
      <c r="AJ41" s="53">
        <f t="shared" si="118"/>
        <v>0</v>
      </c>
      <c r="AK41" s="53">
        <f t="shared" si="118"/>
        <v>0</v>
      </c>
      <c r="AL41" s="53">
        <f t="shared" ref="AL41:BE41" si="119">IF($X$12="Cost Savings",AL33,0)</f>
        <v>0</v>
      </c>
      <c r="AM41" s="53">
        <f t="shared" si="119"/>
        <v>0</v>
      </c>
      <c r="AN41" s="53">
        <f t="shared" si="119"/>
        <v>0</v>
      </c>
      <c r="AO41" s="53">
        <f t="shared" si="119"/>
        <v>0</v>
      </c>
      <c r="AP41" s="53">
        <f t="shared" si="119"/>
        <v>0</v>
      </c>
      <c r="AQ41" s="53">
        <f t="shared" si="119"/>
        <v>0</v>
      </c>
      <c r="AR41" s="53">
        <f t="shared" si="119"/>
        <v>0</v>
      </c>
      <c r="AS41" s="53">
        <f t="shared" si="119"/>
        <v>0</v>
      </c>
      <c r="AT41" s="53">
        <f t="shared" si="119"/>
        <v>0</v>
      </c>
      <c r="AU41" s="53">
        <f t="shared" si="119"/>
        <v>0</v>
      </c>
      <c r="AV41" s="53">
        <f t="shared" si="119"/>
        <v>0</v>
      </c>
      <c r="AW41" s="53">
        <f t="shared" si="119"/>
        <v>0</v>
      </c>
      <c r="AX41" s="53">
        <f t="shared" si="119"/>
        <v>0</v>
      </c>
      <c r="AY41" s="53">
        <f t="shared" si="119"/>
        <v>0</v>
      </c>
      <c r="AZ41" s="53">
        <f t="shared" si="119"/>
        <v>0</v>
      </c>
      <c r="BA41" s="53">
        <f t="shared" si="119"/>
        <v>0</v>
      </c>
      <c r="BB41" s="53">
        <f t="shared" si="119"/>
        <v>0</v>
      </c>
      <c r="BC41" s="53">
        <f t="shared" si="119"/>
        <v>0</v>
      </c>
      <c r="BD41" s="53">
        <f t="shared" si="119"/>
        <v>0</v>
      </c>
      <c r="BE41" s="53">
        <f t="shared" si="119"/>
        <v>0</v>
      </c>
      <c r="BI41" s="38"/>
      <c r="BJ41" s="38"/>
    </row>
    <row r="42" spans="2:62">
      <c r="B42" s="53" t="s">
        <v>268</v>
      </c>
      <c r="C42" s="53"/>
      <c r="D42" s="53"/>
      <c r="E42" s="53"/>
      <c r="F42" s="53">
        <f t="shared" ref="F42:AK42" si="120">IF($X$12="Cost Savings",F34,0)</f>
        <v>0</v>
      </c>
      <c r="G42" s="53">
        <f t="shared" si="120"/>
        <v>0</v>
      </c>
      <c r="H42" s="53">
        <f t="shared" si="120"/>
        <v>0</v>
      </c>
      <c r="I42" s="53">
        <f t="shared" si="120"/>
        <v>0</v>
      </c>
      <c r="J42" s="53">
        <f t="shared" si="120"/>
        <v>0</v>
      </c>
      <c r="K42" s="53">
        <f t="shared" si="120"/>
        <v>0</v>
      </c>
      <c r="L42" s="53">
        <f t="shared" si="120"/>
        <v>0</v>
      </c>
      <c r="M42" s="53">
        <f t="shared" si="120"/>
        <v>0</v>
      </c>
      <c r="N42" s="53">
        <f t="shared" si="120"/>
        <v>0</v>
      </c>
      <c r="O42" s="53">
        <f t="shared" si="120"/>
        <v>0</v>
      </c>
      <c r="P42" s="53">
        <f t="shared" si="120"/>
        <v>0</v>
      </c>
      <c r="Q42" s="53">
        <f t="shared" si="120"/>
        <v>0</v>
      </c>
      <c r="R42" s="53">
        <f t="shared" si="120"/>
        <v>0</v>
      </c>
      <c r="S42" s="53">
        <f t="shared" si="120"/>
        <v>0</v>
      </c>
      <c r="T42" s="53">
        <f t="shared" si="120"/>
        <v>0</v>
      </c>
      <c r="U42" s="53">
        <f t="shared" si="120"/>
        <v>0</v>
      </c>
      <c r="V42" s="53">
        <f t="shared" si="120"/>
        <v>0</v>
      </c>
      <c r="W42" s="53">
        <f t="shared" si="120"/>
        <v>0</v>
      </c>
      <c r="X42" s="53">
        <f t="shared" si="120"/>
        <v>0</v>
      </c>
      <c r="Y42" s="53">
        <f t="shared" si="120"/>
        <v>0</v>
      </c>
      <c r="Z42" s="53">
        <f t="shared" si="120"/>
        <v>0</v>
      </c>
      <c r="AA42" s="53">
        <f t="shared" si="120"/>
        <v>0</v>
      </c>
      <c r="AB42" s="53">
        <f t="shared" si="120"/>
        <v>0</v>
      </c>
      <c r="AC42" s="53">
        <f t="shared" si="120"/>
        <v>0</v>
      </c>
      <c r="AD42" s="53">
        <f t="shared" si="120"/>
        <v>0</v>
      </c>
      <c r="AE42" s="53">
        <f t="shared" si="120"/>
        <v>0</v>
      </c>
      <c r="AF42" s="53">
        <f t="shared" si="120"/>
        <v>0</v>
      </c>
      <c r="AG42" s="53">
        <f t="shared" si="120"/>
        <v>0</v>
      </c>
      <c r="AH42" s="53">
        <f t="shared" si="120"/>
        <v>0</v>
      </c>
      <c r="AI42" s="53">
        <f t="shared" si="120"/>
        <v>0</v>
      </c>
      <c r="AJ42" s="53">
        <f t="shared" si="120"/>
        <v>0</v>
      </c>
      <c r="AK42" s="53">
        <f t="shared" si="120"/>
        <v>0</v>
      </c>
      <c r="AL42" s="53">
        <f t="shared" ref="AL42:BE42" si="121">IF($X$12="Cost Savings",AL34,0)</f>
        <v>0</v>
      </c>
      <c r="AM42" s="53">
        <f t="shared" si="121"/>
        <v>0</v>
      </c>
      <c r="AN42" s="53">
        <f t="shared" si="121"/>
        <v>0</v>
      </c>
      <c r="AO42" s="53">
        <f t="shared" si="121"/>
        <v>0</v>
      </c>
      <c r="AP42" s="53">
        <f t="shared" si="121"/>
        <v>0</v>
      </c>
      <c r="AQ42" s="53">
        <f t="shared" si="121"/>
        <v>0</v>
      </c>
      <c r="AR42" s="53">
        <f t="shared" si="121"/>
        <v>0</v>
      </c>
      <c r="AS42" s="53">
        <f t="shared" si="121"/>
        <v>0</v>
      </c>
      <c r="AT42" s="53">
        <f t="shared" si="121"/>
        <v>0</v>
      </c>
      <c r="AU42" s="53">
        <f t="shared" si="121"/>
        <v>0</v>
      </c>
      <c r="AV42" s="53">
        <f t="shared" si="121"/>
        <v>0</v>
      </c>
      <c r="AW42" s="53">
        <f t="shared" si="121"/>
        <v>0</v>
      </c>
      <c r="AX42" s="53">
        <f t="shared" si="121"/>
        <v>0</v>
      </c>
      <c r="AY42" s="53">
        <f t="shared" si="121"/>
        <v>0</v>
      </c>
      <c r="AZ42" s="53">
        <f t="shared" si="121"/>
        <v>0</v>
      </c>
      <c r="BA42" s="53">
        <f t="shared" si="121"/>
        <v>0</v>
      </c>
      <c r="BB42" s="53">
        <f t="shared" si="121"/>
        <v>0</v>
      </c>
      <c r="BC42" s="53">
        <f t="shared" si="121"/>
        <v>0</v>
      </c>
      <c r="BD42" s="53">
        <f t="shared" si="121"/>
        <v>0</v>
      </c>
      <c r="BE42" s="53">
        <f t="shared" si="121"/>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22">G38+G41</f>
        <v>0</v>
      </c>
      <c r="H44" s="53">
        <f t="shared" si="122"/>
        <v>0</v>
      </c>
      <c r="I44" s="53">
        <f t="shared" si="122"/>
        <v>0</v>
      </c>
      <c r="J44" s="53">
        <f t="shared" si="122"/>
        <v>0</v>
      </c>
      <c r="K44" s="53">
        <f t="shared" si="122"/>
        <v>0</v>
      </c>
      <c r="L44" s="53">
        <f t="shared" si="122"/>
        <v>0</v>
      </c>
      <c r="M44" s="53">
        <f t="shared" si="122"/>
        <v>0</v>
      </c>
      <c r="N44" s="53">
        <f t="shared" si="122"/>
        <v>0</v>
      </c>
      <c r="O44" s="53">
        <f t="shared" si="122"/>
        <v>0</v>
      </c>
      <c r="P44" s="53">
        <f t="shared" si="122"/>
        <v>0</v>
      </c>
      <c r="Q44" s="53">
        <f t="shared" si="122"/>
        <v>0</v>
      </c>
      <c r="R44" s="53">
        <f t="shared" si="122"/>
        <v>0</v>
      </c>
      <c r="S44" s="53">
        <f t="shared" si="122"/>
        <v>0</v>
      </c>
      <c r="T44" s="53">
        <f t="shared" si="122"/>
        <v>0</v>
      </c>
      <c r="U44" s="53">
        <f t="shared" si="122"/>
        <v>0</v>
      </c>
      <c r="V44" s="53">
        <f t="shared" si="122"/>
        <v>0</v>
      </c>
      <c r="W44" s="53">
        <f t="shared" si="122"/>
        <v>0</v>
      </c>
      <c r="X44" s="53">
        <f t="shared" si="122"/>
        <v>0</v>
      </c>
      <c r="Y44" s="53">
        <f t="shared" si="122"/>
        <v>0</v>
      </c>
      <c r="Z44" s="53">
        <f t="shared" si="122"/>
        <v>0</v>
      </c>
      <c r="AA44" s="53">
        <f t="shared" si="122"/>
        <v>0</v>
      </c>
      <c r="AB44" s="53">
        <f t="shared" si="122"/>
        <v>0</v>
      </c>
      <c r="AC44" s="53">
        <f t="shared" si="122"/>
        <v>0</v>
      </c>
      <c r="AD44" s="53">
        <f t="shared" si="122"/>
        <v>0</v>
      </c>
      <c r="AE44" s="53">
        <f t="shared" si="122"/>
        <v>0</v>
      </c>
      <c r="AF44" s="53">
        <f t="shared" si="122"/>
        <v>0</v>
      </c>
      <c r="AG44" s="53">
        <f t="shared" si="122"/>
        <v>0</v>
      </c>
      <c r="AH44" s="53">
        <f t="shared" si="122"/>
        <v>0</v>
      </c>
      <c r="AI44" s="53">
        <f t="shared" si="122"/>
        <v>0</v>
      </c>
      <c r="AJ44" s="53">
        <f t="shared" si="122"/>
        <v>0</v>
      </c>
      <c r="AK44" s="53">
        <f t="shared" si="122"/>
        <v>0</v>
      </c>
      <c r="AL44" s="53">
        <f t="shared" si="122"/>
        <v>0</v>
      </c>
      <c r="AM44" s="53">
        <f t="shared" si="122"/>
        <v>0</v>
      </c>
      <c r="AN44" s="53">
        <f t="shared" si="122"/>
        <v>0</v>
      </c>
      <c r="AO44" s="53">
        <f t="shared" si="122"/>
        <v>0</v>
      </c>
      <c r="AP44" s="53">
        <f t="shared" si="122"/>
        <v>0</v>
      </c>
      <c r="AQ44" s="53">
        <f t="shared" si="122"/>
        <v>0</v>
      </c>
      <c r="AR44" s="53">
        <f t="shared" si="122"/>
        <v>0</v>
      </c>
      <c r="AS44" s="53">
        <f t="shared" si="122"/>
        <v>0</v>
      </c>
      <c r="AT44" s="53">
        <f t="shared" si="122"/>
        <v>0</v>
      </c>
      <c r="AU44" s="53">
        <f t="shared" si="122"/>
        <v>0</v>
      </c>
      <c r="AV44" s="53">
        <f t="shared" si="122"/>
        <v>0</v>
      </c>
      <c r="AW44" s="53">
        <f t="shared" si="122"/>
        <v>0</v>
      </c>
      <c r="AX44" s="53">
        <f t="shared" si="122"/>
        <v>0</v>
      </c>
      <c r="AY44" s="53">
        <f t="shared" si="122"/>
        <v>0</v>
      </c>
      <c r="AZ44" s="53">
        <f t="shared" si="122"/>
        <v>0</v>
      </c>
      <c r="BA44" s="53">
        <f t="shared" si="122"/>
        <v>0</v>
      </c>
      <c r="BB44" s="53">
        <f t="shared" si="122"/>
        <v>0</v>
      </c>
      <c r="BC44" s="53">
        <f t="shared" si="122"/>
        <v>0</v>
      </c>
      <c r="BD44" s="53">
        <f t="shared" si="122"/>
        <v>0</v>
      </c>
      <c r="BE44" s="53">
        <f t="shared" si="122"/>
        <v>0</v>
      </c>
    </row>
    <row r="45" spans="2:62">
      <c r="B45" s="53" t="s">
        <v>237</v>
      </c>
      <c r="C45" s="53"/>
      <c r="D45" s="53"/>
      <c r="E45" s="53"/>
      <c r="F45" s="53">
        <f t="shared" ref="F45:BE45" si="123">F39+F42</f>
        <v>0</v>
      </c>
      <c r="G45" s="53">
        <f t="shared" si="123"/>
        <v>0</v>
      </c>
      <c r="H45" s="53">
        <f t="shared" si="123"/>
        <v>0</v>
      </c>
      <c r="I45" s="53">
        <f t="shared" si="123"/>
        <v>0</v>
      </c>
      <c r="J45" s="53">
        <f t="shared" si="123"/>
        <v>0</v>
      </c>
      <c r="K45" s="53">
        <f t="shared" si="123"/>
        <v>0</v>
      </c>
      <c r="L45" s="53">
        <f t="shared" si="123"/>
        <v>0</v>
      </c>
      <c r="M45" s="53">
        <f t="shared" si="123"/>
        <v>0</v>
      </c>
      <c r="N45" s="53">
        <f t="shared" si="123"/>
        <v>0</v>
      </c>
      <c r="O45" s="53">
        <f t="shared" si="123"/>
        <v>0</v>
      </c>
      <c r="P45" s="53">
        <f t="shared" si="123"/>
        <v>0</v>
      </c>
      <c r="Q45" s="53">
        <f t="shared" si="123"/>
        <v>0</v>
      </c>
      <c r="R45" s="53">
        <f t="shared" si="123"/>
        <v>0</v>
      </c>
      <c r="S45" s="53">
        <f t="shared" si="123"/>
        <v>0</v>
      </c>
      <c r="T45" s="53">
        <f t="shared" si="123"/>
        <v>0</v>
      </c>
      <c r="U45" s="53">
        <f t="shared" si="123"/>
        <v>0</v>
      </c>
      <c r="V45" s="53">
        <f t="shared" si="123"/>
        <v>0</v>
      </c>
      <c r="W45" s="53">
        <f t="shared" si="123"/>
        <v>0</v>
      </c>
      <c r="X45" s="53">
        <f t="shared" si="123"/>
        <v>0</v>
      </c>
      <c r="Y45" s="53">
        <f t="shared" si="123"/>
        <v>0</v>
      </c>
      <c r="Z45" s="53">
        <f t="shared" si="123"/>
        <v>0</v>
      </c>
      <c r="AA45" s="53">
        <f t="shared" si="123"/>
        <v>0</v>
      </c>
      <c r="AB45" s="53">
        <f t="shared" si="123"/>
        <v>0</v>
      </c>
      <c r="AC45" s="53">
        <f t="shared" si="123"/>
        <v>0</v>
      </c>
      <c r="AD45" s="53">
        <f t="shared" si="123"/>
        <v>0</v>
      </c>
      <c r="AE45" s="53">
        <f t="shared" si="123"/>
        <v>0</v>
      </c>
      <c r="AF45" s="53">
        <f t="shared" si="123"/>
        <v>0</v>
      </c>
      <c r="AG45" s="53">
        <f t="shared" si="123"/>
        <v>0</v>
      </c>
      <c r="AH45" s="53">
        <f t="shared" si="123"/>
        <v>0</v>
      </c>
      <c r="AI45" s="53">
        <f t="shared" si="123"/>
        <v>0</v>
      </c>
      <c r="AJ45" s="53">
        <f t="shared" si="123"/>
        <v>0</v>
      </c>
      <c r="AK45" s="53">
        <f t="shared" si="123"/>
        <v>0</v>
      </c>
      <c r="AL45" s="53">
        <f t="shared" si="123"/>
        <v>0</v>
      </c>
      <c r="AM45" s="53">
        <f t="shared" si="123"/>
        <v>0</v>
      </c>
      <c r="AN45" s="53">
        <f t="shared" si="123"/>
        <v>0</v>
      </c>
      <c r="AO45" s="53">
        <f t="shared" si="123"/>
        <v>0</v>
      </c>
      <c r="AP45" s="53">
        <f t="shared" si="123"/>
        <v>0</v>
      </c>
      <c r="AQ45" s="53">
        <f t="shared" si="123"/>
        <v>0</v>
      </c>
      <c r="AR45" s="53">
        <f t="shared" si="123"/>
        <v>0</v>
      </c>
      <c r="AS45" s="53">
        <f t="shared" si="123"/>
        <v>0</v>
      </c>
      <c r="AT45" s="53">
        <f t="shared" si="123"/>
        <v>0</v>
      </c>
      <c r="AU45" s="53">
        <f t="shared" si="123"/>
        <v>0</v>
      </c>
      <c r="AV45" s="53">
        <f t="shared" si="123"/>
        <v>0</v>
      </c>
      <c r="AW45" s="53">
        <f t="shared" si="123"/>
        <v>0</v>
      </c>
      <c r="AX45" s="53">
        <f t="shared" si="123"/>
        <v>0</v>
      </c>
      <c r="AY45" s="53">
        <f t="shared" si="123"/>
        <v>0</v>
      </c>
      <c r="AZ45" s="53">
        <f t="shared" si="123"/>
        <v>0</v>
      </c>
      <c r="BA45" s="53">
        <f t="shared" si="123"/>
        <v>0</v>
      </c>
      <c r="BB45" s="53">
        <f t="shared" si="123"/>
        <v>0</v>
      </c>
      <c r="BC45" s="53">
        <f t="shared" si="123"/>
        <v>0</v>
      </c>
      <c r="BD45" s="53">
        <f t="shared" si="123"/>
        <v>0</v>
      </c>
      <c r="BE45" s="53">
        <f t="shared" si="123"/>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7" ca="1" si="124">IF($AZ$3&gt;G24,G44,0)</f>
        <v>0</v>
      </c>
      <c r="H47" s="53">
        <f t="shared" ca="1" si="124"/>
        <v>0</v>
      </c>
      <c r="I47" s="53">
        <f t="shared" ca="1" si="124"/>
        <v>0</v>
      </c>
      <c r="J47" s="53">
        <f t="shared" ca="1" si="124"/>
        <v>0</v>
      </c>
      <c r="K47" s="53">
        <f t="shared" ca="1" si="124"/>
        <v>0</v>
      </c>
      <c r="L47" s="53">
        <f t="shared" ca="1" si="124"/>
        <v>0</v>
      </c>
      <c r="M47" s="53">
        <f t="shared" ca="1" si="124"/>
        <v>0</v>
      </c>
      <c r="N47" s="53">
        <f t="shared" ca="1" si="124"/>
        <v>0</v>
      </c>
      <c r="O47" s="53">
        <f t="shared" ca="1" si="124"/>
        <v>0</v>
      </c>
      <c r="P47" s="53">
        <f t="shared" ca="1" si="124"/>
        <v>0</v>
      </c>
      <c r="Q47" s="53">
        <f t="shared" ca="1" si="124"/>
        <v>0</v>
      </c>
      <c r="R47" s="53">
        <f t="shared" ca="1" si="124"/>
        <v>0</v>
      </c>
      <c r="S47" s="53">
        <f t="shared" ca="1" si="124"/>
        <v>0</v>
      </c>
      <c r="T47" s="53">
        <f t="shared" ca="1" si="124"/>
        <v>0</v>
      </c>
      <c r="U47" s="53">
        <f t="shared" ca="1" si="124"/>
        <v>0</v>
      </c>
      <c r="V47" s="53">
        <f t="shared" ca="1" si="124"/>
        <v>0</v>
      </c>
      <c r="W47" s="53">
        <f t="shared" ca="1" si="124"/>
        <v>0</v>
      </c>
      <c r="X47" s="53">
        <f t="shared" ca="1" si="124"/>
        <v>0</v>
      </c>
      <c r="Y47" s="53">
        <f t="shared" ca="1" si="124"/>
        <v>0</v>
      </c>
      <c r="Z47" s="53">
        <f t="shared" ca="1" si="124"/>
        <v>0</v>
      </c>
      <c r="AA47" s="53">
        <f t="shared" ca="1" si="124"/>
        <v>0</v>
      </c>
      <c r="AB47" s="53">
        <f t="shared" ca="1" si="124"/>
        <v>0</v>
      </c>
      <c r="AC47" s="53">
        <f t="shared" ca="1" si="124"/>
        <v>0</v>
      </c>
      <c r="AD47" s="53">
        <f t="shared" ca="1" si="124"/>
        <v>0</v>
      </c>
      <c r="AE47" s="53">
        <f t="shared" ca="1" si="124"/>
        <v>0</v>
      </c>
      <c r="AF47" s="53">
        <f t="shared" ca="1" si="124"/>
        <v>0</v>
      </c>
      <c r="AG47" s="53">
        <f t="shared" ca="1" si="124"/>
        <v>0</v>
      </c>
      <c r="AH47" s="53">
        <f t="shared" ca="1" si="124"/>
        <v>0</v>
      </c>
      <c r="AI47" s="53">
        <f t="shared" ca="1" si="124"/>
        <v>0</v>
      </c>
      <c r="AJ47" s="53">
        <f t="shared" ca="1" si="124"/>
        <v>0</v>
      </c>
      <c r="AK47" s="53">
        <f t="shared" ca="1" si="124"/>
        <v>0</v>
      </c>
      <c r="AL47" s="53">
        <f t="shared" ca="1" si="124"/>
        <v>0</v>
      </c>
      <c r="AM47" s="53">
        <f t="shared" ca="1" si="124"/>
        <v>0</v>
      </c>
      <c r="AN47" s="53">
        <f t="shared" ca="1" si="124"/>
        <v>0</v>
      </c>
      <c r="AO47" s="53">
        <f t="shared" ca="1" si="124"/>
        <v>0</v>
      </c>
      <c r="AP47" s="53">
        <f t="shared" ca="1" si="124"/>
        <v>0</v>
      </c>
      <c r="AQ47" s="53">
        <f t="shared" ca="1" si="124"/>
        <v>0</v>
      </c>
      <c r="AR47" s="53">
        <f t="shared" ca="1" si="124"/>
        <v>0</v>
      </c>
      <c r="AS47" s="53">
        <f t="shared" ca="1" si="124"/>
        <v>0</v>
      </c>
      <c r="AT47" s="53">
        <f t="shared" ca="1" si="124"/>
        <v>0</v>
      </c>
      <c r="AU47" s="53">
        <f t="shared" ca="1" si="124"/>
        <v>0</v>
      </c>
      <c r="AV47" s="53">
        <f t="shared" ca="1" si="124"/>
        <v>0</v>
      </c>
      <c r="AW47" s="53">
        <f t="shared" ca="1" si="124"/>
        <v>0</v>
      </c>
      <c r="AX47" s="53">
        <f t="shared" ca="1" si="124"/>
        <v>0</v>
      </c>
      <c r="AY47" s="53">
        <f t="shared" ca="1" si="124"/>
        <v>0</v>
      </c>
      <c r="AZ47" s="53">
        <f t="shared" ca="1" si="124"/>
        <v>0</v>
      </c>
      <c r="BA47" s="53">
        <f t="shared" ca="1" si="124"/>
        <v>0</v>
      </c>
      <c r="BB47" s="53">
        <f t="shared" ca="1" si="124"/>
        <v>0</v>
      </c>
      <c r="BC47" s="53">
        <f t="shared" ca="1" si="124"/>
        <v>0</v>
      </c>
      <c r="BD47" s="53">
        <f t="shared" ca="1" si="124"/>
        <v>0</v>
      </c>
      <c r="BE47" s="53">
        <f t="shared" ca="1" si="124"/>
        <v>0</v>
      </c>
    </row>
    <row r="48" spans="2:62">
      <c r="B48" s="53" t="s">
        <v>270</v>
      </c>
      <c r="C48" s="53"/>
      <c r="D48" s="53"/>
      <c r="E48" s="53">
        <f ca="1">MAX(F48:BE48)</f>
        <v>0</v>
      </c>
      <c r="F48" s="53">
        <f ca="1">IF($AZ$3&gt;F25,F45,0)</f>
        <v>0</v>
      </c>
      <c r="G48" s="53">
        <f t="shared" ref="G48:BE48" ca="1" si="125">IF($AZ$3&gt;G25,G45,0)</f>
        <v>0</v>
      </c>
      <c r="H48" s="53">
        <f t="shared" ca="1" si="125"/>
        <v>0</v>
      </c>
      <c r="I48" s="53">
        <f t="shared" ca="1" si="125"/>
        <v>0</v>
      </c>
      <c r="J48" s="53">
        <f t="shared" ca="1" si="125"/>
        <v>0</v>
      </c>
      <c r="K48" s="53">
        <f t="shared" ca="1" si="125"/>
        <v>0</v>
      </c>
      <c r="L48" s="53">
        <f t="shared" ca="1" si="125"/>
        <v>0</v>
      </c>
      <c r="M48" s="53">
        <f t="shared" ca="1" si="125"/>
        <v>0</v>
      </c>
      <c r="N48" s="53">
        <f t="shared" ca="1" si="125"/>
        <v>0</v>
      </c>
      <c r="O48" s="53">
        <f t="shared" ca="1" si="125"/>
        <v>0</v>
      </c>
      <c r="P48" s="53">
        <f t="shared" ca="1" si="125"/>
        <v>0</v>
      </c>
      <c r="Q48" s="53">
        <f t="shared" ca="1" si="125"/>
        <v>0</v>
      </c>
      <c r="R48" s="53">
        <f t="shared" ca="1" si="125"/>
        <v>0</v>
      </c>
      <c r="S48" s="53">
        <f t="shared" ca="1" si="125"/>
        <v>0</v>
      </c>
      <c r="T48" s="53">
        <f t="shared" ca="1" si="125"/>
        <v>0</v>
      </c>
      <c r="U48" s="53">
        <f t="shared" ca="1" si="125"/>
        <v>0</v>
      </c>
      <c r="V48" s="53">
        <f t="shared" ca="1" si="125"/>
        <v>0</v>
      </c>
      <c r="W48" s="53">
        <f t="shared" ca="1" si="125"/>
        <v>0</v>
      </c>
      <c r="X48" s="53">
        <f t="shared" ca="1" si="125"/>
        <v>0</v>
      </c>
      <c r="Y48" s="53">
        <f t="shared" ca="1" si="125"/>
        <v>0</v>
      </c>
      <c r="Z48" s="53">
        <f t="shared" ca="1" si="125"/>
        <v>0</v>
      </c>
      <c r="AA48" s="53">
        <f t="shared" ca="1" si="125"/>
        <v>0</v>
      </c>
      <c r="AB48" s="53">
        <f t="shared" ca="1" si="125"/>
        <v>0</v>
      </c>
      <c r="AC48" s="53">
        <f t="shared" ca="1" si="125"/>
        <v>0</v>
      </c>
      <c r="AD48" s="53">
        <f t="shared" ca="1" si="125"/>
        <v>0</v>
      </c>
      <c r="AE48" s="53">
        <f t="shared" ca="1" si="125"/>
        <v>0</v>
      </c>
      <c r="AF48" s="53">
        <f t="shared" ca="1" si="125"/>
        <v>0</v>
      </c>
      <c r="AG48" s="53">
        <f t="shared" ca="1" si="125"/>
        <v>0</v>
      </c>
      <c r="AH48" s="53">
        <f t="shared" ca="1" si="125"/>
        <v>0</v>
      </c>
      <c r="AI48" s="53">
        <f t="shared" ca="1" si="125"/>
        <v>0</v>
      </c>
      <c r="AJ48" s="53">
        <f t="shared" ca="1" si="125"/>
        <v>0</v>
      </c>
      <c r="AK48" s="53">
        <f t="shared" ca="1" si="125"/>
        <v>0</v>
      </c>
      <c r="AL48" s="53">
        <f t="shared" ca="1" si="125"/>
        <v>0</v>
      </c>
      <c r="AM48" s="53">
        <f t="shared" ca="1" si="125"/>
        <v>0</v>
      </c>
      <c r="AN48" s="53">
        <f t="shared" ca="1" si="125"/>
        <v>0</v>
      </c>
      <c r="AO48" s="53">
        <f t="shared" ca="1" si="125"/>
        <v>0</v>
      </c>
      <c r="AP48" s="53">
        <f t="shared" ca="1" si="125"/>
        <v>0</v>
      </c>
      <c r="AQ48" s="53">
        <f t="shared" ca="1" si="125"/>
        <v>0</v>
      </c>
      <c r="AR48" s="53">
        <f t="shared" ca="1" si="125"/>
        <v>0</v>
      </c>
      <c r="AS48" s="53">
        <f t="shared" ca="1" si="125"/>
        <v>0</v>
      </c>
      <c r="AT48" s="53">
        <f t="shared" ca="1" si="125"/>
        <v>0</v>
      </c>
      <c r="AU48" s="53">
        <f t="shared" ca="1" si="125"/>
        <v>0</v>
      </c>
      <c r="AV48" s="53">
        <f t="shared" ca="1" si="125"/>
        <v>0</v>
      </c>
      <c r="AW48" s="53">
        <f t="shared" ca="1" si="125"/>
        <v>0</v>
      </c>
      <c r="AX48" s="53">
        <f t="shared" ca="1" si="125"/>
        <v>0</v>
      </c>
      <c r="AY48" s="53">
        <f t="shared" ca="1" si="125"/>
        <v>0</v>
      </c>
      <c r="AZ48" s="53">
        <f t="shared" ca="1" si="125"/>
        <v>0</v>
      </c>
      <c r="BA48" s="53">
        <f t="shared" ca="1" si="125"/>
        <v>0</v>
      </c>
      <c r="BB48" s="53">
        <f t="shared" ca="1" si="125"/>
        <v>0</v>
      </c>
      <c r="BC48" s="53">
        <f t="shared" ca="1" si="125"/>
        <v>0</v>
      </c>
      <c r="BD48" s="53">
        <f t="shared" ca="1" si="125"/>
        <v>0</v>
      </c>
      <c r="BE48" s="53">
        <f t="shared" ca="1" si="125"/>
        <v>0</v>
      </c>
    </row>
  </sheetData>
  <sheetProtection sheet="1" objects="1" scenarios="1" formatColumns="0" formatRows="0"/>
  <mergeCells count="124">
    <mergeCell ref="BB20:BE20"/>
    <mergeCell ref="AZ3:BE3"/>
    <mergeCell ref="BB12:BE12"/>
    <mergeCell ref="BB14:BE14"/>
    <mergeCell ref="BB15:BE15"/>
    <mergeCell ref="BB16:BE16"/>
    <mergeCell ref="BB17:BE17"/>
    <mergeCell ref="BB18:BE18"/>
    <mergeCell ref="AY16:BA16"/>
    <mergeCell ref="AY17:BA17"/>
    <mergeCell ref="AY18:BA18"/>
    <mergeCell ref="AY19:BA19"/>
    <mergeCell ref="AY20:BA20"/>
    <mergeCell ref="BB13:BE13"/>
    <mergeCell ref="AY9:BA9"/>
    <mergeCell ref="AY10:BA10"/>
    <mergeCell ref="AY11:BA11"/>
    <mergeCell ref="AY12:BA12"/>
    <mergeCell ref="BB9:BE9"/>
    <mergeCell ref="BB10:BE10"/>
    <mergeCell ref="BB11:BE11"/>
    <mergeCell ref="BC4:BE4"/>
    <mergeCell ref="BB19:BE19"/>
    <mergeCell ref="AZ4:BB4"/>
    <mergeCell ref="AO19:AU19"/>
    <mergeCell ref="AO15:AU15"/>
    <mergeCell ref="AO16:AU16"/>
    <mergeCell ref="AO12:AU12"/>
    <mergeCell ref="AO13:AU13"/>
    <mergeCell ref="AO14:AU14"/>
    <mergeCell ref="AV20:AX20"/>
    <mergeCell ref="AY13:BA13"/>
    <mergeCell ref="AY14:BA14"/>
    <mergeCell ref="AY15:BA15"/>
    <mergeCell ref="AV13:AX13"/>
    <mergeCell ref="AV14:AX14"/>
    <mergeCell ref="AV15:AX15"/>
    <mergeCell ref="AV16:AX16"/>
    <mergeCell ref="AV17:AX17"/>
    <mergeCell ref="AV18:AX18"/>
    <mergeCell ref="AV19:AX19"/>
    <mergeCell ref="AG9:AN9"/>
    <mergeCell ref="AO9:AU9"/>
    <mergeCell ref="AO10:AU10"/>
    <mergeCell ref="AO11:AU11"/>
    <mergeCell ref="AV10:AX10"/>
    <mergeCell ref="AV11:AX11"/>
    <mergeCell ref="AV12:AX12"/>
    <mergeCell ref="AO17:AU17"/>
    <mergeCell ref="AO18:AU18"/>
    <mergeCell ref="AZ5:BB5"/>
    <mergeCell ref="BC5:BE5"/>
    <mergeCell ref="AO5:AP5"/>
    <mergeCell ref="AQ5:AU5"/>
    <mergeCell ref="F3:AE4"/>
    <mergeCell ref="F5:AE6"/>
    <mergeCell ref="B3:E4"/>
    <mergeCell ref="B5:E6"/>
    <mergeCell ref="AO20:AU20"/>
    <mergeCell ref="B11:D11"/>
    <mergeCell ref="B7:E7"/>
    <mergeCell ref="B8:E8"/>
    <mergeCell ref="B9:E9"/>
    <mergeCell ref="AV3:AX3"/>
    <mergeCell ref="AV4:AX4"/>
    <mergeCell ref="AV5:AX5"/>
    <mergeCell ref="AV6:AX6"/>
    <mergeCell ref="AV9:AX9"/>
    <mergeCell ref="AG6:AU6"/>
    <mergeCell ref="AG3:AN3"/>
    <mergeCell ref="AG4:AN4"/>
    <mergeCell ref="AG5:AN5"/>
    <mergeCell ref="AO3:AU3"/>
    <mergeCell ref="AO4:AU4"/>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F9:AE9"/>
    <mergeCell ref="B25:E25"/>
    <mergeCell ref="B26:E26"/>
    <mergeCell ref="B27:E27"/>
    <mergeCell ref="B29:E29"/>
    <mergeCell ref="B30:E30"/>
    <mergeCell ref="B31:E31"/>
    <mergeCell ref="B33:E33"/>
    <mergeCell ref="B34:E34"/>
    <mergeCell ref="B35:E35"/>
    <mergeCell ref="AY21:BA21"/>
    <mergeCell ref="BB21:BE21"/>
    <mergeCell ref="F7:X7"/>
    <mergeCell ref="Y7:AB7"/>
    <mergeCell ref="AC7:AE7"/>
    <mergeCell ref="B13:D15"/>
    <mergeCell ref="AG10:AN12"/>
    <mergeCell ref="AG13:AN15"/>
    <mergeCell ref="AG16:AN18"/>
    <mergeCell ref="AG19:AN21"/>
    <mergeCell ref="C21:D21"/>
    <mergeCell ref="AO21:AU21"/>
    <mergeCell ref="AV21:AX21"/>
    <mergeCell ref="P13:V13"/>
    <mergeCell ref="O14:V14"/>
    <mergeCell ref="O15:V17"/>
    <mergeCell ref="O18:V18"/>
    <mergeCell ref="O19:V21"/>
    <mergeCell ref="X12:AE12"/>
    <mergeCell ref="Y13:AE13"/>
    <mergeCell ref="X14:AE14"/>
    <mergeCell ref="X15:AE17"/>
    <mergeCell ref="X18:AE18"/>
    <mergeCell ref="X19:AE21"/>
  </mergeCells>
  <conditionalFormatting sqref="AQ5:AU5">
    <cfRule type="cellIs" dxfId="69" priority="1" operator="equal">
      <formula>"No Change"</formula>
    </cfRule>
    <cfRule type="cellIs" dxfId="68" priority="2" operator="equal">
      <formula>"Progression"</formula>
    </cfRule>
  </conditionalFormatting>
  <conditionalFormatting sqref="BB10:BB21">
    <cfRule type="expression" dxfId="67" priority="3">
      <formula>IFERROR(FIND("Ahead",BB10),0)&gt;0</formula>
    </cfRule>
    <cfRule type="expression" dxfId="66" priority="4">
      <formula>IFERROR(FIND("Overdue",BB10),0)&gt;0</formula>
    </cfRule>
    <cfRule type="cellIs" dxfId="65" priority="5" operator="equal">
      <formula>"Met Target"</formula>
    </cfRule>
    <cfRule type="cellIs" dxfId="64" priority="6" operator="equal">
      <formula>"Missing Target"</formula>
    </cfRule>
    <cfRule type="expression" dxfId="63"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62EB446D-F85A-4BEE-8905-504D3D7EE2DE}">
          <x14:formula1>
            <xm:f>Lookups!$J$4:$J$29</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62" priority="1" operator="equal">
      <formula>"No Change"</formula>
    </cfRule>
    <cfRule type="cellIs" dxfId="61" priority="2" operator="equal">
      <formula>"Progression"</formula>
    </cfRule>
  </conditionalFormatting>
  <conditionalFormatting sqref="BB10:BB21">
    <cfRule type="expression" dxfId="60" priority="3">
      <formula>IFERROR(FIND("Ahead",BB10),0)&gt;0</formula>
    </cfRule>
    <cfRule type="expression" dxfId="59" priority="4">
      <formula>IFERROR(FIND("Overdue",BB10),0)&gt;0</formula>
    </cfRule>
    <cfRule type="cellIs" dxfId="58" priority="5" operator="equal">
      <formula>"Met Target"</formula>
    </cfRule>
    <cfRule type="cellIs" dxfId="57" priority="6" operator="equal">
      <formula>"Missing Target"</formula>
    </cfRule>
    <cfRule type="expression" dxfId="56"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8D512A5-C472-436A-B41A-EBFA7694A048}">
          <x14:formula1>
            <xm:f>Lookups!$J$4:$J$29</xm:f>
          </x14:formula1>
          <xm:sqref>G13:M13 P13:V13 Y13:AE13</xm:sqref>
        </x14:dataValidation>
        <x14:dataValidation type="list" allowBlank="1" showInputMessage="1" showErrorMessage="1" xr:uid="{DF355B9D-AC93-498A-B1D1-5D4AE84BEC54}">
          <x14:formula1>
            <xm:f>Lookups!$B$4:$B$8</xm:f>
          </x14:formula1>
          <xm:sqref>F7</xm:sqref>
        </x14:dataValidation>
        <x14:dataValidation type="list" allowBlank="1" showInputMessage="1" showErrorMessage="1" xr:uid="{486B6A32-257E-469D-BE99-FB7D31F6D5AA}">
          <x14:formula1>
            <xm:f>Lookups!$AC$4:$AC$9</xm:f>
          </x14:formula1>
          <xm:sqref>AC7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55" priority="1" operator="equal">
      <formula>"No Change"</formula>
    </cfRule>
    <cfRule type="cellIs" dxfId="54" priority="2" operator="equal">
      <formula>"Progression"</formula>
    </cfRule>
  </conditionalFormatting>
  <conditionalFormatting sqref="BB10:BB21">
    <cfRule type="expression" dxfId="53" priority="3">
      <formula>IFERROR(FIND("Ahead",BB10),0)&gt;0</formula>
    </cfRule>
    <cfRule type="expression" dxfId="52" priority="4">
      <formula>IFERROR(FIND("Overdue",BB10),0)&gt;0</formula>
    </cfRule>
    <cfRule type="cellIs" dxfId="51" priority="5" operator="equal">
      <formula>"Met Target"</formula>
    </cfRule>
    <cfRule type="cellIs" dxfId="50" priority="6" operator="equal">
      <formula>"Missing Target"</formula>
    </cfRule>
    <cfRule type="expression" dxfId="49"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3153617C-D828-4AD2-AE17-D09E7B60268C}">
          <x14:formula1>
            <xm:f>Lookups!$B$4:$B$8</xm:f>
          </x14:formula1>
          <xm:sqref>F7</xm:sqref>
        </x14:dataValidation>
        <x14:dataValidation type="list" allowBlank="1" showInputMessage="1" showErrorMessage="1" xr:uid="{EAC04FAD-8FDE-4D29-93F7-8C390E46FE92}">
          <x14:formula1>
            <xm:f>Lookups!$J$4:$J$29</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48" priority="1" operator="equal">
      <formula>"No Change"</formula>
    </cfRule>
    <cfRule type="cellIs" dxfId="47" priority="2" operator="equal">
      <formula>"Progression"</formula>
    </cfRule>
  </conditionalFormatting>
  <conditionalFormatting sqref="BB10:BB21">
    <cfRule type="expression" dxfId="46" priority="3">
      <formula>IFERROR(FIND("Ahead",BB10),0)&gt;0</formula>
    </cfRule>
    <cfRule type="expression" dxfId="45" priority="4">
      <formula>IFERROR(FIND("Overdue",BB10),0)&gt;0</formula>
    </cfRule>
    <cfRule type="cellIs" dxfId="44" priority="5" operator="equal">
      <formula>"Met Target"</formula>
    </cfRule>
    <cfRule type="cellIs" dxfId="43" priority="6" operator="equal">
      <formula>"Missing Target"</formula>
    </cfRule>
    <cfRule type="expression" dxfId="42"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00B4886-7BCE-4F24-BB6C-91C000D9E5FB}">
          <x14:formula1>
            <xm:f>Lookups!$J$4:$J$29</xm:f>
          </x14:formula1>
          <xm:sqref>G13:M13 P13:V13 Y13:AE13</xm:sqref>
        </x14:dataValidation>
        <x14:dataValidation type="list" allowBlank="1" showInputMessage="1" showErrorMessage="1" xr:uid="{3FED95B5-BD45-43FC-954F-19BFF6E139AB}">
          <x14:formula1>
            <xm:f>Lookups!$B$4:$B$8</xm:f>
          </x14:formula1>
          <xm:sqref>F7</xm:sqref>
        </x14:dataValidation>
        <x14:dataValidation type="list" allowBlank="1" showInputMessage="1" showErrorMessage="1" xr:uid="{C5B91E81-7F51-4D90-A406-D013BAE72A88}">
          <x14:formula1>
            <xm:f>Lookups!$AC$4:$AC$9</xm:f>
          </x14:formula1>
          <xm:sqref>AC7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41" priority="1" operator="equal">
      <formula>"No Change"</formula>
    </cfRule>
    <cfRule type="cellIs" dxfId="40" priority="2" operator="equal">
      <formula>"Progression"</formula>
    </cfRule>
  </conditionalFormatting>
  <conditionalFormatting sqref="BB10:BB21">
    <cfRule type="expression" dxfId="39" priority="3">
      <formula>IFERROR(FIND("Ahead",BB10),0)&gt;0</formula>
    </cfRule>
    <cfRule type="expression" dxfId="38" priority="4">
      <formula>IFERROR(FIND("Overdue",BB10),0)&gt;0</formula>
    </cfRule>
    <cfRule type="cellIs" dxfId="37" priority="5" operator="equal">
      <formula>"Met Target"</formula>
    </cfRule>
    <cfRule type="cellIs" dxfId="36" priority="6" operator="equal">
      <formula>"Missing Target"</formula>
    </cfRule>
    <cfRule type="expression" dxfId="35"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FC0B1D20-1B18-48B9-B32C-4A84D1D4E5F1}">
          <x14:formula1>
            <xm:f>Lookups!$B$4:$B$8</xm:f>
          </x14:formula1>
          <xm:sqref>F7</xm:sqref>
        </x14:dataValidation>
        <x14:dataValidation type="list" allowBlank="1" showInputMessage="1" showErrorMessage="1" xr:uid="{879F6060-7542-4F43-A390-8A60D7B4A372}">
          <x14:formula1>
            <xm:f>Lookups!$J$4:$J$29</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34" priority="1" operator="equal">
      <formula>"No Change"</formula>
    </cfRule>
    <cfRule type="cellIs" dxfId="33" priority="2" operator="equal">
      <formula>"Progression"</formula>
    </cfRule>
  </conditionalFormatting>
  <conditionalFormatting sqref="BB10:BB21">
    <cfRule type="expression" dxfId="32" priority="3">
      <formula>IFERROR(FIND("Ahead",BB10),0)&gt;0</formula>
    </cfRule>
    <cfRule type="expression" dxfId="31" priority="4">
      <formula>IFERROR(FIND("Overdue",BB10),0)&gt;0</formula>
    </cfRule>
    <cfRule type="cellIs" dxfId="30" priority="5" operator="equal">
      <formula>"Met Target"</formula>
    </cfRule>
    <cfRule type="cellIs" dxfId="29" priority="6" operator="equal">
      <formula>"Missing Target"</formula>
    </cfRule>
    <cfRule type="expression" dxfId="28"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D11798AA-816F-4F3A-BA81-9B8455F2E999}">
          <x14:formula1>
            <xm:f>Lookups!$J$4:$J$29</xm:f>
          </x14:formula1>
          <xm:sqref>G13:M13 P13:V13 Y13:AE13</xm:sqref>
        </x14:dataValidation>
        <x14:dataValidation type="list" allowBlank="1" showInputMessage="1" showErrorMessage="1" xr:uid="{C67B2F3E-2D94-42FB-99FC-6422EE5CB991}">
          <x14:formula1>
            <xm:f>Lookups!$B$4:$B$8</xm:f>
          </x14:formula1>
          <xm:sqref>F7</xm:sqref>
        </x14:dataValidation>
        <x14:dataValidation type="list" allowBlank="1" showInputMessage="1" showErrorMessage="1" xr:uid="{098483FA-DC4F-48DB-9E15-1169F3EEDB4C}">
          <x14:formula1>
            <xm:f>Lookups!$AC$4:$AC$9</xm:f>
          </x14:formula1>
          <xm:sqref>AC7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27" priority="1" operator="equal">
      <formula>"No Change"</formula>
    </cfRule>
    <cfRule type="cellIs" dxfId="26" priority="2" operator="equal">
      <formula>"Progression"</formula>
    </cfRule>
  </conditionalFormatting>
  <conditionalFormatting sqref="BB10:BB21">
    <cfRule type="expression" dxfId="25" priority="3">
      <formula>IFERROR(FIND("Ahead",BB10),0)&gt;0</formula>
    </cfRule>
    <cfRule type="expression" dxfId="24" priority="4">
      <formula>IFERROR(FIND("Overdue",BB10),0)&gt;0</formula>
    </cfRule>
    <cfRule type="cellIs" dxfId="23" priority="5" operator="equal">
      <formula>"Met Target"</formula>
    </cfRule>
    <cfRule type="cellIs" dxfId="22" priority="6" operator="equal">
      <formula>"Missing Target"</formula>
    </cfRule>
    <cfRule type="expression" dxfId="21"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DA27E5F2-ACE0-4BD6-B20D-141E5CD80868}">
          <x14:formula1>
            <xm:f>Lookups!$B$4:$B$8</xm:f>
          </x14:formula1>
          <xm:sqref>F7</xm:sqref>
        </x14:dataValidation>
        <x14:dataValidation type="list" allowBlank="1" showInputMessage="1" showErrorMessage="1" xr:uid="{65451296-D61D-45DB-BF1F-B760C9574926}">
          <x14:formula1>
            <xm:f>Lookups!$J$4:$J$29</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20" priority="1" operator="equal">
      <formula>"No Change"</formula>
    </cfRule>
    <cfRule type="cellIs" dxfId="19" priority="2" operator="equal">
      <formula>"Progression"</formula>
    </cfRule>
  </conditionalFormatting>
  <conditionalFormatting sqref="BB10:BB21">
    <cfRule type="expression" dxfId="18" priority="3">
      <formula>IFERROR(FIND("Ahead",BB10),0)&gt;0</formula>
    </cfRule>
    <cfRule type="expression" dxfId="17" priority="4">
      <formula>IFERROR(FIND("Overdue",BB10),0)&gt;0</formula>
    </cfRule>
    <cfRule type="cellIs" dxfId="16" priority="5" operator="equal">
      <formula>"Met Target"</formula>
    </cfRule>
    <cfRule type="cellIs" dxfId="15" priority="6" operator="equal">
      <formula>"Missing Target"</formula>
    </cfRule>
    <cfRule type="expression" dxfId="14"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18C235BC-A3E9-4528-A4E2-19100A29BB1B}">
          <x14:formula1>
            <xm:f>Lookups!$J$4:$J$29</xm:f>
          </x14:formula1>
          <xm:sqref>G13:M13 P13:V13 Y13:AE13</xm:sqref>
        </x14:dataValidation>
        <x14:dataValidation type="list" allowBlank="1" showInputMessage="1" showErrorMessage="1" xr:uid="{83C784B3-E52D-4636-A40A-0E2286DAE14F}">
          <x14:formula1>
            <xm:f>Lookups!$B$4:$B$8</xm:f>
          </x14:formula1>
          <xm:sqref>F7</xm:sqref>
        </x14:dataValidation>
        <x14:dataValidation type="list" allowBlank="1" showInputMessage="1" showErrorMessage="1" xr:uid="{585FE1FF-829A-472F-8BE9-9553A8017BAA}">
          <x14:formula1>
            <xm:f>Lookups!$AC$4:$AC$9</xm:f>
          </x14:formula1>
          <xm:sqref>AC7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13" priority="1" operator="equal">
      <formula>"No Change"</formula>
    </cfRule>
    <cfRule type="cellIs" dxfId="12" priority="2" operator="equal">
      <formula>"Progression"</formula>
    </cfRule>
  </conditionalFormatting>
  <conditionalFormatting sqref="BB10:BB21">
    <cfRule type="expression" dxfId="11" priority="3">
      <formula>IFERROR(FIND("Ahead",BB10),0)&gt;0</formula>
    </cfRule>
    <cfRule type="expression" dxfId="10" priority="4">
      <formula>IFERROR(FIND("Overdue",BB10),0)&gt;0</formula>
    </cfRule>
    <cfRule type="cellIs" dxfId="9" priority="5" operator="equal">
      <formula>"Met Target"</formula>
    </cfRule>
    <cfRule type="cellIs" dxfId="8" priority="6" operator="equal">
      <formula>"Missing Target"</formula>
    </cfRule>
    <cfRule type="expression" dxfId="7"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A9DE437B-898E-4D45-9E1A-6065F6397743}">
          <x14:formula1>
            <xm:f>Lookups!$B$4:$B$8</xm:f>
          </x14:formula1>
          <xm:sqref>F7</xm:sqref>
        </x14:dataValidation>
        <x14:dataValidation type="list" allowBlank="1" showInputMessage="1" showErrorMessage="1" xr:uid="{B748E807-085E-4CA5-ADDE-3636DFE8A8BA}">
          <x14:formula1>
            <xm:f>Lookups!$J$4:$J$29</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170" t="s">
        <v>183</v>
      </c>
      <c r="C3" s="171"/>
      <c r="D3" s="171"/>
      <c r="E3" s="172"/>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32"/>
      <c r="AG3" s="177" t="s">
        <v>150</v>
      </c>
      <c r="AH3" s="177"/>
      <c r="AI3" s="177"/>
      <c r="AJ3" s="177"/>
      <c r="AK3" s="177"/>
      <c r="AL3" s="177"/>
      <c r="AM3" s="177"/>
      <c r="AN3" s="177"/>
      <c r="AO3" s="178" t="str">
        <f>F8</f>
        <v/>
      </c>
      <c r="AP3" s="178"/>
      <c r="AQ3" s="178"/>
      <c r="AR3" s="178"/>
      <c r="AS3" s="178"/>
      <c r="AT3" s="178"/>
      <c r="AU3" s="178"/>
      <c r="AV3" s="183">
        <f>IF(F7="",0,VLOOKUP(F7,Lookups!B12:H16,3))</f>
        <v>0</v>
      </c>
      <c r="AW3" s="183"/>
      <c r="AX3" s="183"/>
      <c r="AY3" s="32"/>
      <c r="AZ3" s="184">
        <f ca="1">NOW()</f>
        <v>45957.658367129632</v>
      </c>
      <c r="BA3" s="185"/>
      <c r="BB3" s="185"/>
      <c r="BC3" s="185"/>
      <c r="BD3" s="185"/>
      <c r="BE3" s="186"/>
      <c r="BH3" s="29"/>
      <c r="BI3" s="33"/>
      <c r="BJ3" s="33"/>
      <c r="BK3" s="33"/>
    </row>
    <row r="4" spans="2:63" ht="28.5" customHeight="1" thickBot="1">
      <c r="B4" s="173"/>
      <c r="C4" s="174"/>
      <c r="D4" s="174"/>
      <c r="E4" s="175"/>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32"/>
      <c r="AG4" s="177" t="s">
        <v>249</v>
      </c>
      <c r="AH4" s="177"/>
      <c r="AI4" s="177"/>
      <c r="AJ4" s="177"/>
      <c r="AK4" s="177"/>
      <c r="AL4" s="177"/>
      <c r="AM4" s="177"/>
      <c r="AN4" s="177"/>
      <c r="AO4" s="178" t="str">
        <f ca="1">VLOOKUP(COUNTIF(AY10:BA21,"&lt;="&amp;AZ3),Table3357[],2)</f>
        <v>Not Def</v>
      </c>
      <c r="AP4" s="178"/>
      <c r="AQ4" s="178"/>
      <c r="AR4" s="178"/>
      <c r="AS4" s="178"/>
      <c r="AT4" s="178"/>
      <c r="AU4" s="178"/>
      <c r="AV4" s="180">
        <f ca="1">IF(AO4="Not Def",0,VLOOKUP(AO4,Lookups!L4:M8,2))</f>
        <v>0</v>
      </c>
      <c r="AW4" s="180"/>
      <c r="AX4" s="180"/>
      <c r="AY4" s="32"/>
      <c r="AZ4" s="187" t="s">
        <v>248</v>
      </c>
      <c r="BA4" s="168"/>
      <c r="BB4" s="168"/>
      <c r="BC4" s="168" t="str">
        <f ca="1">VLOOKUP((YEAR(AZ3)&amp;"-"&amp;MONTH(AZ3)),Lookups!S3:U21,2)</f>
        <v>2025-Q4</v>
      </c>
      <c r="BD4" s="168"/>
      <c r="BE4" s="169"/>
      <c r="BF4" s="32"/>
      <c r="BG4" s="32"/>
      <c r="BH4" s="29"/>
      <c r="BI4" s="33"/>
      <c r="BJ4" s="33"/>
      <c r="BK4" s="33"/>
    </row>
    <row r="5" spans="2:63" ht="28.5" customHeight="1" thickBot="1">
      <c r="B5" s="170" t="s">
        <v>158</v>
      </c>
      <c r="C5" s="171"/>
      <c r="D5" s="171"/>
      <c r="E5" s="172"/>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34"/>
      <c r="AG5" s="177" t="s">
        <v>253</v>
      </c>
      <c r="AH5" s="177"/>
      <c r="AI5" s="177"/>
      <c r="AJ5" s="177"/>
      <c r="AK5" s="177"/>
      <c r="AL5" s="177"/>
      <c r="AM5" s="177"/>
      <c r="AN5" s="177"/>
      <c r="AO5" s="178" t="str">
        <f ca="1">VLOOKUP(COUNTIF(AY10:BA21,"&lt;"&amp;VLOOKUP(BC4,Lookups!W3:Y9,2)),Table3357[],2)</f>
        <v>Not Def</v>
      </c>
      <c r="AP5" s="178"/>
      <c r="AQ5" s="179" t="str">
        <f ca="1">IF(AV5=1,"No Change","Progression")</f>
        <v>Progression</v>
      </c>
      <c r="AR5" s="179"/>
      <c r="AS5" s="179"/>
      <c r="AT5" s="179"/>
      <c r="AU5" s="179"/>
      <c r="AV5" s="180">
        <f ca="1">IF(AO4="Not Def",0,IF(AO5=AO4,1,1.2))</f>
        <v>0</v>
      </c>
      <c r="AW5" s="180"/>
      <c r="AX5" s="180"/>
      <c r="AY5" s="34"/>
      <c r="AZ5" s="181"/>
      <c r="BA5" s="181"/>
      <c r="BB5" s="181"/>
      <c r="BC5" s="181"/>
      <c r="BD5" s="181"/>
      <c r="BE5" s="181"/>
      <c r="BH5" s="29"/>
      <c r="BI5" s="35"/>
      <c r="BJ5" s="33"/>
      <c r="BK5" s="33"/>
    </row>
    <row r="6" spans="2:63" ht="28.5" customHeight="1" thickBot="1">
      <c r="B6" s="173"/>
      <c r="C6" s="174"/>
      <c r="D6" s="174"/>
      <c r="E6" s="175"/>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34"/>
      <c r="AG6" s="182" t="s">
        <v>201</v>
      </c>
      <c r="AH6" s="182"/>
      <c r="AI6" s="182"/>
      <c r="AJ6" s="182"/>
      <c r="AK6" s="182"/>
      <c r="AL6" s="182"/>
      <c r="AM6" s="182"/>
      <c r="AN6" s="182"/>
      <c r="AO6" s="182"/>
      <c r="AP6" s="182"/>
      <c r="AQ6" s="182"/>
      <c r="AR6" s="182"/>
      <c r="AS6" s="182"/>
      <c r="AT6" s="182"/>
      <c r="AU6" s="182"/>
      <c r="AV6" s="161">
        <f ca="1">AV3*AV4*AV5</f>
        <v>0</v>
      </c>
      <c r="AW6" s="161"/>
      <c r="AX6" s="161"/>
      <c r="AY6" s="34"/>
      <c r="AZ6" s="34"/>
      <c r="BA6" s="34"/>
      <c r="BB6" s="34"/>
      <c r="BC6" s="34"/>
      <c r="BD6" s="34"/>
      <c r="BH6" s="29"/>
      <c r="BI6" s="33"/>
      <c r="BJ6" s="33"/>
      <c r="BK6" s="33"/>
    </row>
    <row r="7" spans="2:63" ht="28.5" customHeight="1" thickBot="1">
      <c r="B7" s="157" t="s">
        <v>185</v>
      </c>
      <c r="C7" s="158"/>
      <c r="D7" s="158"/>
      <c r="E7" s="159"/>
      <c r="F7" s="162"/>
      <c r="G7" s="163"/>
      <c r="H7" s="163"/>
      <c r="I7" s="163"/>
      <c r="J7" s="163"/>
      <c r="K7" s="163"/>
      <c r="L7" s="163"/>
      <c r="M7" s="163"/>
      <c r="N7" s="163"/>
      <c r="O7" s="163"/>
      <c r="P7" s="163"/>
      <c r="Q7" s="163"/>
      <c r="R7" s="163"/>
      <c r="S7" s="163"/>
      <c r="T7" s="163"/>
      <c r="U7" s="163"/>
      <c r="V7" s="163"/>
      <c r="W7" s="163"/>
      <c r="X7" s="164"/>
      <c r="Y7" s="157" t="s">
        <v>275</v>
      </c>
      <c r="Z7" s="158"/>
      <c r="AA7" s="158"/>
      <c r="AB7" s="159"/>
      <c r="AC7" s="165"/>
      <c r="AD7" s="166"/>
      <c r="AE7" s="167"/>
      <c r="BH7" s="29"/>
      <c r="BI7" s="29"/>
      <c r="BJ7" s="33"/>
      <c r="BK7" s="33"/>
    </row>
    <row r="8" spans="2:63" ht="28.5" customHeight="1" thickBot="1">
      <c r="B8" s="157" t="s">
        <v>146</v>
      </c>
      <c r="C8" s="158"/>
      <c r="D8" s="158"/>
      <c r="E8" s="159"/>
      <c r="F8" s="160" t="str">
        <f>IF(F7="","",VLOOKUP(F7,Lookups!B12:H16,2))</f>
        <v/>
      </c>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BH8" s="36"/>
      <c r="BI8" s="33"/>
      <c r="BJ8" s="33"/>
      <c r="BK8" s="33"/>
    </row>
    <row r="9" spans="2:63" ht="28.5" customHeight="1" thickBot="1">
      <c r="B9" s="157" t="s">
        <v>159</v>
      </c>
      <c r="C9" s="158"/>
      <c r="D9" s="158"/>
      <c r="E9" s="159"/>
      <c r="F9" s="160" t="str">
        <f>IF(F7="","",VLOOKUP(F7,Lookups!B12:H16,4))</f>
        <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G9" s="152" t="s">
        <v>190</v>
      </c>
      <c r="AH9" s="153"/>
      <c r="AI9" s="153"/>
      <c r="AJ9" s="153"/>
      <c r="AK9" s="153"/>
      <c r="AL9" s="153"/>
      <c r="AM9" s="153"/>
      <c r="AN9" s="154"/>
      <c r="AO9" s="157" t="s">
        <v>191</v>
      </c>
      <c r="AP9" s="158"/>
      <c r="AQ9" s="158"/>
      <c r="AR9" s="158"/>
      <c r="AS9" s="158"/>
      <c r="AT9" s="158"/>
      <c r="AU9" s="159"/>
      <c r="AV9" s="152" t="s">
        <v>243</v>
      </c>
      <c r="AW9" s="153"/>
      <c r="AX9" s="154"/>
      <c r="AY9" s="152" t="s">
        <v>231</v>
      </c>
      <c r="AZ9" s="153"/>
      <c r="BA9" s="154"/>
      <c r="BB9" s="157" t="s">
        <v>230</v>
      </c>
      <c r="BC9" s="158"/>
      <c r="BD9" s="158"/>
      <c r="BE9" s="159"/>
      <c r="BH9" s="37"/>
      <c r="BI9" s="38"/>
    </row>
    <row r="10" spans="2:63" ht="28.5" customHeight="1" thickBot="1">
      <c r="AG10" s="126" t="s">
        <v>1</v>
      </c>
      <c r="AH10" s="127"/>
      <c r="AI10" s="127"/>
      <c r="AJ10" s="127"/>
      <c r="AK10" s="127"/>
      <c r="AL10" s="127"/>
      <c r="AM10" s="127"/>
      <c r="AN10" s="128"/>
      <c r="AO10" s="114" t="s">
        <v>187</v>
      </c>
      <c r="AP10" s="115"/>
      <c r="AQ10" s="115"/>
      <c r="AR10" s="115"/>
      <c r="AS10" s="115"/>
      <c r="AT10" s="115"/>
      <c r="AU10" s="116"/>
      <c r="AV10" s="135"/>
      <c r="AW10" s="136"/>
      <c r="AX10" s="137"/>
      <c r="AY10" s="135"/>
      <c r="AZ10" s="136"/>
      <c r="BA10" s="137"/>
      <c r="BB10" s="97" t="str">
        <f>IF(AV10=$BK$3,"Missing Target",IF(AY10=$BK$3,IF($AZ$3&gt;AV10,INT($AZ$3-AV10)&amp;" Day(s) Overdue","Incomplete"),IF(AY10&gt;AV10,INT(AY10-AV10)&amp;" Day(s) Late",IF(AY10=AV10,"OK",INT(AV10-AY10)&amp;" Day(s) Ahead"))))</f>
        <v>Missing Target</v>
      </c>
      <c r="BC10" s="98"/>
      <c r="BD10" s="98"/>
      <c r="BE10" s="99"/>
      <c r="BH10" s="38"/>
      <c r="BI10" s="38"/>
      <c r="BJ10" s="33"/>
    </row>
    <row r="11" spans="2:63" ht="28.5" customHeight="1" thickBot="1">
      <c r="B11" s="155" t="s">
        <v>263</v>
      </c>
      <c r="C11" s="155"/>
      <c r="D11" s="155"/>
      <c r="E11" s="39"/>
      <c r="F11" s="156" t="s">
        <v>258</v>
      </c>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G11" s="129"/>
      <c r="AH11" s="130"/>
      <c r="AI11" s="130"/>
      <c r="AJ11" s="130"/>
      <c r="AK11" s="130"/>
      <c r="AL11" s="130"/>
      <c r="AM11" s="130"/>
      <c r="AN11" s="131"/>
      <c r="AO11" s="114" t="s">
        <v>188</v>
      </c>
      <c r="AP11" s="115"/>
      <c r="AQ11" s="115"/>
      <c r="AR11" s="115"/>
      <c r="AS11" s="115"/>
      <c r="AT11" s="115"/>
      <c r="AU11" s="116"/>
      <c r="AV11" s="135"/>
      <c r="AW11" s="136"/>
      <c r="AX11" s="137"/>
      <c r="AY11" s="135"/>
      <c r="AZ11" s="136"/>
      <c r="BA11" s="137"/>
      <c r="BB11" s="97" t="str">
        <f t="shared" ref="BB11:BB14" si="0">IF(AV11=$BK$3,"Missing Target",IF(AY11=$BK$3,IF($AZ$3&gt;AV11,INT($AZ$3-AV11)&amp;" Day(s) Overdue","Incomplete"),IF(AY11&gt;AV11,INT(AY11-AV11)&amp;" Day(s) Late",IF(AY11=AV11,"OK",INT(AV11-AY11)&amp;" Day(s) Ahead"))))</f>
        <v>Missing Target</v>
      </c>
      <c r="BC11" s="98"/>
      <c r="BD11" s="98"/>
      <c r="BE11" s="99"/>
      <c r="BG11" s="40"/>
      <c r="BH11" s="38"/>
      <c r="BI11" s="38"/>
      <c r="BJ11" s="33"/>
    </row>
    <row r="12" spans="2:63" ht="28.5" customHeight="1" thickBot="1">
      <c r="B12" s="152" t="s">
        <v>262</v>
      </c>
      <c r="C12" s="153"/>
      <c r="D12" s="154"/>
      <c r="F12" s="152" t="str">
        <f>IF(F7="","",VLOOKUP(F7,Lookups!B12:H16,5))</f>
        <v/>
      </c>
      <c r="G12" s="153"/>
      <c r="H12" s="153"/>
      <c r="I12" s="153"/>
      <c r="J12" s="153"/>
      <c r="K12" s="153"/>
      <c r="L12" s="153"/>
      <c r="M12" s="154"/>
      <c r="O12" s="152" t="str">
        <f>IF(F7="","",VLOOKUP(F7,Lookups!B12:H16,6))</f>
        <v/>
      </c>
      <c r="P12" s="153"/>
      <c r="Q12" s="153"/>
      <c r="R12" s="153"/>
      <c r="S12" s="153"/>
      <c r="T12" s="153"/>
      <c r="U12" s="153"/>
      <c r="V12" s="154"/>
      <c r="X12" s="152" t="str">
        <f>IF(F7="","",VLOOKUP(F7,Lookups!B12:H16,7))</f>
        <v/>
      </c>
      <c r="Y12" s="153"/>
      <c r="Z12" s="153"/>
      <c r="AA12" s="153"/>
      <c r="AB12" s="153"/>
      <c r="AC12" s="153"/>
      <c r="AD12" s="153"/>
      <c r="AE12" s="154"/>
      <c r="AG12" s="132"/>
      <c r="AH12" s="133"/>
      <c r="AI12" s="133"/>
      <c r="AJ12" s="133"/>
      <c r="AK12" s="133"/>
      <c r="AL12" s="133"/>
      <c r="AM12" s="133"/>
      <c r="AN12" s="134"/>
      <c r="AO12" s="114" t="s">
        <v>189</v>
      </c>
      <c r="AP12" s="115"/>
      <c r="AQ12" s="115"/>
      <c r="AR12" s="115"/>
      <c r="AS12" s="115"/>
      <c r="AT12" s="115"/>
      <c r="AU12" s="116"/>
      <c r="AV12" s="135"/>
      <c r="AW12" s="136"/>
      <c r="AX12" s="137"/>
      <c r="AY12" s="135"/>
      <c r="AZ12" s="136"/>
      <c r="BA12" s="137"/>
      <c r="BB12" s="97" t="str">
        <f t="shared" si="0"/>
        <v>Missing Target</v>
      </c>
      <c r="BC12" s="98"/>
      <c r="BD12" s="98"/>
      <c r="BE12" s="99"/>
      <c r="BG12" s="40"/>
      <c r="BH12" s="38"/>
      <c r="BI12" s="38"/>
    </row>
    <row r="13" spans="2:63" ht="28.5" customHeight="1" thickBot="1">
      <c r="B13" s="138"/>
      <c r="C13" s="139"/>
      <c r="D13" s="140"/>
      <c r="F13" s="41" t="s">
        <v>259</v>
      </c>
      <c r="G13" s="147" t="s">
        <v>260</v>
      </c>
      <c r="H13" s="148"/>
      <c r="I13" s="148"/>
      <c r="J13" s="148"/>
      <c r="K13" s="148"/>
      <c r="L13" s="148"/>
      <c r="M13" s="149"/>
      <c r="O13" s="41" t="s">
        <v>259</v>
      </c>
      <c r="P13" s="147" t="s">
        <v>260</v>
      </c>
      <c r="Q13" s="148"/>
      <c r="R13" s="148"/>
      <c r="S13" s="148"/>
      <c r="T13" s="148"/>
      <c r="U13" s="148"/>
      <c r="V13" s="149"/>
      <c r="X13" s="41" t="s">
        <v>259</v>
      </c>
      <c r="Y13" s="147" t="s">
        <v>260</v>
      </c>
      <c r="Z13" s="148"/>
      <c r="AA13" s="148"/>
      <c r="AB13" s="148"/>
      <c r="AC13" s="148"/>
      <c r="AD13" s="148"/>
      <c r="AE13" s="149"/>
      <c r="AG13" s="126" t="s">
        <v>192</v>
      </c>
      <c r="AH13" s="127"/>
      <c r="AI13" s="127"/>
      <c r="AJ13" s="127"/>
      <c r="AK13" s="127"/>
      <c r="AL13" s="127"/>
      <c r="AM13" s="127"/>
      <c r="AN13" s="128"/>
      <c r="AO13" s="114" t="s">
        <v>193</v>
      </c>
      <c r="AP13" s="115"/>
      <c r="AQ13" s="115"/>
      <c r="AR13" s="115"/>
      <c r="AS13" s="115"/>
      <c r="AT13" s="115"/>
      <c r="AU13" s="116"/>
      <c r="AV13" s="135"/>
      <c r="AW13" s="136"/>
      <c r="AX13" s="137"/>
      <c r="AY13" s="135"/>
      <c r="AZ13" s="136"/>
      <c r="BA13" s="137"/>
      <c r="BB13" s="97" t="str">
        <f t="shared" si="0"/>
        <v>Missing Target</v>
      </c>
      <c r="BC13" s="98"/>
      <c r="BD13" s="98"/>
      <c r="BE13" s="99"/>
      <c r="BG13" s="38"/>
      <c r="BI13" s="42"/>
    </row>
    <row r="14" spans="2:63" ht="28.5" customHeight="1" thickBot="1">
      <c r="B14" s="141"/>
      <c r="C14" s="142"/>
      <c r="D14" s="143"/>
      <c r="F14" s="111" t="s">
        <v>261</v>
      </c>
      <c r="G14" s="112"/>
      <c r="H14" s="112"/>
      <c r="I14" s="112"/>
      <c r="J14" s="112"/>
      <c r="K14" s="112"/>
      <c r="L14" s="112"/>
      <c r="M14" s="113"/>
      <c r="O14" s="111" t="s">
        <v>261</v>
      </c>
      <c r="P14" s="112"/>
      <c r="Q14" s="112"/>
      <c r="R14" s="112"/>
      <c r="S14" s="112"/>
      <c r="T14" s="112"/>
      <c r="U14" s="112"/>
      <c r="V14" s="113"/>
      <c r="X14" s="111" t="s">
        <v>261</v>
      </c>
      <c r="Y14" s="112"/>
      <c r="Z14" s="112"/>
      <c r="AA14" s="112"/>
      <c r="AB14" s="112"/>
      <c r="AC14" s="112"/>
      <c r="AD14" s="112"/>
      <c r="AE14" s="113"/>
      <c r="AG14" s="129"/>
      <c r="AH14" s="130"/>
      <c r="AI14" s="130"/>
      <c r="AJ14" s="130"/>
      <c r="AK14" s="130"/>
      <c r="AL14" s="130"/>
      <c r="AM14" s="130"/>
      <c r="AN14" s="131"/>
      <c r="AO14" s="114" t="s">
        <v>194</v>
      </c>
      <c r="AP14" s="115"/>
      <c r="AQ14" s="115"/>
      <c r="AR14" s="115"/>
      <c r="AS14" s="115"/>
      <c r="AT14" s="115"/>
      <c r="AU14" s="116"/>
      <c r="AV14" s="135"/>
      <c r="AW14" s="136"/>
      <c r="AX14" s="137"/>
      <c r="AY14" s="135"/>
      <c r="AZ14" s="136"/>
      <c r="BA14" s="137"/>
      <c r="BB14" s="97" t="str">
        <f t="shared" si="0"/>
        <v>Missing Target</v>
      </c>
      <c r="BC14" s="98"/>
      <c r="BD14" s="98"/>
      <c r="BE14" s="99"/>
      <c r="BI14" s="42"/>
      <c r="BJ14" s="42"/>
    </row>
    <row r="15" spans="2:63" ht="28.5" customHeight="1" thickBot="1">
      <c r="B15" s="144"/>
      <c r="C15" s="145"/>
      <c r="D15" s="146"/>
      <c r="F15" s="117"/>
      <c r="G15" s="118"/>
      <c r="H15" s="118"/>
      <c r="I15" s="118"/>
      <c r="J15" s="118"/>
      <c r="K15" s="118"/>
      <c r="L15" s="118"/>
      <c r="M15" s="119"/>
      <c r="O15" s="117"/>
      <c r="P15" s="118"/>
      <c r="Q15" s="118"/>
      <c r="R15" s="118"/>
      <c r="S15" s="118"/>
      <c r="T15" s="118"/>
      <c r="U15" s="118"/>
      <c r="V15" s="119"/>
      <c r="X15" s="117"/>
      <c r="Y15" s="118"/>
      <c r="Z15" s="118"/>
      <c r="AA15" s="118"/>
      <c r="AB15" s="118"/>
      <c r="AC15" s="118"/>
      <c r="AD15" s="118"/>
      <c r="AE15" s="119"/>
      <c r="AG15" s="132"/>
      <c r="AH15" s="133"/>
      <c r="AI15" s="133"/>
      <c r="AJ15" s="133"/>
      <c r="AK15" s="133"/>
      <c r="AL15" s="133"/>
      <c r="AM15" s="133"/>
      <c r="AN15" s="134"/>
      <c r="AO15" s="114" t="s">
        <v>195</v>
      </c>
      <c r="AP15" s="115"/>
      <c r="AQ15" s="115"/>
      <c r="AR15" s="115"/>
      <c r="AS15" s="115"/>
      <c r="AT15" s="115"/>
      <c r="AU15" s="116"/>
      <c r="AV15" s="135"/>
      <c r="AW15" s="136"/>
      <c r="AX15" s="137"/>
      <c r="AY15" s="135"/>
      <c r="AZ15" s="136"/>
      <c r="BA15" s="137"/>
      <c r="BB15" s="97" t="str">
        <f t="shared" ref="BB15:BB21" si="1">IF(AV15=$A$1,"Missing Target",IF(AY15=$A$1,IF($AZ$3&gt;AV15,INT($AZ$3-AV15)&amp;" Day(s) Overdue","Incomplete"),IF(AY15&gt;AV15,INT(AY15-AV15)&amp;" Day(s) Late",IF(AY15=AV15,"OK",INT(AV15-AY15)&amp;" Day(s) Ahead"))))</f>
        <v>Missing Target</v>
      </c>
      <c r="BC15" s="98"/>
      <c r="BD15" s="98"/>
      <c r="BE15" s="99"/>
      <c r="BH15" s="42"/>
    </row>
    <row r="16" spans="2:63" ht="28.5" customHeight="1" thickBot="1">
      <c r="F16" s="120"/>
      <c r="G16" s="121"/>
      <c r="H16" s="121"/>
      <c r="I16" s="121"/>
      <c r="J16" s="121"/>
      <c r="K16" s="121"/>
      <c r="L16" s="121"/>
      <c r="M16" s="122"/>
      <c r="O16" s="120"/>
      <c r="P16" s="121"/>
      <c r="Q16" s="121"/>
      <c r="R16" s="121"/>
      <c r="S16" s="121"/>
      <c r="T16" s="121"/>
      <c r="U16" s="121"/>
      <c r="V16" s="122"/>
      <c r="X16" s="120"/>
      <c r="Y16" s="121"/>
      <c r="Z16" s="121"/>
      <c r="AA16" s="121"/>
      <c r="AB16" s="121"/>
      <c r="AC16" s="121"/>
      <c r="AD16" s="121"/>
      <c r="AE16" s="122"/>
      <c r="AG16" s="126" t="s">
        <v>144</v>
      </c>
      <c r="AH16" s="127"/>
      <c r="AI16" s="127"/>
      <c r="AJ16" s="127"/>
      <c r="AK16" s="127"/>
      <c r="AL16" s="127"/>
      <c r="AM16" s="127"/>
      <c r="AN16" s="128"/>
      <c r="AO16" s="114" t="s">
        <v>196</v>
      </c>
      <c r="AP16" s="115"/>
      <c r="AQ16" s="115"/>
      <c r="AR16" s="115"/>
      <c r="AS16" s="115"/>
      <c r="AT16" s="115"/>
      <c r="AU16" s="116"/>
      <c r="AV16" s="135"/>
      <c r="AW16" s="136"/>
      <c r="AX16" s="137"/>
      <c r="AY16" s="135"/>
      <c r="AZ16" s="136"/>
      <c r="BA16" s="137"/>
      <c r="BB16" s="97" t="str">
        <f t="shared" si="1"/>
        <v>Missing Target</v>
      </c>
      <c r="BC16" s="98"/>
      <c r="BD16" s="98"/>
      <c r="BE16" s="99"/>
    </row>
    <row r="17" spans="2:71" ht="28.5" customHeight="1" thickBot="1">
      <c r="B17" s="43" t="s">
        <v>272</v>
      </c>
      <c r="C17" s="150"/>
      <c r="D17" s="151"/>
      <c r="F17" s="123"/>
      <c r="G17" s="124"/>
      <c r="H17" s="124"/>
      <c r="I17" s="124"/>
      <c r="J17" s="124"/>
      <c r="K17" s="124"/>
      <c r="L17" s="124"/>
      <c r="M17" s="125"/>
      <c r="O17" s="123"/>
      <c r="P17" s="124"/>
      <c r="Q17" s="124"/>
      <c r="R17" s="124"/>
      <c r="S17" s="124"/>
      <c r="T17" s="124"/>
      <c r="U17" s="124"/>
      <c r="V17" s="125"/>
      <c r="X17" s="123"/>
      <c r="Y17" s="124"/>
      <c r="Z17" s="124"/>
      <c r="AA17" s="124"/>
      <c r="AB17" s="124"/>
      <c r="AC17" s="124"/>
      <c r="AD17" s="124"/>
      <c r="AE17" s="125"/>
      <c r="AG17" s="129"/>
      <c r="AH17" s="130"/>
      <c r="AI17" s="130"/>
      <c r="AJ17" s="130"/>
      <c r="AK17" s="130"/>
      <c r="AL17" s="130"/>
      <c r="AM17" s="130"/>
      <c r="AN17" s="131"/>
      <c r="AO17" s="114" t="s">
        <v>197</v>
      </c>
      <c r="AP17" s="115"/>
      <c r="AQ17" s="115"/>
      <c r="AR17" s="115"/>
      <c r="AS17" s="115"/>
      <c r="AT17" s="115"/>
      <c r="AU17" s="116"/>
      <c r="AV17" s="135"/>
      <c r="AW17" s="136"/>
      <c r="AX17" s="137"/>
      <c r="AY17" s="135"/>
      <c r="AZ17" s="136"/>
      <c r="BA17" s="137"/>
      <c r="BB17" s="97" t="str">
        <f t="shared" si="1"/>
        <v>Missing Target</v>
      </c>
      <c r="BC17" s="98"/>
      <c r="BD17" s="98"/>
      <c r="BE17" s="99"/>
    </row>
    <row r="18" spans="2:71" ht="28.5" customHeight="1" thickBot="1">
      <c r="B18" s="43" t="s">
        <v>255</v>
      </c>
      <c r="C18" s="109"/>
      <c r="D18" s="110"/>
      <c r="F18" s="111" t="s">
        <v>283</v>
      </c>
      <c r="G18" s="112"/>
      <c r="H18" s="112"/>
      <c r="I18" s="112"/>
      <c r="J18" s="112"/>
      <c r="K18" s="112"/>
      <c r="L18" s="112"/>
      <c r="M18" s="113"/>
      <c r="O18" s="111" t="s">
        <v>283</v>
      </c>
      <c r="P18" s="112"/>
      <c r="Q18" s="112"/>
      <c r="R18" s="112"/>
      <c r="S18" s="112"/>
      <c r="T18" s="112"/>
      <c r="U18" s="112"/>
      <c r="V18" s="113"/>
      <c r="X18" s="111" t="s">
        <v>283</v>
      </c>
      <c r="Y18" s="112"/>
      <c r="Z18" s="112"/>
      <c r="AA18" s="112"/>
      <c r="AB18" s="112"/>
      <c r="AC18" s="112"/>
      <c r="AD18" s="112"/>
      <c r="AE18" s="113"/>
      <c r="AG18" s="132"/>
      <c r="AH18" s="133"/>
      <c r="AI18" s="133"/>
      <c r="AJ18" s="133"/>
      <c r="AK18" s="133"/>
      <c r="AL18" s="133"/>
      <c r="AM18" s="133"/>
      <c r="AN18" s="134"/>
      <c r="AO18" s="114" t="s">
        <v>198</v>
      </c>
      <c r="AP18" s="115"/>
      <c r="AQ18" s="115"/>
      <c r="AR18" s="115"/>
      <c r="AS18" s="115"/>
      <c r="AT18" s="115"/>
      <c r="AU18" s="116"/>
      <c r="AV18" s="135"/>
      <c r="AW18" s="136"/>
      <c r="AX18" s="137"/>
      <c r="AY18" s="135"/>
      <c r="AZ18" s="136"/>
      <c r="BA18" s="137"/>
      <c r="BB18" s="97" t="str">
        <f t="shared" si="1"/>
        <v>Missing Target</v>
      </c>
      <c r="BC18" s="98"/>
      <c r="BD18" s="98"/>
      <c r="BE18" s="99"/>
    </row>
    <row r="19" spans="2:71" ht="28.5" customHeight="1" thickBot="1">
      <c r="B19" s="43" t="s">
        <v>257</v>
      </c>
      <c r="C19" s="109"/>
      <c r="D19" s="110"/>
      <c r="F19" s="117"/>
      <c r="G19" s="118"/>
      <c r="H19" s="118"/>
      <c r="I19" s="118"/>
      <c r="J19" s="118"/>
      <c r="K19" s="118"/>
      <c r="L19" s="118"/>
      <c r="M19" s="119"/>
      <c r="O19" s="117"/>
      <c r="P19" s="118"/>
      <c r="Q19" s="118"/>
      <c r="R19" s="118"/>
      <c r="S19" s="118"/>
      <c r="T19" s="118"/>
      <c r="U19" s="118"/>
      <c r="V19" s="119"/>
      <c r="X19" s="117"/>
      <c r="Y19" s="118"/>
      <c r="Z19" s="118"/>
      <c r="AA19" s="118"/>
      <c r="AB19" s="118"/>
      <c r="AC19" s="118"/>
      <c r="AD19" s="118"/>
      <c r="AE19" s="119"/>
      <c r="AF19" s="44"/>
      <c r="AG19" s="126" t="s">
        <v>2</v>
      </c>
      <c r="AH19" s="127"/>
      <c r="AI19" s="127"/>
      <c r="AJ19" s="127"/>
      <c r="AK19" s="127"/>
      <c r="AL19" s="127"/>
      <c r="AM19" s="127"/>
      <c r="AN19" s="128"/>
      <c r="AO19" s="114" t="s">
        <v>199</v>
      </c>
      <c r="AP19" s="115"/>
      <c r="AQ19" s="115"/>
      <c r="AR19" s="115"/>
      <c r="AS19" s="115"/>
      <c r="AT19" s="115"/>
      <c r="AU19" s="116"/>
      <c r="AV19" s="135"/>
      <c r="AW19" s="136"/>
      <c r="AX19" s="137"/>
      <c r="AY19" s="135"/>
      <c r="AZ19" s="136"/>
      <c r="BA19" s="137"/>
      <c r="BB19" s="97" t="str">
        <f t="shared" si="1"/>
        <v>Missing Target</v>
      </c>
      <c r="BC19" s="98"/>
      <c r="BD19" s="98"/>
      <c r="BE19" s="99"/>
    </row>
    <row r="20" spans="2:71" ht="28.5" customHeight="1" thickBot="1">
      <c r="B20" s="43" t="s">
        <v>256</v>
      </c>
      <c r="C20" s="109"/>
      <c r="D20" s="110"/>
      <c r="F20" s="120"/>
      <c r="G20" s="121"/>
      <c r="H20" s="121"/>
      <c r="I20" s="121"/>
      <c r="J20" s="121"/>
      <c r="K20" s="121"/>
      <c r="L20" s="121"/>
      <c r="M20" s="122"/>
      <c r="O20" s="120"/>
      <c r="P20" s="121"/>
      <c r="Q20" s="121"/>
      <c r="R20" s="121"/>
      <c r="S20" s="121"/>
      <c r="T20" s="121"/>
      <c r="U20" s="121"/>
      <c r="V20" s="122"/>
      <c r="X20" s="120"/>
      <c r="Y20" s="121"/>
      <c r="Z20" s="121"/>
      <c r="AA20" s="121"/>
      <c r="AB20" s="121"/>
      <c r="AC20" s="121"/>
      <c r="AD20" s="121"/>
      <c r="AE20" s="122"/>
      <c r="AF20" s="40"/>
      <c r="AG20" s="129"/>
      <c r="AH20" s="130"/>
      <c r="AI20" s="130"/>
      <c r="AJ20" s="130"/>
      <c r="AK20" s="130"/>
      <c r="AL20" s="130"/>
      <c r="AM20" s="130"/>
      <c r="AN20" s="131"/>
      <c r="AO20" s="114" t="s">
        <v>200</v>
      </c>
      <c r="AP20" s="115"/>
      <c r="AQ20" s="115"/>
      <c r="AR20" s="115"/>
      <c r="AS20" s="115"/>
      <c r="AT20" s="115"/>
      <c r="AU20" s="116"/>
      <c r="AV20" s="135"/>
      <c r="AW20" s="136"/>
      <c r="AX20" s="137"/>
      <c r="AY20" s="135"/>
      <c r="AZ20" s="136"/>
      <c r="BA20" s="137"/>
      <c r="BB20" s="97" t="str">
        <f t="shared" si="1"/>
        <v>Missing Target</v>
      </c>
      <c r="BC20" s="98"/>
      <c r="BD20" s="98"/>
      <c r="BE20" s="99"/>
    </row>
    <row r="21" spans="2:71" ht="28.5" customHeight="1" thickBot="1">
      <c r="B21" s="43" t="s">
        <v>254</v>
      </c>
      <c r="C21" s="109"/>
      <c r="D21" s="110"/>
      <c r="F21" s="123"/>
      <c r="G21" s="124"/>
      <c r="H21" s="124"/>
      <c r="I21" s="124"/>
      <c r="J21" s="124"/>
      <c r="K21" s="124"/>
      <c r="L21" s="124"/>
      <c r="M21" s="125"/>
      <c r="O21" s="123"/>
      <c r="P21" s="124"/>
      <c r="Q21" s="124"/>
      <c r="R21" s="124"/>
      <c r="S21" s="124"/>
      <c r="T21" s="124"/>
      <c r="U21" s="124"/>
      <c r="V21" s="125"/>
      <c r="X21" s="123"/>
      <c r="Y21" s="124"/>
      <c r="Z21" s="124"/>
      <c r="AA21" s="124"/>
      <c r="AB21" s="124"/>
      <c r="AC21" s="124"/>
      <c r="AD21" s="124"/>
      <c r="AE21" s="125"/>
      <c r="AF21" s="40"/>
      <c r="AG21" s="132"/>
      <c r="AH21" s="133"/>
      <c r="AI21" s="133"/>
      <c r="AJ21" s="133"/>
      <c r="AK21" s="133"/>
      <c r="AL21" s="133"/>
      <c r="AM21" s="133"/>
      <c r="AN21" s="134"/>
      <c r="AO21" s="114" t="s">
        <v>203</v>
      </c>
      <c r="AP21" s="115"/>
      <c r="AQ21" s="115"/>
      <c r="AR21" s="115"/>
      <c r="AS21" s="115"/>
      <c r="AT21" s="115"/>
      <c r="AU21" s="116"/>
      <c r="AV21" s="135"/>
      <c r="AW21" s="136"/>
      <c r="AX21" s="137"/>
      <c r="AY21" s="135"/>
      <c r="AZ21" s="136"/>
      <c r="BA21" s="137"/>
      <c r="BB21" s="97" t="str">
        <f t="shared" si="1"/>
        <v>Missing Target</v>
      </c>
      <c r="BC21" s="98"/>
      <c r="BD21" s="98"/>
      <c r="BE21" s="99"/>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03" t="s">
        <v>244</v>
      </c>
      <c r="C23" s="104"/>
      <c r="D23" s="104"/>
      <c r="E23" s="105"/>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06" t="s">
        <v>242</v>
      </c>
      <c r="C24" s="107"/>
      <c r="D24" s="107"/>
      <c r="E24" s="108"/>
      <c r="F24" s="48">
        <f ca="1">NOW()</f>
        <v>45957.658367129632</v>
      </c>
      <c r="G24" s="49">
        <f ca="1">F24+7</f>
        <v>45964.658367129632</v>
      </c>
      <c r="H24" s="49">
        <f t="shared" ref="H24:BE24" ca="1" si="4">G24+7</f>
        <v>45971.658367129632</v>
      </c>
      <c r="I24" s="49">
        <f t="shared" ca="1" si="4"/>
        <v>45978.658367129632</v>
      </c>
      <c r="J24" s="49">
        <f t="shared" ca="1" si="4"/>
        <v>45985.658367129632</v>
      </c>
      <c r="K24" s="49">
        <f t="shared" ca="1" si="4"/>
        <v>45992.658367129632</v>
      </c>
      <c r="L24" s="49">
        <f t="shared" ca="1" si="4"/>
        <v>45999.658367129632</v>
      </c>
      <c r="M24" s="49">
        <f t="shared" ca="1" si="4"/>
        <v>46006.658367129632</v>
      </c>
      <c r="N24" s="49">
        <f t="shared" ca="1" si="4"/>
        <v>46013.658367129632</v>
      </c>
      <c r="O24" s="49">
        <f t="shared" ca="1" si="4"/>
        <v>46020.658367129632</v>
      </c>
      <c r="P24" s="49">
        <f t="shared" ca="1" si="4"/>
        <v>46027.658367129632</v>
      </c>
      <c r="Q24" s="49">
        <f t="shared" ca="1" si="4"/>
        <v>46034.658367129632</v>
      </c>
      <c r="R24" s="49">
        <f t="shared" ca="1" si="4"/>
        <v>46041.658367129632</v>
      </c>
      <c r="S24" s="49">
        <f t="shared" ca="1" si="4"/>
        <v>46048.658367129632</v>
      </c>
      <c r="T24" s="49">
        <f t="shared" ca="1" si="4"/>
        <v>46055.658367129632</v>
      </c>
      <c r="U24" s="49">
        <f t="shared" ca="1" si="4"/>
        <v>46062.658367129632</v>
      </c>
      <c r="V24" s="49">
        <f t="shared" ca="1" si="4"/>
        <v>46069.658367129632</v>
      </c>
      <c r="W24" s="49">
        <f t="shared" ca="1" si="4"/>
        <v>46076.658367129632</v>
      </c>
      <c r="X24" s="49">
        <f t="shared" ca="1" si="4"/>
        <v>46083.658367129632</v>
      </c>
      <c r="Y24" s="49">
        <f t="shared" ca="1" si="4"/>
        <v>46090.658367129632</v>
      </c>
      <c r="Z24" s="49">
        <f t="shared" ca="1" si="4"/>
        <v>46097.658367129632</v>
      </c>
      <c r="AA24" s="49">
        <f t="shared" ca="1" si="4"/>
        <v>46104.658367129632</v>
      </c>
      <c r="AB24" s="49">
        <f t="shared" ca="1" si="4"/>
        <v>46111.658367129632</v>
      </c>
      <c r="AC24" s="49">
        <f t="shared" ca="1" si="4"/>
        <v>46118.658367129632</v>
      </c>
      <c r="AD24" s="49">
        <f t="shared" ca="1" si="4"/>
        <v>46125.658367129632</v>
      </c>
      <c r="AE24" s="49">
        <f t="shared" ca="1" si="4"/>
        <v>46132.658367129632</v>
      </c>
      <c r="AF24" s="49">
        <f t="shared" ca="1" si="4"/>
        <v>46139.658367129632</v>
      </c>
      <c r="AG24" s="49">
        <f t="shared" ca="1" si="4"/>
        <v>46146.658367129632</v>
      </c>
      <c r="AH24" s="49">
        <f t="shared" ca="1" si="4"/>
        <v>46153.658367129632</v>
      </c>
      <c r="AI24" s="49">
        <f t="shared" ca="1" si="4"/>
        <v>46160.658367129632</v>
      </c>
      <c r="AJ24" s="49">
        <f t="shared" ca="1" si="4"/>
        <v>46167.658367129632</v>
      </c>
      <c r="AK24" s="49">
        <f t="shared" ca="1" si="4"/>
        <v>46174.658367129632</v>
      </c>
      <c r="AL24" s="49">
        <f t="shared" ca="1" si="4"/>
        <v>46181.658367129632</v>
      </c>
      <c r="AM24" s="49">
        <f t="shared" ca="1" si="4"/>
        <v>46188.658367129632</v>
      </c>
      <c r="AN24" s="49">
        <f t="shared" ca="1" si="4"/>
        <v>46195.658367129632</v>
      </c>
      <c r="AO24" s="49">
        <f t="shared" ca="1" si="4"/>
        <v>46202.658367129632</v>
      </c>
      <c r="AP24" s="49">
        <f t="shared" ca="1" si="4"/>
        <v>46209.658367129632</v>
      </c>
      <c r="AQ24" s="49">
        <f t="shared" ca="1" si="4"/>
        <v>46216.658367129632</v>
      </c>
      <c r="AR24" s="49">
        <f t="shared" ca="1" si="4"/>
        <v>46223.658367129632</v>
      </c>
      <c r="AS24" s="49">
        <f t="shared" ca="1" si="4"/>
        <v>46230.658367129632</v>
      </c>
      <c r="AT24" s="49">
        <f t="shared" ca="1" si="4"/>
        <v>46237.658367129632</v>
      </c>
      <c r="AU24" s="49">
        <f t="shared" ca="1" si="4"/>
        <v>46244.658367129632</v>
      </c>
      <c r="AV24" s="49">
        <f t="shared" ca="1" si="4"/>
        <v>46251.658367129632</v>
      </c>
      <c r="AW24" s="49">
        <f t="shared" ca="1" si="4"/>
        <v>46258.658367129632</v>
      </c>
      <c r="AX24" s="49">
        <f t="shared" ca="1" si="4"/>
        <v>46265.658367129632</v>
      </c>
      <c r="AY24" s="49">
        <f t="shared" ca="1" si="4"/>
        <v>46272.658367129632</v>
      </c>
      <c r="AZ24" s="49">
        <f t="shared" ca="1" si="4"/>
        <v>46279.658367129632</v>
      </c>
      <c r="BA24" s="49">
        <f t="shared" ca="1" si="4"/>
        <v>46286.658367129632</v>
      </c>
      <c r="BB24" s="49">
        <f t="shared" ca="1" si="4"/>
        <v>46293.658367129632</v>
      </c>
      <c r="BC24" s="49">
        <f t="shared" ca="1" si="4"/>
        <v>46300.658367129632</v>
      </c>
      <c r="BD24" s="49">
        <f t="shared" ca="1" si="4"/>
        <v>46307.658367129632</v>
      </c>
      <c r="BE24" s="49">
        <f t="shared" ca="1" si="4"/>
        <v>46314.658367129632</v>
      </c>
      <c r="BJ24" s="38"/>
    </row>
    <row r="25" spans="2:71">
      <c r="B25" s="100" t="str">
        <f>G13&amp;" TARGET"</f>
        <v>Select the primary KPI (Jonas Library) TARGET</v>
      </c>
      <c r="C25" s="101"/>
      <c r="D25" s="101"/>
      <c r="E25" s="102"/>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00" t="s">
        <v>241</v>
      </c>
      <c r="C26" s="101"/>
      <c r="D26" s="101"/>
      <c r="E26" s="102"/>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00" t="s">
        <v>245</v>
      </c>
      <c r="C27" s="101"/>
      <c r="D27" s="101"/>
      <c r="E27" s="102"/>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00" t="str">
        <f>P13&amp;" TARGET"</f>
        <v>Select the primary KPI (Jonas Library) TARGET</v>
      </c>
      <c r="C29" s="101"/>
      <c r="D29" s="101"/>
      <c r="E29" s="102"/>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00" t="s">
        <v>241</v>
      </c>
      <c r="C30" s="101"/>
      <c r="D30" s="101"/>
      <c r="E30" s="102"/>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00" t="s">
        <v>245</v>
      </c>
      <c r="C31" s="101"/>
      <c r="D31" s="101"/>
      <c r="E31" s="102"/>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00" t="str">
        <f>Y13&amp;" TARGET"</f>
        <v>Select the primary KPI (Jonas Library) TARGET</v>
      </c>
      <c r="C33" s="101"/>
      <c r="D33" s="101"/>
      <c r="E33" s="102"/>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00" t="s">
        <v>241</v>
      </c>
      <c r="C34" s="101"/>
      <c r="D34" s="101"/>
      <c r="E34" s="102"/>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00" t="s">
        <v>245</v>
      </c>
      <c r="C35" s="101"/>
      <c r="D35" s="101"/>
      <c r="E35" s="102"/>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G9:AN9"/>
    <mergeCell ref="AO9:AU9"/>
    <mergeCell ref="AV9:AX9"/>
    <mergeCell ref="AY9:BA9"/>
    <mergeCell ref="AV6:AX6"/>
    <mergeCell ref="B7:E7"/>
    <mergeCell ref="F7:X7"/>
    <mergeCell ref="Y7:AB7"/>
    <mergeCell ref="AC7:AE7"/>
    <mergeCell ref="B8:E8"/>
    <mergeCell ref="F8:AE8"/>
    <mergeCell ref="AY11:BA11"/>
    <mergeCell ref="BB11:BE11"/>
    <mergeCell ref="BB9:BE9"/>
    <mergeCell ref="AG10:AN12"/>
    <mergeCell ref="AO10:AU10"/>
    <mergeCell ref="AV10:AX10"/>
    <mergeCell ref="AY10:BA10"/>
    <mergeCell ref="BB10:BE10"/>
    <mergeCell ref="AY12:BA12"/>
    <mergeCell ref="BB12:BE12"/>
    <mergeCell ref="B12:D12"/>
    <mergeCell ref="F12:M12"/>
    <mergeCell ref="O12:V12"/>
    <mergeCell ref="X12:AE12"/>
    <mergeCell ref="AO12:AU12"/>
    <mergeCell ref="AV12:AX12"/>
    <mergeCell ref="B11:D11"/>
    <mergeCell ref="F11:AE11"/>
    <mergeCell ref="AO11:AU11"/>
    <mergeCell ref="AV11:AX11"/>
    <mergeCell ref="B13:D15"/>
    <mergeCell ref="G13:M13"/>
    <mergeCell ref="P13:V13"/>
    <mergeCell ref="Y13:AE13"/>
    <mergeCell ref="AG13:AN15"/>
    <mergeCell ref="AO13:AU13"/>
    <mergeCell ref="F15:M17"/>
    <mergeCell ref="O15:V17"/>
    <mergeCell ref="X15:AE17"/>
    <mergeCell ref="AO15:AU15"/>
    <mergeCell ref="C17:D17"/>
    <mergeCell ref="AV13:AX13"/>
    <mergeCell ref="AY13:BA13"/>
    <mergeCell ref="BB13:BE13"/>
    <mergeCell ref="F14:M14"/>
    <mergeCell ref="O14:V14"/>
    <mergeCell ref="X14:AE14"/>
    <mergeCell ref="AO14:AU14"/>
    <mergeCell ref="AV14:AX14"/>
    <mergeCell ref="AY14:BA14"/>
    <mergeCell ref="BB14:BE14"/>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BB21:BE21"/>
    <mergeCell ref="B30:E30"/>
    <mergeCell ref="B31:E31"/>
    <mergeCell ref="B33:E33"/>
    <mergeCell ref="B34:E34"/>
    <mergeCell ref="B35:E35"/>
    <mergeCell ref="B23:E23"/>
    <mergeCell ref="B24:E24"/>
    <mergeCell ref="B25:E25"/>
    <mergeCell ref="B26:E26"/>
    <mergeCell ref="B27:E27"/>
    <mergeCell ref="B29:E29"/>
  </mergeCells>
  <conditionalFormatting sqref="AQ5:AU5">
    <cfRule type="cellIs" dxfId="6" priority="1" operator="equal">
      <formula>"No Change"</formula>
    </cfRule>
    <cfRule type="cellIs" dxfId="5" priority="2" operator="equal">
      <formula>"Progression"</formula>
    </cfRule>
  </conditionalFormatting>
  <conditionalFormatting sqref="BB10:BB21">
    <cfRule type="expression" dxfId="4" priority="3">
      <formula>IFERROR(FIND("Ahead",BB10),0)&gt;0</formula>
    </cfRule>
    <cfRule type="expression" dxfId="3" priority="4">
      <formula>IFERROR(FIND("Overdue",BB10),0)&gt;0</formula>
    </cfRule>
    <cfRule type="cellIs" dxfId="2" priority="5" operator="equal">
      <formula>"Met Target"</formula>
    </cfRule>
    <cfRule type="cellIs" dxfId="1" priority="6" operator="equal">
      <formula>"Missing Target"</formula>
    </cfRule>
    <cfRule type="expression" dxfId="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26F5EC0-E452-4CA2-A301-F3B04E2774B2}">
          <x14:formula1>
            <xm:f>Lookups!$J$4:$J$29</xm:f>
          </x14:formula1>
          <xm:sqref>G13:M13 P13:V13 Y13:AE13</xm:sqref>
        </x14:dataValidation>
        <x14:dataValidation type="list" allowBlank="1" showInputMessage="1" showErrorMessage="1" xr:uid="{79A63C3F-02CB-4EED-9B16-C662F3468C17}">
          <x14:formula1>
            <xm:f>Lookups!$B$4:$B$8</xm:f>
          </x14:formula1>
          <xm:sqref>F7</xm:sqref>
        </x14:dataValidation>
        <x14:dataValidation type="list" allowBlank="1" showInputMessage="1" showErrorMessage="1" xr:uid="{10B7D7C6-BF9F-4C88-A6ED-615EF10ED2FC}">
          <x14:formula1>
            <xm:f>Lookups!$AC$4:$AC$9</xm:f>
          </x14:formula1>
          <xm:sqref>AC7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3C7-12AE-4D61-9FF8-BE39EC7A707D}">
  <sheetPr codeName="Sheet13"/>
  <dimension ref="B2:TB19"/>
  <sheetViews>
    <sheetView showGridLines="0" topLeftCell="BD1" workbookViewId="0">
      <selection activeCell="BW2" sqref="BW2"/>
    </sheetView>
  </sheetViews>
  <sheetFormatPr defaultRowHeight="15"/>
  <cols>
    <col min="1" max="1" width="4.5703125" customWidth="1"/>
    <col min="39" max="42" width="9.85546875" customWidth="1"/>
    <col min="106" max="106" width="9.85546875" bestFit="1" customWidth="1"/>
  </cols>
  <sheetData>
    <row r="2" spans="2:522">
      <c r="B2" s="65" t="s">
        <v>233</v>
      </c>
      <c r="C2" s="65" t="s">
        <v>288</v>
      </c>
      <c r="D2" s="65" t="s">
        <v>6</v>
      </c>
      <c r="E2" s="65" t="s">
        <v>185</v>
      </c>
      <c r="F2" s="65" t="s">
        <v>146</v>
      </c>
      <c r="G2" s="65" t="s">
        <v>262</v>
      </c>
      <c r="H2" s="65" t="s">
        <v>272</v>
      </c>
      <c r="I2" s="65" t="s">
        <v>255</v>
      </c>
      <c r="J2" s="65" t="s">
        <v>257</v>
      </c>
      <c r="K2" s="65" t="s">
        <v>256</v>
      </c>
      <c r="L2" s="65" t="s">
        <v>254</v>
      </c>
      <c r="M2" s="65" t="s">
        <v>289</v>
      </c>
      <c r="N2" s="65" t="s">
        <v>290</v>
      </c>
      <c r="O2" s="65" t="s">
        <v>291</v>
      </c>
      <c r="P2" s="65" t="s">
        <v>292</v>
      </c>
      <c r="Q2" s="65" t="s">
        <v>293</v>
      </c>
      <c r="R2" s="65" t="s">
        <v>294</v>
      </c>
      <c r="S2" s="65" t="s">
        <v>291</v>
      </c>
      <c r="T2" s="65" t="s">
        <v>295</v>
      </c>
      <c r="U2" s="65" t="s">
        <v>296</v>
      </c>
      <c r="V2" s="65" t="s">
        <v>297</v>
      </c>
      <c r="W2" s="65" t="s">
        <v>291</v>
      </c>
      <c r="X2" s="65" t="s">
        <v>298</v>
      </c>
      <c r="Y2" s="65" t="s">
        <v>150</v>
      </c>
      <c r="Z2" s="65" t="s">
        <v>190</v>
      </c>
      <c r="AA2" s="65" t="s">
        <v>249</v>
      </c>
      <c r="AB2" s="65" t="s">
        <v>253</v>
      </c>
      <c r="AC2" s="65" t="s">
        <v>299</v>
      </c>
      <c r="AD2" s="65" t="s">
        <v>5</v>
      </c>
      <c r="AE2" s="65" t="s">
        <v>300</v>
      </c>
      <c r="AF2" s="65" t="s">
        <v>301</v>
      </c>
      <c r="AG2" s="65" t="s">
        <v>302</v>
      </c>
      <c r="AH2" s="65" t="s">
        <v>303</v>
      </c>
      <c r="AI2" s="65" t="s">
        <v>304</v>
      </c>
      <c r="AJ2" s="65" t="s">
        <v>305</v>
      </c>
      <c r="AK2" s="65" t="s">
        <v>306</v>
      </c>
      <c r="AL2" s="65" t="s">
        <v>307</v>
      </c>
      <c r="AM2" s="65" t="s">
        <v>308</v>
      </c>
      <c r="AN2" s="65" t="s">
        <v>309</v>
      </c>
      <c r="AO2" s="65" t="s">
        <v>310</v>
      </c>
      <c r="AP2" s="65" t="s">
        <v>311</v>
      </c>
      <c r="AQ2" s="65" t="s">
        <v>312</v>
      </c>
      <c r="AR2" s="65" t="s">
        <v>313</v>
      </c>
      <c r="AS2" s="65" t="s">
        <v>314</v>
      </c>
      <c r="AT2" s="65" t="s">
        <v>315</v>
      </c>
      <c r="AU2" s="65" t="s">
        <v>316</v>
      </c>
      <c r="AV2" s="65" t="s">
        <v>317</v>
      </c>
      <c r="AW2" s="65" t="s">
        <v>318</v>
      </c>
      <c r="AX2" s="65" t="s">
        <v>319</v>
      </c>
      <c r="AY2" s="65" t="s">
        <v>320</v>
      </c>
      <c r="AZ2" s="65" t="s">
        <v>321</v>
      </c>
      <c r="BA2" s="65" t="s">
        <v>322</v>
      </c>
      <c r="BB2" s="65" t="s">
        <v>323</v>
      </c>
      <c r="BC2" s="65" t="s">
        <v>324</v>
      </c>
      <c r="BD2" s="65" t="s">
        <v>325</v>
      </c>
      <c r="BE2" s="65" t="s">
        <v>326</v>
      </c>
      <c r="BF2" s="65" t="s">
        <v>327</v>
      </c>
      <c r="BG2" s="65" t="s">
        <v>328</v>
      </c>
      <c r="BH2" s="65" t="s">
        <v>329</v>
      </c>
      <c r="BI2" s="65" t="s">
        <v>330</v>
      </c>
      <c r="BJ2" s="65" t="s">
        <v>331</v>
      </c>
      <c r="BK2" s="65" t="s">
        <v>332</v>
      </c>
      <c r="BL2" s="65" t="s">
        <v>333</v>
      </c>
      <c r="BM2" s="65" t="s">
        <v>334</v>
      </c>
      <c r="BN2" s="65" t="s">
        <v>335</v>
      </c>
      <c r="BO2" s="65" t="s">
        <v>336</v>
      </c>
      <c r="BP2" s="65" t="s">
        <v>337</v>
      </c>
      <c r="BQ2" s="65" t="s">
        <v>338</v>
      </c>
      <c r="BR2" s="65" t="s">
        <v>339</v>
      </c>
      <c r="BS2" s="65" t="s">
        <v>340</v>
      </c>
      <c r="BT2" s="65" t="s">
        <v>341</v>
      </c>
      <c r="BU2" s="65" t="s">
        <v>342</v>
      </c>
      <c r="BV2" s="65" t="s">
        <v>343</v>
      </c>
      <c r="BW2" s="65" t="s">
        <v>344</v>
      </c>
      <c r="BX2" s="65" t="s">
        <v>345</v>
      </c>
      <c r="BY2" s="65" t="s">
        <v>346</v>
      </c>
      <c r="BZ2" s="65" t="s">
        <v>347</v>
      </c>
      <c r="CA2" s="65" t="s">
        <v>348</v>
      </c>
      <c r="CB2" s="65" t="s">
        <v>349</v>
      </c>
      <c r="CC2" s="65" t="s">
        <v>350</v>
      </c>
      <c r="CD2" s="65" t="s">
        <v>351</v>
      </c>
      <c r="CE2" s="65" t="s">
        <v>352</v>
      </c>
      <c r="CF2" s="65" t="s">
        <v>353</v>
      </c>
      <c r="CG2" s="65" t="s">
        <v>354</v>
      </c>
      <c r="CH2" s="65" t="s">
        <v>355</v>
      </c>
      <c r="CI2" s="65" t="s">
        <v>356</v>
      </c>
      <c r="CJ2" s="65" t="s">
        <v>357</v>
      </c>
      <c r="CK2" s="65" t="s">
        <v>358</v>
      </c>
      <c r="CL2" s="65" t="s">
        <v>359</v>
      </c>
      <c r="CM2" s="65" t="s">
        <v>360</v>
      </c>
      <c r="CN2" s="65" t="s">
        <v>361</v>
      </c>
      <c r="CO2" s="65" t="s">
        <v>362</v>
      </c>
      <c r="CP2" s="65" t="s">
        <v>363</v>
      </c>
      <c r="CQ2" s="65" t="s">
        <v>364</v>
      </c>
      <c r="CR2" s="65" t="s">
        <v>365</v>
      </c>
      <c r="CS2" s="65" t="s">
        <v>366</v>
      </c>
      <c r="CT2" s="65" t="s">
        <v>367</v>
      </c>
      <c r="CU2" s="65" t="s">
        <v>368</v>
      </c>
      <c r="CV2" s="65" t="s">
        <v>369</v>
      </c>
      <c r="CW2" s="65" t="s">
        <v>370</v>
      </c>
      <c r="CX2" s="65" t="s">
        <v>371</v>
      </c>
      <c r="CY2" s="65" t="s">
        <v>372</v>
      </c>
      <c r="CZ2" s="65" t="s">
        <v>373</v>
      </c>
      <c r="DA2" s="65" t="s">
        <v>374</v>
      </c>
      <c r="DB2" s="65" t="s">
        <v>375</v>
      </c>
      <c r="DC2" s="65" t="s">
        <v>378</v>
      </c>
      <c r="DD2" s="65" t="s">
        <v>379</v>
      </c>
      <c r="DE2" s="65" t="s">
        <v>380</v>
      </c>
      <c r="DF2" s="65" t="s">
        <v>381</v>
      </c>
      <c r="DG2" s="65" t="s">
        <v>382</v>
      </c>
      <c r="DH2" s="65" t="s">
        <v>383</v>
      </c>
      <c r="DI2" s="65" t="s">
        <v>384</v>
      </c>
      <c r="DJ2" s="65" t="s">
        <v>385</v>
      </c>
      <c r="DK2" s="65" t="s">
        <v>386</v>
      </c>
      <c r="DL2" s="65" t="s">
        <v>387</v>
      </c>
      <c r="DM2" s="65" t="s">
        <v>388</v>
      </c>
      <c r="DN2" s="65" t="s">
        <v>389</v>
      </c>
      <c r="DO2" s="65" t="s">
        <v>390</v>
      </c>
      <c r="DP2" s="65" t="s">
        <v>391</v>
      </c>
      <c r="DQ2" s="65" t="s">
        <v>392</v>
      </c>
      <c r="DR2" s="65" t="s">
        <v>393</v>
      </c>
      <c r="DS2" s="65" t="s">
        <v>394</v>
      </c>
      <c r="DT2" s="65" t="s">
        <v>395</v>
      </c>
      <c r="DU2" s="65" t="s">
        <v>396</v>
      </c>
      <c r="DV2" s="65" t="s">
        <v>397</v>
      </c>
      <c r="DW2" s="65" t="s">
        <v>398</v>
      </c>
      <c r="DX2" s="65" t="s">
        <v>399</v>
      </c>
      <c r="DY2" s="65" t="s">
        <v>400</v>
      </c>
      <c r="DZ2" s="65" t="s">
        <v>401</v>
      </c>
      <c r="EA2" s="65" t="s">
        <v>402</v>
      </c>
      <c r="EB2" s="65" t="s">
        <v>403</v>
      </c>
      <c r="EC2" s="65" t="s">
        <v>404</v>
      </c>
      <c r="ED2" s="65" t="s">
        <v>405</v>
      </c>
      <c r="EE2" s="65" t="s">
        <v>406</v>
      </c>
      <c r="EF2" s="65" t="s">
        <v>407</v>
      </c>
      <c r="EG2" s="65" t="s">
        <v>408</v>
      </c>
      <c r="EH2" s="65" t="s">
        <v>409</v>
      </c>
      <c r="EI2" s="65" t="s">
        <v>410</v>
      </c>
      <c r="EJ2" s="65" t="s">
        <v>411</v>
      </c>
      <c r="EK2" s="65" t="s">
        <v>412</v>
      </c>
      <c r="EL2" s="65" t="s">
        <v>413</v>
      </c>
      <c r="EM2" s="65" t="s">
        <v>414</v>
      </c>
      <c r="EN2" s="65" t="s">
        <v>415</v>
      </c>
      <c r="EO2" s="65" t="s">
        <v>416</v>
      </c>
      <c r="EP2" s="65" t="s">
        <v>417</v>
      </c>
      <c r="EQ2" s="65" t="s">
        <v>418</v>
      </c>
      <c r="ER2" s="65" t="s">
        <v>419</v>
      </c>
      <c r="ES2" s="65" t="s">
        <v>420</v>
      </c>
      <c r="ET2" s="65" t="s">
        <v>421</v>
      </c>
      <c r="EU2" s="65" t="s">
        <v>422</v>
      </c>
      <c r="EV2" s="65" t="s">
        <v>423</v>
      </c>
      <c r="EW2" s="65" t="s">
        <v>424</v>
      </c>
      <c r="EX2" s="65" t="s">
        <v>425</v>
      </c>
      <c r="EY2" s="65" t="s">
        <v>426</v>
      </c>
      <c r="EZ2" s="65" t="s">
        <v>427</v>
      </c>
      <c r="FA2" s="65" t="s">
        <v>376</v>
      </c>
      <c r="FB2" s="65" t="s">
        <v>377</v>
      </c>
      <c r="FC2" s="65" t="s">
        <v>428</v>
      </c>
      <c r="FD2" s="65" t="s">
        <v>429</v>
      </c>
      <c r="FE2" s="65" t="s">
        <v>430</v>
      </c>
      <c r="FF2" s="65" t="s">
        <v>431</v>
      </c>
      <c r="FG2" s="65" t="s">
        <v>432</v>
      </c>
      <c r="FH2" s="65" t="s">
        <v>433</v>
      </c>
      <c r="FI2" s="65" t="s">
        <v>434</v>
      </c>
      <c r="FJ2" s="65" t="s">
        <v>435</v>
      </c>
      <c r="FK2" s="65" t="s">
        <v>436</v>
      </c>
      <c r="FL2" s="65" t="s">
        <v>437</v>
      </c>
      <c r="FM2" s="65" t="s">
        <v>438</v>
      </c>
      <c r="FN2" s="65" t="s">
        <v>439</v>
      </c>
      <c r="FO2" s="65" t="s">
        <v>440</v>
      </c>
      <c r="FP2" s="65" t="s">
        <v>441</v>
      </c>
      <c r="FQ2" s="65" t="s">
        <v>442</v>
      </c>
      <c r="FR2" s="65" t="s">
        <v>443</v>
      </c>
      <c r="FS2" s="65" t="s">
        <v>444</v>
      </c>
      <c r="FT2" s="65" t="s">
        <v>445</v>
      </c>
      <c r="FU2" s="65" t="s">
        <v>446</v>
      </c>
      <c r="FV2" s="65" t="s">
        <v>447</v>
      </c>
      <c r="FW2" s="65" t="s">
        <v>448</v>
      </c>
      <c r="FX2" s="65" t="s">
        <v>449</v>
      </c>
      <c r="FY2" s="65" t="s">
        <v>450</v>
      </c>
      <c r="FZ2" s="65" t="s">
        <v>451</v>
      </c>
      <c r="GA2" s="65" t="s">
        <v>452</v>
      </c>
      <c r="GB2" s="65" t="s">
        <v>453</v>
      </c>
      <c r="GC2" s="65" t="s">
        <v>454</v>
      </c>
      <c r="GD2" s="65" t="s">
        <v>455</v>
      </c>
      <c r="GE2" s="65" t="s">
        <v>456</v>
      </c>
      <c r="GF2" s="65" t="s">
        <v>457</v>
      </c>
      <c r="GG2" s="65" t="s">
        <v>458</v>
      </c>
      <c r="GH2" s="65" t="s">
        <v>459</v>
      </c>
      <c r="GI2" s="65" t="s">
        <v>460</v>
      </c>
      <c r="GJ2" s="65" t="s">
        <v>461</v>
      </c>
      <c r="GK2" s="65" t="s">
        <v>462</v>
      </c>
      <c r="GL2" s="65" t="s">
        <v>463</v>
      </c>
      <c r="GM2" s="65" t="s">
        <v>464</v>
      </c>
      <c r="GN2" s="65" t="s">
        <v>465</v>
      </c>
      <c r="GO2" s="65" t="s">
        <v>466</v>
      </c>
      <c r="GP2" s="65" t="s">
        <v>467</v>
      </c>
      <c r="GQ2" s="65" t="s">
        <v>468</v>
      </c>
      <c r="GR2" s="65" t="s">
        <v>469</v>
      </c>
      <c r="GS2" s="65" t="s">
        <v>470</v>
      </c>
      <c r="GT2" s="65" t="s">
        <v>471</v>
      </c>
      <c r="GU2" s="65" t="s">
        <v>472</v>
      </c>
      <c r="GV2" s="65" t="s">
        <v>473</v>
      </c>
      <c r="GW2" s="65" t="s">
        <v>474</v>
      </c>
      <c r="GX2" s="65" t="s">
        <v>475</v>
      </c>
      <c r="GY2" s="65" t="s">
        <v>476</v>
      </c>
      <c r="GZ2" s="65" t="s">
        <v>477</v>
      </c>
      <c r="HA2" s="65" t="s">
        <v>478</v>
      </c>
      <c r="HB2" s="65" t="s">
        <v>479</v>
      </c>
      <c r="HC2" s="65" t="s">
        <v>480</v>
      </c>
      <c r="HD2" s="65" t="s">
        <v>481</v>
      </c>
      <c r="HE2" s="65" t="s">
        <v>482</v>
      </c>
      <c r="HF2" s="65" t="s">
        <v>483</v>
      </c>
      <c r="HG2" s="65" t="s">
        <v>484</v>
      </c>
      <c r="HH2" s="65" t="s">
        <v>485</v>
      </c>
      <c r="HI2" s="65" t="s">
        <v>486</v>
      </c>
      <c r="HJ2" s="65" t="s">
        <v>487</v>
      </c>
      <c r="HK2" s="65" t="s">
        <v>488</v>
      </c>
      <c r="HL2" s="65" t="s">
        <v>489</v>
      </c>
      <c r="HM2" s="65" t="s">
        <v>490</v>
      </c>
      <c r="HN2" s="65" t="s">
        <v>491</v>
      </c>
      <c r="HO2" s="65" t="s">
        <v>492</v>
      </c>
      <c r="HP2" s="65" t="s">
        <v>493</v>
      </c>
      <c r="HQ2" s="65" t="s">
        <v>494</v>
      </c>
      <c r="HR2" s="65" t="s">
        <v>495</v>
      </c>
      <c r="HS2" s="65" t="s">
        <v>496</v>
      </c>
      <c r="HT2" s="65" t="s">
        <v>497</v>
      </c>
      <c r="HU2" s="65" t="s">
        <v>498</v>
      </c>
      <c r="HV2" s="65" t="s">
        <v>499</v>
      </c>
      <c r="HW2" s="65" t="s">
        <v>500</v>
      </c>
      <c r="HX2" s="65" t="s">
        <v>501</v>
      </c>
      <c r="HY2" s="65" t="s">
        <v>502</v>
      </c>
      <c r="HZ2" s="65" t="s">
        <v>503</v>
      </c>
      <c r="IA2" s="65" t="s">
        <v>504</v>
      </c>
      <c r="IB2" s="65" t="s">
        <v>505</v>
      </c>
      <c r="IC2" s="65" t="s">
        <v>506</v>
      </c>
      <c r="ID2" s="65" t="s">
        <v>507</v>
      </c>
      <c r="IE2" s="65" t="s">
        <v>508</v>
      </c>
      <c r="IF2" s="65" t="s">
        <v>509</v>
      </c>
      <c r="IG2" s="65" t="s">
        <v>510</v>
      </c>
      <c r="IH2" s="65" t="s">
        <v>511</v>
      </c>
      <c r="II2" s="65" t="s">
        <v>512</v>
      </c>
      <c r="IJ2" s="65" t="s">
        <v>513</v>
      </c>
      <c r="IK2" s="65" t="s">
        <v>514</v>
      </c>
      <c r="IL2" s="65" t="s">
        <v>515</v>
      </c>
      <c r="IM2" s="65" t="s">
        <v>516</v>
      </c>
      <c r="IN2" s="65" t="s">
        <v>517</v>
      </c>
      <c r="IO2" s="65" t="s">
        <v>518</v>
      </c>
      <c r="IP2" s="65" t="s">
        <v>519</v>
      </c>
      <c r="IQ2" s="65" t="s">
        <v>520</v>
      </c>
      <c r="IR2" s="65" t="s">
        <v>521</v>
      </c>
      <c r="IS2" s="65" t="s">
        <v>522</v>
      </c>
      <c r="IT2" s="65" t="s">
        <v>523</v>
      </c>
      <c r="IU2" s="65" t="s">
        <v>524</v>
      </c>
      <c r="IV2" s="65" t="s">
        <v>525</v>
      </c>
      <c r="IW2" s="65" t="s">
        <v>526</v>
      </c>
      <c r="IX2" s="65" t="s">
        <v>527</v>
      </c>
      <c r="IY2" s="65" t="s">
        <v>528</v>
      </c>
      <c r="IZ2" s="65" t="s">
        <v>529</v>
      </c>
      <c r="JA2" s="65" t="s">
        <v>530</v>
      </c>
      <c r="JB2" s="65" t="s">
        <v>531</v>
      </c>
      <c r="JC2" s="65" t="s">
        <v>532</v>
      </c>
      <c r="JD2" s="65" t="s">
        <v>533</v>
      </c>
      <c r="JE2" s="65" t="s">
        <v>534</v>
      </c>
      <c r="JF2" s="65" t="s">
        <v>535</v>
      </c>
      <c r="JG2" s="65" t="s">
        <v>536</v>
      </c>
      <c r="JH2" s="65" t="s">
        <v>537</v>
      </c>
      <c r="JI2" s="65" t="s">
        <v>538</v>
      </c>
      <c r="JJ2" s="65" t="s">
        <v>539</v>
      </c>
      <c r="JK2" s="65" t="s">
        <v>540</v>
      </c>
      <c r="JL2" s="65" t="s">
        <v>541</v>
      </c>
      <c r="JM2" s="65" t="s">
        <v>542</v>
      </c>
      <c r="JN2" s="65" t="s">
        <v>543</v>
      </c>
      <c r="JO2" s="65" t="s">
        <v>544</v>
      </c>
      <c r="JP2" s="65" t="s">
        <v>545</v>
      </c>
      <c r="JQ2" s="65" t="s">
        <v>546</v>
      </c>
      <c r="JR2" s="65" t="s">
        <v>547</v>
      </c>
      <c r="JS2" s="65" t="s">
        <v>548</v>
      </c>
      <c r="JT2" s="65" t="s">
        <v>549</v>
      </c>
      <c r="JU2" s="65" t="s">
        <v>550</v>
      </c>
      <c r="JV2" s="65" t="s">
        <v>551</v>
      </c>
      <c r="JW2" s="65" t="s">
        <v>552</v>
      </c>
      <c r="JX2" s="65" t="s">
        <v>553</v>
      </c>
      <c r="JY2" s="65" t="s">
        <v>554</v>
      </c>
      <c r="JZ2" s="65" t="s">
        <v>555</v>
      </c>
      <c r="KA2" s="65" t="s">
        <v>556</v>
      </c>
      <c r="KB2" s="65" t="s">
        <v>557</v>
      </c>
      <c r="KC2" s="65" t="s">
        <v>558</v>
      </c>
      <c r="KD2" s="65" t="s">
        <v>559</v>
      </c>
      <c r="KE2" s="65" t="s">
        <v>560</v>
      </c>
      <c r="KF2" s="65" t="s">
        <v>561</v>
      </c>
      <c r="KG2" s="65" t="s">
        <v>562</v>
      </c>
      <c r="KH2" s="65" t="s">
        <v>563</v>
      </c>
      <c r="KI2" s="65" t="s">
        <v>564</v>
      </c>
      <c r="KJ2" s="65" t="s">
        <v>565</v>
      </c>
      <c r="KK2" s="65" t="s">
        <v>566</v>
      </c>
      <c r="KL2" s="65" t="s">
        <v>567</v>
      </c>
      <c r="KM2" s="65" t="s">
        <v>568</v>
      </c>
      <c r="KN2" s="65" t="s">
        <v>569</v>
      </c>
      <c r="KO2" s="65" t="s">
        <v>570</v>
      </c>
      <c r="KP2" s="65" t="s">
        <v>571</v>
      </c>
      <c r="KQ2" s="65" t="s">
        <v>572</v>
      </c>
      <c r="KR2" s="65" t="s">
        <v>573</v>
      </c>
      <c r="KS2" s="65" t="s">
        <v>574</v>
      </c>
      <c r="KT2" s="65" t="s">
        <v>575</v>
      </c>
      <c r="KU2" s="65" t="s">
        <v>576</v>
      </c>
      <c r="KV2" s="65" t="s">
        <v>577</v>
      </c>
      <c r="KW2" s="65" t="s">
        <v>578</v>
      </c>
      <c r="KX2" s="65" t="s">
        <v>579</v>
      </c>
      <c r="KY2" s="65" t="s">
        <v>580</v>
      </c>
      <c r="KZ2" s="65" t="s">
        <v>581</v>
      </c>
      <c r="LA2" s="65" t="s">
        <v>582</v>
      </c>
      <c r="LB2" s="65" t="s">
        <v>583</v>
      </c>
      <c r="LC2" s="65" t="s">
        <v>584</v>
      </c>
      <c r="LD2" s="65" t="s">
        <v>585</v>
      </c>
      <c r="LE2" s="65" t="s">
        <v>586</v>
      </c>
      <c r="LF2" s="65" t="s">
        <v>587</v>
      </c>
      <c r="LG2" s="65" t="s">
        <v>588</v>
      </c>
      <c r="LH2" s="65" t="s">
        <v>589</v>
      </c>
      <c r="LI2" s="65" t="s">
        <v>590</v>
      </c>
      <c r="LJ2" s="65" t="s">
        <v>591</v>
      </c>
      <c r="LK2" s="65" t="s">
        <v>592</v>
      </c>
      <c r="LL2" s="65" t="s">
        <v>593</v>
      </c>
      <c r="LM2" s="65" t="s">
        <v>594</v>
      </c>
      <c r="LN2" s="65" t="s">
        <v>595</v>
      </c>
      <c r="LO2" s="65" t="s">
        <v>596</v>
      </c>
      <c r="LP2" s="65" t="s">
        <v>597</v>
      </c>
      <c r="LQ2" s="65" t="s">
        <v>598</v>
      </c>
      <c r="LR2" s="65" t="s">
        <v>599</v>
      </c>
      <c r="LS2" s="65" t="s">
        <v>600</v>
      </c>
      <c r="LT2" s="65" t="s">
        <v>601</v>
      </c>
      <c r="LU2" s="65" t="s">
        <v>602</v>
      </c>
      <c r="LV2" s="65" t="s">
        <v>603</v>
      </c>
      <c r="LW2" s="65" t="s">
        <v>604</v>
      </c>
      <c r="LX2" s="65" t="s">
        <v>605</v>
      </c>
      <c r="LY2" s="65" t="s">
        <v>606</v>
      </c>
      <c r="LZ2" s="65" t="s">
        <v>607</v>
      </c>
      <c r="MA2" s="65" t="s">
        <v>608</v>
      </c>
      <c r="MB2" s="65" t="s">
        <v>609</v>
      </c>
      <c r="MC2" s="65" t="s">
        <v>610</v>
      </c>
      <c r="MD2" s="65" t="s">
        <v>611</v>
      </c>
      <c r="ME2" s="65" t="s">
        <v>612</v>
      </c>
      <c r="MF2" s="65" t="s">
        <v>613</v>
      </c>
      <c r="MG2" s="65" t="s">
        <v>614</v>
      </c>
      <c r="MH2" s="65" t="s">
        <v>615</v>
      </c>
      <c r="MI2" s="65" t="s">
        <v>616</v>
      </c>
      <c r="MJ2" s="65" t="s">
        <v>617</v>
      </c>
      <c r="MK2" s="65" t="s">
        <v>618</v>
      </c>
      <c r="ML2" s="65" t="s">
        <v>619</v>
      </c>
      <c r="MM2" s="65" t="s">
        <v>620</v>
      </c>
      <c r="MN2" s="65" t="s">
        <v>621</v>
      </c>
      <c r="MO2" s="65" t="s">
        <v>622</v>
      </c>
      <c r="MP2" s="65" t="s">
        <v>623</v>
      </c>
      <c r="MQ2" s="65" t="s">
        <v>624</v>
      </c>
      <c r="MR2" s="65" t="s">
        <v>625</v>
      </c>
      <c r="MS2" s="65" t="s">
        <v>626</v>
      </c>
      <c r="MT2" s="65" t="s">
        <v>627</v>
      </c>
      <c r="MU2" s="65" t="s">
        <v>628</v>
      </c>
      <c r="MV2" s="65" t="s">
        <v>629</v>
      </c>
      <c r="MW2" s="65" t="s">
        <v>630</v>
      </c>
      <c r="MX2" s="65" t="s">
        <v>631</v>
      </c>
      <c r="MY2" s="65" t="s">
        <v>632</v>
      </c>
      <c r="MZ2" s="65" t="s">
        <v>633</v>
      </c>
      <c r="NA2" s="65" t="s">
        <v>634</v>
      </c>
      <c r="NB2" s="65" t="s">
        <v>635</v>
      </c>
      <c r="NC2" s="65" t="s">
        <v>480</v>
      </c>
      <c r="ND2" s="65" t="s">
        <v>481</v>
      </c>
      <c r="NE2" s="65" t="s">
        <v>482</v>
      </c>
      <c r="NF2" s="65" t="s">
        <v>483</v>
      </c>
      <c r="NG2" s="65" t="s">
        <v>484</v>
      </c>
      <c r="NH2" s="65" t="s">
        <v>485</v>
      </c>
      <c r="NI2" s="65" t="s">
        <v>486</v>
      </c>
      <c r="NJ2" s="65" t="s">
        <v>487</v>
      </c>
      <c r="NK2" s="65" t="s">
        <v>488</v>
      </c>
      <c r="NL2" s="65" t="s">
        <v>489</v>
      </c>
      <c r="NM2" s="65" t="s">
        <v>490</v>
      </c>
      <c r="NN2" s="65" t="s">
        <v>491</v>
      </c>
      <c r="NO2" s="65" t="s">
        <v>492</v>
      </c>
      <c r="NP2" s="65" t="s">
        <v>493</v>
      </c>
      <c r="NQ2" s="65" t="s">
        <v>494</v>
      </c>
      <c r="NR2" s="65" t="s">
        <v>495</v>
      </c>
      <c r="NS2" s="65" t="s">
        <v>496</v>
      </c>
      <c r="NT2" s="65" t="s">
        <v>497</v>
      </c>
      <c r="NU2" s="65" t="s">
        <v>498</v>
      </c>
      <c r="NV2" s="65" t="s">
        <v>499</v>
      </c>
      <c r="NW2" s="65" t="s">
        <v>500</v>
      </c>
      <c r="NX2" s="65" t="s">
        <v>501</v>
      </c>
      <c r="NY2" s="65" t="s">
        <v>502</v>
      </c>
      <c r="NZ2" s="65" t="s">
        <v>503</v>
      </c>
      <c r="OA2" s="65" t="s">
        <v>504</v>
      </c>
      <c r="OB2" s="65" t="s">
        <v>505</v>
      </c>
      <c r="OC2" s="65" t="s">
        <v>506</v>
      </c>
      <c r="OD2" s="65" t="s">
        <v>507</v>
      </c>
      <c r="OE2" s="65" t="s">
        <v>508</v>
      </c>
      <c r="OF2" s="65" t="s">
        <v>509</v>
      </c>
      <c r="OG2" s="65" t="s">
        <v>510</v>
      </c>
      <c r="OH2" s="65" t="s">
        <v>511</v>
      </c>
      <c r="OI2" s="65" t="s">
        <v>512</v>
      </c>
      <c r="OJ2" s="65" t="s">
        <v>513</v>
      </c>
      <c r="OK2" s="65" t="s">
        <v>514</v>
      </c>
      <c r="OL2" s="65" t="s">
        <v>515</v>
      </c>
      <c r="OM2" s="65" t="s">
        <v>516</v>
      </c>
      <c r="ON2" s="65" t="s">
        <v>517</v>
      </c>
      <c r="OO2" s="65" t="s">
        <v>518</v>
      </c>
      <c r="OP2" s="65" t="s">
        <v>519</v>
      </c>
      <c r="OQ2" s="65" t="s">
        <v>520</v>
      </c>
      <c r="OR2" s="65" t="s">
        <v>521</v>
      </c>
      <c r="OS2" s="65" t="s">
        <v>522</v>
      </c>
      <c r="OT2" s="65" t="s">
        <v>523</v>
      </c>
      <c r="OU2" s="65" t="s">
        <v>524</v>
      </c>
      <c r="OV2" s="65" t="s">
        <v>525</v>
      </c>
      <c r="OW2" s="65" t="s">
        <v>526</v>
      </c>
      <c r="OX2" s="65" t="s">
        <v>527</v>
      </c>
      <c r="OY2" s="65" t="s">
        <v>528</v>
      </c>
      <c r="OZ2" s="65" t="s">
        <v>529</v>
      </c>
      <c r="PA2" s="65" t="s">
        <v>530</v>
      </c>
      <c r="PB2" s="65" t="s">
        <v>531</v>
      </c>
      <c r="PC2" s="65" t="s">
        <v>532</v>
      </c>
      <c r="PD2" s="65" t="s">
        <v>533</v>
      </c>
      <c r="PE2" s="65" t="s">
        <v>534</v>
      </c>
      <c r="PF2" s="65" t="s">
        <v>535</v>
      </c>
      <c r="PG2" s="65" t="s">
        <v>536</v>
      </c>
      <c r="PH2" s="65" t="s">
        <v>537</v>
      </c>
      <c r="PI2" s="65" t="s">
        <v>538</v>
      </c>
      <c r="PJ2" s="65" t="s">
        <v>539</v>
      </c>
      <c r="PK2" s="65" t="s">
        <v>540</v>
      </c>
      <c r="PL2" s="65" t="s">
        <v>541</v>
      </c>
      <c r="PM2" s="65" t="s">
        <v>542</v>
      </c>
      <c r="PN2" s="65" t="s">
        <v>543</v>
      </c>
      <c r="PO2" s="65" t="s">
        <v>544</v>
      </c>
      <c r="PP2" s="65" t="s">
        <v>545</v>
      </c>
      <c r="PQ2" s="65" t="s">
        <v>546</v>
      </c>
      <c r="PR2" s="65" t="s">
        <v>547</v>
      </c>
      <c r="PS2" s="65" t="s">
        <v>548</v>
      </c>
      <c r="PT2" s="65" t="s">
        <v>549</v>
      </c>
      <c r="PU2" s="65" t="s">
        <v>550</v>
      </c>
      <c r="PV2" s="65" t="s">
        <v>551</v>
      </c>
      <c r="PW2" s="65" t="s">
        <v>552</v>
      </c>
      <c r="PX2" s="65" t="s">
        <v>553</v>
      </c>
      <c r="PY2" s="65" t="s">
        <v>554</v>
      </c>
      <c r="PZ2" s="65" t="s">
        <v>555</v>
      </c>
      <c r="QA2" s="65" t="s">
        <v>556</v>
      </c>
      <c r="QB2" s="65" t="s">
        <v>557</v>
      </c>
      <c r="QC2" s="65" t="s">
        <v>558</v>
      </c>
      <c r="QD2" s="65" t="s">
        <v>559</v>
      </c>
      <c r="QE2" s="65" t="s">
        <v>560</v>
      </c>
      <c r="QF2" s="65" t="s">
        <v>561</v>
      </c>
      <c r="QG2" s="65" t="s">
        <v>562</v>
      </c>
      <c r="QH2" s="65" t="s">
        <v>563</v>
      </c>
      <c r="QI2" s="65" t="s">
        <v>564</v>
      </c>
      <c r="QJ2" s="65" t="s">
        <v>565</v>
      </c>
      <c r="QK2" s="65" t="s">
        <v>566</v>
      </c>
      <c r="QL2" s="65" t="s">
        <v>567</v>
      </c>
      <c r="QM2" s="65" t="s">
        <v>568</v>
      </c>
      <c r="QN2" s="65" t="s">
        <v>569</v>
      </c>
      <c r="QO2" s="65" t="s">
        <v>570</v>
      </c>
      <c r="QP2" s="65" t="s">
        <v>571</v>
      </c>
      <c r="QQ2" s="65" t="s">
        <v>572</v>
      </c>
      <c r="QR2" s="65" t="s">
        <v>573</v>
      </c>
      <c r="QS2" s="65" t="s">
        <v>574</v>
      </c>
      <c r="QT2" s="65" t="s">
        <v>575</v>
      </c>
      <c r="QU2" s="65" t="s">
        <v>576</v>
      </c>
      <c r="QV2" s="65" t="s">
        <v>577</v>
      </c>
      <c r="QW2" s="65" t="s">
        <v>578</v>
      </c>
      <c r="QX2" s="65" t="s">
        <v>579</v>
      </c>
      <c r="QY2" s="65" t="s">
        <v>580</v>
      </c>
      <c r="QZ2" s="65" t="s">
        <v>581</v>
      </c>
      <c r="RA2" s="65" t="s">
        <v>582</v>
      </c>
      <c r="RB2" s="65" t="s">
        <v>583</v>
      </c>
      <c r="RC2" s="65" t="s">
        <v>584</v>
      </c>
      <c r="RD2" s="65" t="s">
        <v>585</v>
      </c>
      <c r="RE2" s="65" t="s">
        <v>586</v>
      </c>
      <c r="RF2" s="65" t="s">
        <v>587</v>
      </c>
      <c r="RG2" s="65" t="s">
        <v>588</v>
      </c>
      <c r="RH2" s="65" t="s">
        <v>589</v>
      </c>
      <c r="RI2" s="65" t="s">
        <v>590</v>
      </c>
      <c r="RJ2" s="65" t="s">
        <v>591</v>
      </c>
      <c r="RK2" s="65" t="s">
        <v>592</v>
      </c>
      <c r="RL2" s="65" t="s">
        <v>593</v>
      </c>
      <c r="RM2" s="65" t="s">
        <v>594</v>
      </c>
      <c r="RN2" s="65" t="s">
        <v>595</v>
      </c>
      <c r="RO2" s="65" t="s">
        <v>596</v>
      </c>
      <c r="RP2" s="65" t="s">
        <v>597</v>
      </c>
      <c r="RQ2" s="65" t="s">
        <v>598</v>
      </c>
      <c r="RR2" s="65" t="s">
        <v>599</v>
      </c>
      <c r="RS2" s="65" t="s">
        <v>600</v>
      </c>
      <c r="RT2" s="65" t="s">
        <v>601</v>
      </c>
      <c r="RU2" s="65" t="s">
        <v>602</v>
      </c>
      <c r="RV2" s="65" t="s">
        <v>603</v>
      </c>
      <c r="RW2" s="65" t="s">
        <v>604</v>
      </c>
      <c r="RX2" s="65" t="s">
        <v>605</v>
      </c>
      <c r="RY2" s="65" t="s">
        <v>606</v>
      </c>
      <c r="RZ2" s="65" t="s">
        <v>607</v>
      </c>
      <c r="SA2" s="65" t="s">
        <v>608</v>
      </c>
      <c r="SB2" s="65" t="s">
        <v>609</v>
      </c>
      <c r="SC2" s="65" t="s">
        <v>610</v>
      </c>
      <c r="SD2" s="65" t="s">
        <v>611</v>
      </c>
      <c r="SE2" s="65" t="s">
        <v>612</v>
      </c>
      <c r="SF2" s="65" t="s">
        <v>613</v>
      </c>
      <c r="SG2" s="65" t="s">
        <v>614</v>
      </c>
      <c r="SH2" s="65" t="s">
        <v>615</v>
      </c>
      <c r="SI2" s="65" t="s">
        <v>616</v>
      </c>
      <c r="SJ2" s="65" t="s">
        <v>617</v>
      </c>
      <c r="SK2" s="65" t="s">
        <v>618</v>
      </c>
      <c r="SL2" s="65" t="s">
        <v>619</v>
      </c>
      <c r="SM2" s="65" t="s">
        <v>620</v>
      </c>
      <c r="SN2" s="65" t="s">
        <v>621</v>
      </c>
      <c r="SO2" s="65" t="s">
        <v>622</v>
      </c>
      <c r="SP2" s="65" t="s">
        <v>623</v>
      </c>
      <c r="SQ2" s="65" t="s">
        <v>624</v>
      </c>
      <c r="SR2" s="65" t="s">
        <v>625</v>
      </c>
      <c r="SS2" s="65" t="s">
        <v>626</v>
      </c>
      <c r="ST2" s="65" t="s">
        <v>627</v>
      </c>
      <c r="SU2" s="65" t="s">
        <v>628</v>
      </c>
      <c r="SV2" s="65" t="s">
        <v>629</v>
      </c>
      <c r="SW2" s="65" t="s">
        <v>630</v>
      </c>
      <c r="SX2" s="65" t="s">
        <v>631</v>
      </c>
      <c r="SY2" s="65" t="s">
        <v>632</v>
      </c>
      <c r="SZ2" s="65" t="s">
        <v>633</v>
      </c>
      <c r="TA2" s="65" t="s">
        <v>634</v>
      </c>
      <c r="TB2" s="65" t="s">
        <v>635</v>
      </c>
    </row>
    <row r="3" spans="2:522">
      <c r="B3" s="68" t="s">
        <v>287</v>
      </c>
      <c r="C3" s="68" t="str">
        <f>'P1'!$F$3</f>
        <v>Advanced Email Campaigns</v>
      </c>
      <c r="D3" s="68" t="str">
        <f>'P1'!$F$5</f>
        <v>hyperpersonalized email campaigns</v>
      </c>
      <c r="E3" s="68" t="str">
        <f>'P1'!$F$7</f>
        <v>L2.  Sophisticated AI tooling for developnent/operations but generally limited to a single departnent or workflow</v>
      </c>
      <c r="F3" s="68" t="str">
        <f>'P1'!$F$8</f>
        <v>Complex Tool</v>
      </c>
      <c r="G3" s="68" t="str">
        <f>'P1'!$B$13</f>
        <v>OrbitAI</v>
      </c>
      <c r="H3" s="68" t="str">
        <f>'P1'!$C$17</f>
        <v>jamie.collingwood@pyxissoftware.com</v>
      </c>
      <c r="I3" s="68" t="str">
        <f>'P1'!$C$18</f>
        <v>Jamie Collingwood</v>
      </c>
      <c r="J3" s="68" t="str">
        <f>'P1'!$C$19</f>
        <v>Chase Winston</v>
      </c>
      <c r="K3" s="68" t="str">
        <f>'P1'!$C$20</f>
        <v>Jim Peltier</v>
      </c>
      <c r="L3" s="68" t="str">
        <f>'P1'!$C$21</f>
        <v>Sandy Crutcher</v>
      </c>
      <c r="M3" s="68" t="str">
        <f>'P1'!$F$12</f>
        <v>Integration Depth</v>
      </c>
      <c r="N3" s="68" t="str">
        <f>'P1'!$G$13</f>
        <v>Revenue Growth from AI-enhanced products</v>
      </c>
      <c r="O3" s="68" t="str">
        <f>'P1'!$F$15</f>
        <v>Enables revenue growth through enhanced sales processes</v>
      </c>
      <c r="P3" s="68" t="str">
        <f>'P1'!$F$19</f>
        <v>Improvements in email response campaigns and meetings booked rates</v>
      </c>
      <c r="Q3" s="68" t="str">
        <f>'P1'!$O$12</f>
        <v>Process Improvement</v>
      </c>
      <c r="R3" s="68" t="str">
        <f>'P1'!$P$13</f>
        <v>Conversion Rates from AI-powered features</v>
      </c>
      <c r="S3" s="68" t="str">
        <f>'P1'!$O$15</f>
        <v>AI Camp Bunking solution</v>
      </c>
      <c r="T3" s="68" t="str">
        <f>'P1'!$O$19</f>
        <v>AI Camp Bunking solution</v>
      </c>
      <c r="U3" s="68" t="str">
        <f>'P1'!$X$12</f>
        <v>Skills Development</v>
      </c>
      <c r="V3" s="68" t="str">
        <f>'P1'!$Y$13</f>
        <v>Automation Rate</v>
      </c>
      <c r="W3" s="68" t="str">
        <f>'P1'!$X$15</f>
        <v>AI Camp Bunking solution</v>
      </c>
      <c r="X3" s="68" t="str">
        <f>'P1'!$X$19</f>
        <v>AI Camp Bunking solution</v>
      </c>
      <c r="Y3" s="68">
        <f>'P1'!$AV$3</f>
        <v>25</v>
      </c>
      <c r="Z3" s="68" t="str">
        <f ca="1">'P1'!$AO$4</f>
        <v>Live</v>
      </c>
      <c r="AA3" s="68">
        <f ca="1">'P1'!$AV$4</f>
        <v>1</v>
      </c>
      <c r="AB3" s="68" t="str">
        <f ca="1">'P1'!$AO$5</f>
        <v>Dev</v>
      </c>
      <c r="AC3" s="68">
        <f ca="1">'P1'!$AV$5</f>
        <v>1.2</v>
      </c>
      <c r="AD3" s="68">
        <f ca="1">'P1'!$AV$6</f>
        <v>30</v>
      </c>
      <c r="AE3" s="69">
        <f>IF('P1'!$AV$10="","",'P1'!$AV$10)</f>
        <v>45884</v>
      </c>
      <c r="AF3" s="69">
        <f>IF('P1'!$AV$11="","",'P1'!$AV$11)</f>
        <v>45891</v>
      </c>
      <c r="AG3" s="69">
        <f>IF('P1'!$AV$12="","",'P1'!$AV$12)</f>
        <v>45898</v>
      </c>
      <c r="AH3" s="69">
        <f>IF('P1'!$AV$13="","",'P1'!$AV$13)</f>
        <v>45905</v>
      </c>
      <c r="AI3" s="69">
        <f>IF('P1'!$AV$14="","",'P1'!$AV$14)</f>
        <v>45912</v>
      </c>
      <c r="AJ3" s="69">
        <f>IF('P1'!$AV$15="","",'P1'!$AV$15)</f>
        <v>45919</v>
      </c>
      <c r="AK3" s="69">
        <f>IF('P1'!$AV$16="","",'P1'!$AV$16)</f>
        <v>45926</v>
      </c>
      <c r="AL3" s="69">
        <f>IF('P1'!$AV$17="","",'P1'!$AV$17)</f>
        <v>45933</v>
      </c>
      <c r="AM3" s="69">
        <f>IF('P1'!$AV$18="","",'P1'!AV$18)</f>
        <v>45940</v>
      </c>
      <c r="AN3" s="69">
        <f>IF('P1'!$AV$19="","",'P1'!$AV$19)</f>
        <v>45947</v>
      </c>
      <c r="AO3" s="69">
        <f>IF('P1'!$AV$20="","",'P1'!$AV$20)</f>
        <v>45954</v>
      </c>
      <c r="AP3" s="69">
        <f>IF('P1'!$AV$21="","",'P1'!$AV$21)</f>
        <v>45961</v>
      </c>
      <c r="AQ3" s="69">
        <f>IF('P1'!$AY$10="","",'P1'!$AY$10)</f>
        <v>45885</v>
      </c>
      <c r="AR3" s="69">
        <f>IF('P1'!$AY$11="","",'P1'!$AY$11)</f>
        <v>45901</v>
      </c>
      <c r="AS3" s="69">
        <f>IF('P1'!$AY$12="","",'P1'!$AY$12)</f>
        <v>45898</v>
      </c>
      <c r="AT3" s="69">
        <f>IF('P1'!$AY$13="","",'P1'!$AY$13)</f>
        <v>45907</v>
      </c>
      <c r="AU3" s="69">
        <f>IF('P1'!$AY$14="","",'P1'!$AY$14)</f>
        <v>45919</v>
      </c>
      <c r="AV3" s="69">
        <f>IF('P1'!$AY$15="","",'P1'!$AY$15)</f>
        <v>45919</v>
      </c>
      <c r="AW3" s="69">
        <f>IF('P1'!$AY$16="","",'P1'!$AY$16)</f>
        <v>45931</v>
      </c>
      <c r="AX3" s="69">
        <f>IF('P1'!$AY$17="","",'P1'!$AY$17)</f>
        <v>45932</v>
      </c>
      <c r="AY3" s="69">
        <f>IF('P1'!$AY$18="","",'P1'!$AY$18)</f>
        <v>45940</v>
      </c>
      <c r="AZ3" s="69">
        <f>IF('P1'!$AY$19="","",'P1'!$AY$19)</f>
        <v>45947</v>
      </c>
      <c r="BA3" s="69">
        <f>IF('P1'!$AY$20="","",'P1'!$AY$20)</f>
        <v>45954</v>
      </c>
      <c r="BB3" s="69" t="str">
        <f>IF('P1'!$AY$21="","",'P1'!$AY$21)</f>
        <v/>
      </c>
      <c r="BC3" s="68">
        <f>'P1'!F$25</f>
        <v>23</v>
      </c>
      <c r="BD3" s="68">
        <f>'P1'!G$25</f>
        <v>23</v>
      </c>
      <c r="BE3" s="68">
        <f>'P1'!H$25</f>
        <v>23</v>
      </c>
      <c r="BF3" s="68">
        <f>'P1'!I$25</f>
        <v>23</v>
      </c>
      <c r="BG3" s="68">
        <f>'P1'!J$25</f>
        <v>23</v>
      </c>
      <c r="BH3" s="68">
        <f>'P1'!K$25</f>
        <v>23</v>
      </c>
      <c r="BI3" s="68">
        <f>'P1'!L$25</f>
        <v>23</v>
      </c>
      <c r="BJ3" s="68">
        <f>'P1'!M$25</f>
        <v>23</v>
      </c>
      <c r="BK3" s="68">
        <f>'P1'!N$25</f>
        <v>60</v>
      </c>
      <c r="BL3" s="68">
        <f>'P1'!O$25</f>
        <v>60</v>
      </c>
      <c r="BM3" s="68">
        <f>'P1'!P$25</f>
        <v>65</v>
      </c>
      <c r="BN3" s="68">
        <f>'P1'!Q$25</f>
        <v>65</v>
      </c>
      <c r="BO3" s="68">
        <f>'P1'!R$25</f>
        <v>66</v>
      </c>
      <c r="BP3" s="68">
        <f>'P1'!S$25</f>
        <v>67</v>
      </c>
      <c r="BQ3" s="68">
        <f>'P1'!T$25</f>
        <v>68</v>
      </c>
      <c r="BR3" s="68">
        <f>'P1'!U$25</f>
        <v>69</v>
      </c>
      <c r="BS3" s="68">
        <f>'P1'!V$25</f>
        <v>70</v>
      </c>
      <c r="BT3" s="68">
        <f>'P1'!W$25</f>
        <v>71</v>
      </c>
      <c r="BU3" s="68">
        <f>'P1'!X$25</f>
        <v>72</v>
      </c>
      <c r="BV3" s="68">
        <f>'P1'!Y$25</f>
        <v>73</v>
      </c>
      <c r="BW3" s="68">
        <f>'P1'!Z$25</f>
        <v>74</v>
      </c>
      <c r="BX3" s="68">
        <f>'P1'!AA$25</f>
        <v>75</v>
      </c>
      <c r="BY3" s="68">
        <f>'P1'!AB$25</f>
        <v>76</v>
      </c>
      <c r="BZ3" s="68">
        <f>'P1'!AC$25</f>
        <v>77</v>
      </c>
      <c r="CA3" s="68">
        <f>'P1'!AD$25</f>
        <v>78</v>
      </c>
      <c r="CB3" s="68">
        <f>'P1'!AE$25</f>
        <v>79</v>
      </c>
      <c r="CC3" s="68">
        <f>'P1'!AF$25</f>
        <v>80</v>
      </c>
      <c r="CD3" s="68">
        <f>'P1'!AG$25</f>
        <v>80</v>
      </c>
      <c r="CE3" s="68">
        <f>'P1'!AH$25</f>
        <v>80</v>
      </c>
      <c r="CF3" s="68">
        <f>'P1'!AI$25</f>
        <v>80</v>
      </c>
      <c r="CG3" s="68">
        <f>'P1'!AJ$25</f>
        <v>80</v>
      </c>
      <c r="CH3" s="68">
        <f>'P1'!AK$25</f>
        <v>80</v>
      </c>
      <c r="CI3" s="68">
        <f>'P1'!AL$25</f>
        <v>80</v>
      </c>
      <c r="CJ3" s="68">
        <f>'P1'!AM$25</f>
        <v>80</v>
      </c>
      <c r="CK3" s="68">
        <f>'P1'!AN$25</f>
        <v>80</v>
      </c>
      <c r="CL3" s="68">
        <f>'P1'!AO$25</f>
        <v>80</v>
      </c>
      <c r="CM3" s="68">
        <f>'P1'!AP$25</f>
        <v>80</v>
      </c>
      <c r="CN3" s="68">
        <f>'P1'!AQ$25</f>
        <v>80</v>
      </c>
      <c r="CO3" s="68">
        <f>'P1'!AR$25</f>
        <v>80</v>
      </c>
      <c r="CP3" s="68">
        <f>'P1'!AS$25</f>
        <v>80</v>
      </c>
      <c r="CQ3" s="68">
        <f>'P1'!AT$25</f>
        <v>80</v>
      </c>
      <c r="CR3" s="68">
        <f>'P1'!AU$25</f>
        <v>80</v>
      </c>
      <c r="CS3" s="68">
        <f>'P1'!AV$25</f>
        <v>80</v>
      </c>
      <c r="CT3" s="68">
        <f>'P1'!AW$25</f>
        <v>80</v>
      </c>
      <c r="CU3" s="68">
        <f>'P1'!AX$25</f>
        <v>80</v>
      </c>
      <c r="CV3" s="68">
        <f>'P1'!AY$25</f>
        <v>80</v>
      </c>
      <c r="CW3" s="68">
        <f>'P1'!AZ$25</f>
        <v>80</v>
      </c>
      <c r="CX3" s="68">
        <f>'P1'!BA$25</f>
        <v>80</v>
      </c>
      <c r="CY3" s="68">
        <f>'P1'!BB$25</f>
        <v>80</v>
      </c>
      <c r="CZ3" s="68">
        <f>'P1'!BC$25</f>
        <v>80</v>
      </c>
      <c r="DA3" s="68">
        <f>'P1'!BD$25</f>
        <v>80</v>
      </c>
      <c r="DB3" s="68">
        <f>'P1'!BE$25</f>
        <v>80</v>
      </c>
      <c r="DC3" s="68">
        <f>'P1'!F$26</f>
        <v>25</v>
      </c>
      <c r="DD3" s="68">
        <f>'P1'!G$26</f>
        <v>26</v>
      </c>
      <c r="DE3" s="68">
        <f>'P1'!H$26</f>
        <v>27</v>
      </c>
      <c r="DF3" s="68">
        <f>'P1'!I$26</f>
        <v>28</v>
      </c>
      <c r="DG3" s="68">
        <f>'P1'!J$26</f>
        <v>28</v>
      </c>
      <c r="DH3" s="68">
        <f>'P1'!K$26</f>
        <v>55</v>
      </c>
      <c r="DI3" s="68">
        <f>'P1'!L$26</f>
        <v>55</v>
      </c>
      <c r="DJ3" s="68">
        <f>'P1'!M$26</f>
        <v>57</v>
      </c>
      <c r="DK3" s="68">
        <f>'P1'!N$26</f>
        <v>61</v>
      </c>
      <c r="DL3" s="68">
        <f>'P1'!O$26</f>
        <v>0</v>
      </c>
      <c r="DM3" s="68">
        <f>'P1'!P$26</f>
        <v>0</v>
      </c>
      <c r="DN3" s="68">
        <f>'P1'!Q$26</f>
        <v>0</v>
      </c>
      <c r="DO3" s="68">
        <f>'P1'!R$26</f>
        <v>0</v>
      </c>
      <c r="DP3" s="68">
        <f>'P1'!S$26</f>
        <v>0</v>
      </c>
      <c r="DQ3" s="68">
        <f>'P1'!T$26</f>
        <v>0</v>
      </c>
      <c r="DR3" s="68">
        <f>'P1'!U$26</f>
        <v>0</v>
      </c>
      <c r="DS3" s="68">
        <f>'P1'!V$26</f>
        <v>0</v>
      </c>
      <c r="DT3" s="68">
        <f>'P1'!W$26</f>
        <v>0</v>
      </c>
      <c r="DU3" s="68">
        <f>'P1'!X$26</f>
        <v>0</v>
      </c>
      <c r="DV3" s="68">
        <f>'P1'!Y$26</f>
        <v>0</v>
      </c>
      <c r="DW3" s="68">
        <f>'P1'!Z$26</f>
        <v>0</v>
      </c>
      <c r="DX3" s="68">
        <f>'P1'!AA$26</f>
        <v>0</v>
      </c>
      <c r="DY3" s="68">
        <f>'P1'!AB$26</f>
        <v>0</v>
      </c>
      <c r="DZ3" s="68">
        <f>'P1'!AC$26</f>
        <v>0</v>
      </c>
      <c r="EA3" s="68">
        <f>'P1'!AD$26</f>
        <v>0</v>
      </c>
      <c r="EB3" s="68">
        <f>'P1'!AE$26</f>
        <v>0</v>
      </c>
      <c r="EC3" s="68">
        <f>'P1'!AF$26</f>
        <v>0</v>
      </c>
      <c r="ED3" s="68">
        <f>'P1'!AG$26</f>
        <v>0</v>
      </c>
      <c r="EE3" s="68">
        <f>'P1'!AH$26</f>
        <v>0</v>
      </c>
      <c r="EF3" s="68">
        <f>'P1'!AI$26</f>
        <v>0</v>
      </c>
      <c r="EG3" s="68">
        <f>'P1'!AJ$26</f>
        <v>0</v>
      </c>
      <c r="EH3" s="68">
        <f>'P1'!AK$26</f>
        <v>0</v>
      </c>
      <c r="EI3" s="68">
        <f>'P1'!AL$26</f>
        <v>0</v>
      </c>
      <c r="EJ3" s="68">
        <f>'P1'!AM$26</f>
        <v>0</v>
      </c>
      <c r="EK3" s="68">
        <f>'P1'!AN$26</f>
        <v>0</v>
      </c>
      <c r="EL3" s="68">
        <f>'P1'!AO$26</f>
        <v>0</v>
      </c>
      <c r="EM3" s="68">
        <f>'P1'!AP$26</f>
        <v>0</v>
      </c>
      <c r="EN3" s="68">
        <f>'P1'!AQ$26</f>
        <v>0</v>
      </c>
      <c r="EO3" s="68">
        <f>'P1'!AR$26</f>
        <v>0</v>
      </c>
      <c r="EP3" s="68">
        <f>'P1'!AS$26</f>
        <v>0</v>
      </c>
      <c r="EQ3" s="68">
        <f>'P1'!AT$26</f>
        <v>0</v>
      </c>
      <c r="ER3" s="68">
        <f>'P1'!AU$26</f>
        <v>0</v>
      </c>
      <c r="ES3" s="68">
        <f>'P1'!AV$26</f>
        <v>0</v>
      </c>
      <c r="ET3" s="68">
        <f>'P1'!AW$26</f>
        <v>0</v>
      </c>
      <c r="EU3" s="68">
        <f>'P1'!AX$26</f>
        <v>0</v>
      </c>
      <c r="EV3" s="68">
        <f>'P1'!AY$26</f>
        <v>0</v>
      </c>
      <c r="EW3" s="68">
        <f>'P1'!AZ$26</f>
        <v>0</v>
      </c>
      <c r="EX3" s="68">
        <f>'P1'!BA$26</f>
        <v>0</v>
      </c>
      <c r="EY3" s="68">
        <f>'P1'!BB$26</f>
        <v>0</v>
      </c>
      <c r="EZ3" s="68">
        <f>'P1'!BC$26</f>
        <v>0</v>
      </c>
      <c r="FA3" s="68">
        <f>'P1'!BD$26</f>
        <v>0</v>
      </c>
      <c r="FB3" s="68">
        <f>'P1'!BE$26</f>
        <v>0</v>
      </c>
      <c r="FC3" s="68">
        <f>'P1'!F$27</f>
        <v>2</v>
      </c>
      <c r="FD3" s="68">
        <f>'P1'!G$27</f>
        <v>3</v>
      </c>
      <c r="FE3" s="68">
        <f>'P1'!H$27</f>
        <v>4</v>
      </c>
      <c r="FF3" s="68">
        <f>'P1'!I$27</f>
        <v>5</v>
      </c>
      <c r="FG3" s="68">
        <f>'P1'!J$27</f>
        <v>5</v>
      </c>
      <c r="FH3" s="68">
        <f>'P1'!K$27</f>
        <v>32</v>
      </c>
      <c r="FI3" s="68">
        <f>'P1'!L$27</f>
        <v>32</v>
      </c>
      <c r="FJ3" s="68">
        <f>'P1'!M$27</f>
        <v>34</v>
      </c>
      <c r="FK3" s="68">
        <f>'P1'!N$27</f>
        <v>1</v>
      </c>
      <c r="FL3" s="68">
        <f>'P1'!O$27</f>
        <v>-60</v>
      </c>
      <c r="FM3" s="68">
        <f>'P1'!P$27</f>
        <v>-65</v>
      </c>
      <c r="FN3" s="68">
        <f>'P1'!Q$27</f>
        <v>-65</v>
      </c>
      <c r="FO3" s="68">
        <f>'P1'!R$27</f>
        <v>-66</v>
      </c>
      <c r="FP3" s="68">
        <f>'P1'!S$27</f>
        <v>-67</v>
      </c>
      <c r="FQ3" s="68">
        <f>'P1'!T$27</f>
        <v>-68</v>
      </c>
      <c r="FR3" s="68">
        <f>'P1'!U$27</f>
        <v>-69</v>
      </c>
      <c r="FS3" s="68">
        <f>'P1'!V$27</f>
        <v>-70</v>
      </c>
      <c r="FT3" s="68">
        <f>'P1'!W$27</f>
        <v>-71</v>
      </c>
      <c r="FU3" s="68">
        <f>'P1'!X$27</f>
        <v>-72</v>
      </c>
      <c r="FV3" s="68">
        <f>'P1'!Y$27</f>
        <v>-73</v>
      </c>
      <c r="FW3" s="68">
        <f>'P1'!Z$27</f>
        <v>-74</v>
      </c>
      <c r="FX3" s="68">
        <f>'P1'!AA$27</f>
        <v>-75</v>
      </c>
      <c r="FY3" s="68">
        <f>'P1'!AB$27</f>
        <v>-76</v>
      </c>
      <c r="FZ3" s="68">
        <f>'P1'!AC$27</f>
        <v>-77</v>
      </c>
      <c r="GA3" s="68">
        <f>'P1'!AD$27</f>
        <v>-78</v>
      </c>
      <c r="GB3" s="68">
        <f>'P1'!AE$27</f>
        <v>-79</v>
      </c>
      <c r="GC3" s="68">
        <f>'P1'!AF$27</f>
        <v>-80</v>
      </c>
      <c r="GD3" s="68">
        <f>'P1'!AG$27</f>
        <v>-80</v>
      </c>
      <c r="GE3" s="68">
        <f>'P1'!AH$27</f>
        <v>-80</v>
      </c>
      <c r="GF3" s="68">
        <f>'P1'!AI$27</f>
        <v>-80</v>
      </c>
      <c r="GG3" s="68">
        <f>'P1'!AJ$27</f>
        <v>-80</v>
      </c>
      <c r="GH3" s="68">
        <f>'P1'!AK$27</f>
        <v>-80</v>
      </c>
      <c r="GI3" s="68">
        <f>'P1'!AL$27</f>
        <v>-80</v>
      </c>
      <c r="GJ3" s="68">
        <f>'P1'!AM$27</f>
        <v>-80</v>
      </c>
      <c r="GK3" s="68">
        <f>'P1'!AN$27</f>
        <v>-80</v>
      </c>
      <c r="GL3" s="68">
        <f>'P1'!AO$27</f>
        <v>-80</v>
      </c>
      <c r="GM3" s="68">
        <f>'P1'!AP$27</f>
        <v>-80</v>
      </c>
      <c r="GN3" s="68">
        <f>'P1'!AQ$27</f>
        <v>-80</v>
      </c>
      <c r="GO3" s="68">
        <f>'P1'!AR$27</f>
        <v>-80</v>
      </c>
      <c r="GP3" s="68">
        <f>'P1'!AS$27</f>
        <v>-80</v>
      </c>
      <c r="GQ3" s="68">
        <f>'P1'!AT$27</f>
        <v>-80</v>
      </c>
      <c r="GR3" s="68">
        <f>'P1'!AU$27</f>
        <v>-80</v>
      </c>
      <c r="GS3" s="68">
        <f>'P1'!AV$27</f>
        <v>-80</v>
      </c>
      <c r="GT3" s="68">
        <f>'P1'!AW$27</f>
        <v>-80</v>
      </c>
      <c r="GU3" s="68">
        <f>'P1'!AX$27</f>
        <v>-80</v>
      </c>
      <c r="GV3" s="68">
        <f>'P1'!AY$27</f>
        <v>-80</v>
      </c>
      <c r="GW3" s="68">
        <f>'P1'!AZ$27</f>
        <v>-80</v>
      </c>
      <c r="GX3" s="68">
        <f>'P1'!BA$27</f>
        <v>-80</v>
      </c>
      <c r="GY3" s="68">
        <f>'P1'!BB$27</f>
        <v>-80</v>
      </c>
      <c r="GZ3" s="68">
        <f>'P1'!BC$27</f>
        <v>-80</v>
      </c>
      <c r="HA3" s="68">
        <f>'P1'!BD$27</f>
        <v>-80</v>
      </c>
      <c r="HB3" s="68">
        <f>'P1'!BE$27</f>
        <v>-80</v>
      </c>
      <c r="HC3" s="68">
        <f>'P1'!F$29</f>
        <v>1</v>
      </c>
      <c r="HD3" s="68">
        <f>'P1'!G$29</f>
        <v>2</v>
      </c>
      <c r="HE3" s="68">
        <f>'P1'!H$29</f>
        <v>3</v>
      </c>
      <c r="HF3" s="68">
        <f>'P1'!I$29</f>
        <v>0</v>
      </c>
      <c r="HG3" s="68">
        <f>'P1'!J$29</f>
        <v>0</v>
      </c>
      <c r="HH3" s="68">
        <f>'P1'!K$29</f>
        <v>0</v>
      </c>
      <c r="HI3" s="68">
        <f>'P1'!L$29</f>
        <v>2</v>
      </c>
      <c r="HJ3" s="68">
        <f>'P1'!M$29</f>
        <v>2</v>
      </c>
      <c r="HK3" s="68">
        <f>'P1'!N$29</f>
        <v>2</v>
      </c>
      <c r="HL3" s="68">
        <f>'P1'!O$29</f>
        <v>2</v>
      </c>
      <c r="HM3" s="68">
        <f>'P1'!P$29</f>
        <v>2</v>
      </c>
      <c r="HN3" s="68">
        <f>'P1'!Q$29</f>
        <v>5</v>
      </c>
      <c r="HO3" s="68">
        <f>'P1'!R$29</f>
        <v>5</v>
      </c>
      <c r="HP3" s="68">
        <f>'P1'!S$29</f>
        <v>5</v>
      </c>
      <c r="HQ3" s="68">
        <f>'P1'!T$29</f>
        <v>5</v>
      </c>
      <c r="HR3" s="68">
        <f>'P1'!U$29</f>
        <v>5</v>
      </c>
      <c r="HS3" s="68">
        <f>'P1'!V$29</f>
        <v>10</v>
      </c>
      <c r="HT3" s="68">
        <f>'P1'!W$29</f>
        <v>10</v>
      </c>
      <c r="HU3" s="68">
        <f>'P1'!X$29</f>
        <v>10</v>
      </c>
      <c r="HV3" s="68">
        <f>'P1'!Y$29</f>
        <v>10</v>
      </c>
      <c r="HW3" s="68">
        <f>'P1'!Z$29</f>
        <v>10</v>
      </c>
      <c r="HX3" s="68">
        <f>'P1'!AA$29</f>
        <v>15</v>
      </c>
      <c r="HY3" s="68">
        <f>'P1'!AB$29</f>
        <v>15</v>
      </c>
      <c r="HZ3" s="68">
        <f>'P1'!AC$29</f>
        <v>15</v>
      </c>
      <c r="IA3" s="68">
        <f>'P1'!AD$29</f>
        <v>15</v>
      </c>
      <c r="IB3" s="68">
        <f>'P1'!AE$29</f>
        <v>20</v>
      </c>
      <c r="IC3" s="68">
        <f>'P1'!AF$29</f>
        <v>20</v>
      </c>
      <c r="ID3" s="68">
        <f>'P1'!AG$29</f>
        <v>20</v>
      </c>
      <c r="IE3" s="68">
        <f>'P1'!AH$29</f>
        <v>20</v>
      </c>
      <c r="IF3" s="68">
        <f>'P1'!AI$29</f>
        <v>25</v>
      </c>
      <c r="IG3" s="68">
        <f>'P1'!AJ$29</f>
        <v>25</v>
      </c>
      <c r="IH3" s="68">
        <f>'P1'!AK$29</f>
        <v>25</v>
      </c>
      <c r="II3" s="68">
        <f>'P1'!AL$29</f>
        <v>25</v>
      </c>
      <c r="IJ3" s="68">
        <f>'P1'!AM$29</f>
        <v>25</v>
      </c>
      <c r="IK3" s="68">
        <f>'P1'!AN$29</f>
        <v>25</v>
      </c>
      <c r="IL3" s="68">
        <f>'P1'!AO$29</f>
        <v>25</v>
      </c>
      <c r="IM3" s="68">
        <f>'P1'!AP$29</f>
        <v>25</v>
      </c>
      <c r="IN3" s="68">
        <f>'P1'!AQ$29</f>
        <v>25</v>
      </c>
      <c r="IO3" s="68">
        <f>'P1'!AR$29</f>
        <v>25</v>
      </c>
      <c r="IP3" s="68">
        <f>'P1'!AS$29</f>
        <v>25</v>
      </c>
      <c r="IQ3" s="68">
        <f>'P1'!AT$29</f>
        <v>25</v>
      </c>
      <c r="IR3" s="68">
        <f>'P1'!AU$29</f>
        <v>25</v>
      </c>
      <c r="IS3" s="68">
        <f>'P1'!AV$29</f>
        <v>25</v>
      </c>
      <c r="IT3" s="68">
        <f>'P1'!AW$29</f>
        <v>25</v>
      </c>
      <c r="IU3" s="68">
        <f>'P1'!AX$29</f>
        <v>25</v>
      </c>
      <c r="IV3" s="68">
        <f>'P1'!AY$29</f>
        <v>25</v>
      </c>
      <c r="IW3" s="68">
        <f>'P1'!AZ$29</f>
        <v>25</v>
      </c>
      <c r="IX3" s="68">
        <f>'P1'!BA$29</f>
        <v>25</v>
      </c>
      <c r="IY3" s="68">
        <f>'P1'!BB$29</f>
        <v>25</v>
      </c>
      <c r="IZ3" s="68">
        <f>'P1'!BC$29</f>
        <v>25</v>
      </c>
      <c r="JA3" s="68">
        <f>'P1'!BD$29</f>
        <v>25</v>
      </c>
      <c r="JB3" s="68">
        <f>'P1'!BE$29</f>
        <v>25</v>
      </c>
      <c r="JC3" s="68">
        <f>'P1'!F$30</f>
        <v>2</v>
      </c>
      <c r="JD3" s="68">
        <f>'P1'!G$30</f>
        <v>2</v>
      </c>
      <c r="JE3" s="68">
        <f>'P1'!H$30</f>
        <v>2</v>
      </c>
      <c r="JF3" s="68">
        <f>'P1'!I$30</f>
        <v>0</v>
      </c>
      <c r="JG3" s="68">
        <f>'P1'!J$30</f>
        <v>0</v>
      </c>
      <c r="JH3" s="68">
        <f>'P1'!K$30</f>
        <v>0</v>
      </c>
      <c r="JI3" s="68">
        <f>'P1'!L$30</f>
        <v>0</v>
      </c>
      <c r="JJ3" s="68">
        <f>'P1'!M$30</f>
        <v>1</v>
      </c>
      <c r="JK3" s="68">
        <f>'P1'!N$30</f>
        <v>1</v>
      </c>
      <c r="JL3" s="68">
        <f>'P1'!O$30</f>
        <v>0</v>
      </c>
      <c r="JM3" s="68">
        <f>'P1'!P$30</f>
        <v>0</v>
      </c>
      <c r="JN3" s="68">
        <f>'P1'!Q$30</f>
        <v>0</v>
      </c>
      <c r="JO3" s="68">
        <f>'P1'!R$30</f>
        <v>0</v>
      </c>
      <c r="JP3" s="68">
        <f>'P1'!S$30</f>
        <v>0</v>
      </c>
      <c r="JQ3" s="68">
        <f>'P1'!T$30</f>
        <v>0</v>
      </c>
      <c r="JR3" s="68">
        <f>'P1'!U$30</f>
        <v>0</v>
      </c>
      <c r="JS3" s="68">
        <f>'P1'!V$30</f>
        <v>0</v>
      </c>
      <c r="JT3" s="68">
        <f>'P1'!W$30</f>
        <v>0</v>
      </c>
      <c r="JU3" s="68">
        <f>'P1'!X$30</f>
        <v>0</v>
      </c>
      <c r="JV3" s="68">
        <f>'P1'!Y$30</f>
        <v>0</v>
      </c>
      <c r="JW3" s="68">
        <f>'P1'!Z$30</f>
        <v>0</v>
      </c>
      <c r="JX3" s="68">
        <f>'P1'!AA$30</f>
        <v>0</v>
      </c>
      <c r="JY3" s="68">
        <f>'P1'!AB$30</f>
        <v>0</v>
      </c>
      <c r="JZ3" s="68">
        <f>'P1'!AC$30</f>
        <v>0</v>
      </c>
      <c r="KA3" s="68">
        <f>'P1'!AD$30</f>
        <v>0</v>
      </c>
      <c r="KB3" s="68">
        <f>'P1'!AE$30</f>
        <v>0</v>
      </c>
      <c r="KC3" s="68">
        <f>'P1'!AF$30</f>
        <v>0</v>
      </c>
      <c r="KD3" s="68">
        <f>'P1'!AG$30</f>
        <v>0</v>
      </c>
      <c r="KE3" s="68">
        <f>'P1'!AH$30</f>
        <v>0</v>
      </c>
      <c r="KF3" s="68">
        <f>'P1'!AI$30</f>
        <v>0</v>
      </c>
      <c r="KG3" s="68">
        <f>'P1'!AJ$30</f>
        <v>0</v>
      </c>
      <c r="KH3" s="68">
        <f>'P1'!AK$30</f>
        <v>0</v>
      </c>
      <c r="KI3" s="68">
        <f>'P1'!AL$30</f>
        <v>0</v>
      </c>
      <c r="KJ3" s="68">
        <f>'P1'!AM$30</f>
        <v>0</v>
      </c>
      <c r="KK3" s="68">
        <f>'P1'!AN$30</f>
        <v>0</v>
      </c>
      <c r="KL3" s="68">
        <f>'P1'!AO$30</f>
        <v>0</v>
      </c>
      <c r="KM3" s="68">
        <f>'P1'!AP$30</f>
        <v>0</v>
      </c>
      <c r="KN3" s="68">
        <f>'P1'!AQ$30</f>
        <v>0</v>
      </c>
      <c r="KO3" s="68">
        <f>'P1'!AR$30</f>
        <v>0</v>
      </c>
      <c r="KP3" s="68">
        <f>'P1'!AS$30</f>
        <v>0</v>
      </c>
      <c r="KQ3" s="68">
        <f>'P1'!AT$30</f>
        <v>0</v>
      </c>
      <c r="KR3" s="68">
        <f>'P1'!AU$30</f>
        <v>0</v>
      </c>
      <c r="KS3" s="68">
        <f>'P1'!AV$30</f>
        <v>0</v>
      </c>
      <c r="KT3" s="68">
        <f>'P1'!AW$30</f>
        <v>0</v>
      </c>
      <c r="KU3" s="68">
        <f>'P1'!AX$30</f>
        <v>0</v>
      </c>
      <c r="KV3" s="68">
        <f>'P1'!AY$30</f>
        <v>0</v>
      </c>
      <c r="KW3" s="68">
        <f>'P1'!AZ$30</f>
        <v>0</v>
      </c>
      <c r="KX3" s="68">
        <f>'P1'!BA$30</f>
        <v>0</v>
      </c>
      <c r="KY3" s="68">
        <f>'P1'!BB$30</f>
        <v>0</v>
      </c>
      <c r="KZ3" s="68">
        <f>'P1'!BC$30</f>
        <v>0</v>
      </c>
      <c r="LA3" s="68">
        <f>'P1'!BD$30</f>
        <v>0</v>
      </c>
      <c r="LB3" s="68">
        <f>'P1'!BE$30</f>
        <v>0</v>
      </c>
      <c r="LC3" s="68">
        <f>'P1'!F$31</f>
        <v>1</v>
      </c>
      <c r="LD3" s="68">
        <f>'P1'!G$31</f>
        <v>0</v>
      </c>
      <c r="LE3" s="68">
        <f>'P1'!H$31</f>
        <v>-1</v>
      </c>
      <c r="LF3" s="68">
        <f>'P1'!I$31</f>
        <v>0</v>
      </c>
      <c r="LG3" s="68">
        <f>'P1'!J$31</f>
        <v>0</v>
      </c>
      <c r="LH3" s="68">
        <f>'P1'!K$31</f>
        <v>0</v>
      </c>
      <c r="LI3" s="68">
        <f>'P1'!L$31</f>
        <v>-2</v>
      </c>
      <c r="LJ3" s="68">
        <f>'P1'!M$31</f>
        <v>-1</v>
      </c>
      <c r="LK3" s="68">
        <f>'P1'!N$31</f>
        <v>-1</v>
      </c>
      <c r="LL3" s="68">
        <f>'P1'!O$31</f>
        <v>-2</v>
      </c>
      <c r="LM3" s="68">
        <f>'P1'!P$31</f>
        <v>-2</v>
      </c>
      <c r="LN3" s="68">
        <f>'P1'!Q$31</f>
        <v>-5</v>
      </c>
      <c r="LO3" s="68">
        <f>'P1'!R$31</f>
        <v>-5</v>
      </c>
      <c r="LP3" s="68">
        <f>'P1'!S$31</f>
        <v>-5</v>
      </c>
      <c r="LQ3" s="68">
        <f>'P1'!T$31</f>
        <v>-5</v>
      </c>
      <c r="LR3" s="68">
        <f>'P1'!U$31</f>
        <v>-5</v>
      </c>
      <c r="LS3" s="68">
        <f>'P1'!V$31</f>
        <v>-10</v>
      </c>
      <c r="LT3" s="68">
        <f>'P1'!W$31</f>
        <v>-10</v>
      </c>
      <c r="LU3" s="68">
        <f>'P1'!X$31</f>
        <v>-10</v>
      </c>
      <c r="LV3" s="68">
        <f>'P1'!Y$31</f>
        <v>-10</v>
      </c>
      <c r="LW3" s="68">
        <f>'P1'!Z$31</f>
        <v>-10</v>
      </c>
      <c r="LX3" s="68">
        <f>'P1'!AA$31</f>
        <v>-15</v>
      </c>
      <c r="LY3" s="68">
        <f>'P1'!AB$31</f>
        <v>-15</v>
      </c>
      <c r="LZ3" s="68">
        <f>'P1'!AC$31</f>
        <v>-15</v>
      </c>
      <c r="MA3" s="68">
        <f>'P1'!AD$31</f>
        <v>-15</v>
      </c>
      <c r="MB3" s="68">
        <f>'P1'!AE$31</f>
        <v>-20</v>
      </c>
      <c r="MC3" s="68">
        <f>'P1'!AF$31</f>
        <v>-20</v>
      </c>
      <c r="MD3" s="68">
        <f>'P1'!AG$31</f>
        <v>-20</v>
      </c>
      <c r="ME3" s="68">
        <f>'P1'!AH$31</f>
        <v>-20</v>
      </c>
      <c r="MF3" s="68">
        <f>'P1'!AI$31</f>
        <v>-25</v>
      </c>
      <c r="MG3" s="68">
        <f>'P1'!AJ$31</f>
        <v>-25</v>
      </c>
      <c r="MH3" s="68">
        <f>'P1'!AK$31</f>
        <v>-25</v>
      </c>
      <c r="MI3" s="68">
        <f>'P1'!AL$31</f>
        <v>-25</v>
      </c>
      <c r="MJ3" s="68">
        <f>'P1'!AM$31</f>
        <v>-25</v>
      </c>
      <c r="MK3" s="68">
        <f>'P1'!AN$31</f>
        <v>-25</v>
      </c>
      <c r="ML3" s="68">
        <f>'P1'!AO$31</f>
        <v>-25</v>
      </c>
      <c r="MM3" s="68">
        <f>'P1'!AP$31</f>
        <v>-25</v>
      </c>
      <c r="MN3" s="68">
        <f>'P1'!AQ$31</f>
        <v>-25</v>
      </c>
      <c r="MO3" s="68">
        <f>'P1'!AR$31</f>
        <v>-25</v>
      </c>
      <c r="MP3" s="68">
        <f>'P1'!AS$31</f>
        <v>-25</v>
      </c>
      <c r="MQ3" s="68">
        <f>'P1'!AT$31</f>
        <v>-25</v>
      </c>
      <c r="MR3" s="68">
        <f>'P1'!AU$31</f>
        <v>-25</v>
      </c>
      <c r="MS3" s="68">
        <f>'P1'!AV$31</f>
        <v>-25</v>
      </c>
      <c r="MT3" s="68">
        <f>'P1'!AW$31</f>
        <v>-25</v>
      </c>
      <c r="MU3" s="68">
        <f>'P1'!AX$31</f>
        <v>-25</v>
      </c>
      <c r="MV3" s="68">
        <f>'P1'!AY$31</f>
        <v>-25</v>
      </c>
      <c r="MW3" s="68">
        <f>'P1'!AZ$31</f>
        <v>-25</v>
      </c>
      <c r="MX3" s="68">
        <f>'P1'!BA$31</f>
        <v>-25</v>
      </c>
      <c r="MY3" s="68">
        <f>'P1'!BB$31</f>
        <v>-25</v>
      </c>
      <c r="MZ3" s="68">
        <f>'P1'!BC$31</f>
        <v>-25</v>
      </c>
      <c r="NA3" s="68">
        <f>'P1'!BD$31</f>
        <v>-25</v>
      </c>
      <c r="NB3" s="68">
        <f>'P1'!BE$31</f>
        <v>-25</v>
      </c>
      <c r="NC3" s="68">
        <f>'P1'!F$33</f>
        <v>0</v>
      </c>
      <c r="ND3" s="68">
        <f>'P1'!G$33</f>
        <v>0</v>
      </c>
      <c r="NE3" s="68">
        <f>'P1'!H$33</f>
        <v>0</v>
      </c>
      <c r="NF3" s="68">
        <f>'P1'!I$33</f>
        <v>0</v>
      </c>
      <c r="NG3" s="68">
        <f>'P1'!J$33</f>
        <v>0</v>
      </c>
      <c r="NH3" s="68">
        <f>'P1'!K$33</f>
        <v>0</v>
      </c>
      <c r="NI3" s="68">
        <f>'P1'!L$33</f>
        <v>0</v>
      </c>
      <c r="NJ3" s="68">
        <f>'P1'!M$33</f>
        <v>0</v>
      </c>
      <c r="NK3" s="68">
        <f>'P1'!N$33</f>
        <v>0</v>
      </c>
      <c r="NL3" s="68">
        <f>'P1'!O$33</f>
        <v>0</v>
      </c>
      <c r="NM3" s="68">
        <f>'P1'!P$33</f>
        <v>50</v>
      </c>
      <c r="NN3" s="68">
        <f>'P1'!Q$33</f>
        <v>50</v>
      </c>
      <c r="NO3" s="68">
        <f>'P1'!R$33</f>
        <v>50</v>
      </c>
      <c r="NP3" s="68">
        <f>'P1'!S$33</f>
        <v>50</v>
      </c>
      <c r="NQ3" s="68">
        <f>'P1'!T$33</f>
        <v>50</v>
      </c>
      <c r="NR3" s="68">
        <f>'P1'!U$33</f>
        <v>100</v>
      </c>
      <c r="NS3" s="68">
        <f>'P1'!V$33</f>
        <v>100</v>
      </c>
      <c r="NT3" s="68">
        <f>'P1'!W$33</f>
        <v>100</v>
      </c>
      <c r="NU3" s="68">
        <f>'P1'!X$33</f>
        <v>100</v>
      </c>
      <c r="NV3" s="68">
        <f>'P1'!Y$33</f>
        <v>100</v>
      </c>
      <c r="NW3" s="68">
        <f>'P1'!Z$33</f>
        <v>100</v>
      </c>
      <c r="NX3" s="68">
        <f>'P1'!AA$33</f>
        <v>100</v>
      </c>
      <c r="NY3" s="68">
        <f>'P1'!AB$33</f>
        <v>150</v>
      </c>
      <c r="NZ3" s="68">
        <f>'P1'!AC$33</f>
        <v>150</v>
      </c>
      <c r="OA3" s="68">
        <f>'P1'!AD$33</f>
        <v>150</v>
      </c>
      <c r="OB3" s="68">
        <f>'P1'!AE$33</f>
        <v>150</v>
      </c>
      <c r="OC3" s="68">
        <f>'P1'!AF$33</f>
        <v>150</v>
      </c>
      <c r="OD3" s="68">
        <f>'P1'!AG$33</f>
        <v>150</v>
      </c>
      <c r="OE3" s="68">
        <f>'P1'!AH$33</f>
        <v>150</v>
      </c>
      <c r="OF3" s="68">
        <f>'P1'!AI$33</f>
        <v>150</v>
      </c>
      <c r="OG3" s="68">
        <f>'P1'!AJ$33</f>
        <v>250</v>
      </c>
      <c r="OH3" s="68">
        <f>'P1'!AK$33</f>
        <v>250</v>
      </c>
      <c r="OI3" s="68">
        <f>'P1'!AL$33</f>
        <v>250</v>
      </c>
      <c r="OJ3" s="68">
        <f>'P1'!AM$33</f>
        <v>250</v>
      </c>
      <c r="OK3" s="68">
        <f>'P1'!AN$33</f>
        <v>250</v>
      </c>
      <c r="OL3" s="68">
        <f>'P1'!AO$33</f>
        <v>250</v>
      </c>
      <c r="OM3" s="68">
        <f>'P1'!AP$33</f>
        <v>250</v>
      </c>
      <c r="ON3" s="68">
        <f>'P1'!AQ$33</f>
        <v>250</v>
      </c>
      <c r="OO3" s="68">
        <f>'P1'!AR$33</f>
        <v>250</v>
      </c>
      <c r="OP3" s="68">
        <f>'P1'!AS$33</f>
        <v>250</v>
      </c>
      <c r="OQ3" s="68">
        <f>'P1'!AT$33</f>
        <v>250</v>
      </c>
      <c r="OR3" s="68">
        <f>'P1'!AU$33</f>
        <v>250</v>
      </c>
      <c r="OS3" s="68">
        <f>'P1'!AV$33</f>
        <v>250</v>
      </c>
      <c r="OT3" s="68">
        <f>'P1'!AW$33</f>
        <v>250</v>
      </c>
      <c r="OU3" s="68">
        <f>'P1'!AX$33</f>
        <v>250</v>
      </c>
      <c r="OV3" s="68">
        <f>'P1'!AY$33</f>
        <v>250</v>
      </c>
      <c r="OW3" s="68">
        <f>'P1'!AZ$33</f>
        <v>250</v>
      </c>
      <c r="OX3" s="68">
        <f>'P1'!BA$33</f>
        <v>250</v>
      </c>
      <c r="OY3" s="68">
        <f>'P1'!BB$33</f>
        <v>250</v>
      </c>
      <c r="OZ3" s="68">
        <f>'P1'!BC$33</f>
        <v>250</v>
      </c>
      <c r="PA3" s="68">
        <f>'P1'!BD$33</f>
        <v>250</v>
      </c>
      <c r="PB3" s="68">
        <f>'P1'!BE$33</f>
        <v>250</v>
      </c>
      <c r="PC3" s="68">
        <f>'P1'!F$34</f>
        <v>0</v>
      </c>
      <c r="PD3" s="68">
        <f>'P1'!G$34</f>
        <v>0</v>
      </c>
      <c r="PE3" s="68">
        <f>'P1'!H$34</f>
        <v>0</v>
      </c>
      <c r="PF3" s="68">
        <f>'P1'!I$34</f>
        <v>0</v>
      </c>
      <c r="PG3" s="68">
        <f>'P1'!J$34</f>
        <v>0</v>
      </c>
      <c r="PH3" s="68">
        <f>'P1'!K$34</f>
        <v>0</v>
      </c>
      <c r="PI3" s="68">
        <f>'P1'!L$34</f>
        <v>0</v>
      </c>
      <c r="PJ3" s="68">
        <f>'P1'!M$34</f>
        <v>0</v>
      </c>
      <c r="PK3" s="68">
        <f>'P1'!N$34</f>
        <v>0</v>
      </c>
      <c r="PL3" s="68">
        <f>'P1'!O$34</f>
        <v>0</v>
      </c>
      <c r="PM3" s="68">
        <f>'P1'!P$34</f>
        <v>0</v>
      </c>
      <c r="PN3" s="68">
        <f>'P1'!Q$34</f>
        <v>0</v>
      </c>
      <c r="PO3" s="68">
        <f>'P1'!R$34</f>
        <v>0</v>
      </c>
      <c r="PP3" s="68">
        <f>'P1'!S$34</f>
        <v>0</v>
      </c>
      <c r="PQ3" s="68">
        <f>'P1'!T$34</f>
        <v>0</v>
      </c>
      <c r="PR3" s="68">
        <f>'P1'!U$34</f>
        <v>0</v>
      </c>
      <c r="PS3" s="68">
        <f>'P1'!V$34</f>
        <v>0</v>
      </c>
      <c r="PT3" s="68">
        <f>'P1'!W$34</f>
        <v>0</v>
      </c>
      <c r="PU3" s="68">
        <f>'P1'!X$34</f>
        <v>0</v>
      </c>
      <c r="PV3" s="68">
        <f>'P1'!Y$34</f>
        <v>0</v>
      </c>
      <c r="PW3" s="68">
        <f>'P1'!Z$34</f>
        <v>0</v>
      </c>
      <c r="PX3" s="68">
        <f>'P1'!AA$34</f>
        <v>0</v>
      </c>
      <c r="PY3" s="68">
        <f>'P1'!AB$34</f>
        <v>0</v>
      </c>
      <c r="PZ3" s="68">
        <f>'P1'!AC$34</f>
        <v>0</v>
      </c>
      <c r="QA3" s="68">
        <f>'P1'!AD$34</f>
        <v>0</v>
      </c>
      <c r="QB3" s="68">
        <f>'P1'!AE$34</f>
        <v>0</v>
      </c>
      <c r="QC3" s="68">
        <f>'P1'!AF$34</f>
        <v>0</v>
      </c>
      <c r="QD3" s="68">
        <f>'P1'!AG$34</f>
        <v>0</v>
      </c>
      <c r="QE3" s="68">
        <f>'P1'!AH$34</f>
        <v>0</v>
      </c>
      <c r="QF3" s="68">
        <f>'P1'!AI$34</f>
        <v>0</v>
      </c>
      <c r="QG3" s="68">
        <f>'P1'!AJ$34</f>
        <v>0</v>
      </c>
      <c r="QH3" s="68">
        <f>'P1'!AK$34</f>
        <v>0</v>
      </c>
      <c r="QI3" s="68">
        <f>'P1'!AL$34</f>
        <v>0</v>
      </c>
      <c r="QJ3" s="68">
        <f>'P1'!AM$34</f>
        <v>0</v>
      </c>
      <c r="QK3" s="68">
        <f>'P1'!AN$34</f>
        <v>0</v>
      </c>
      <c r="QL3" s="68">
        <f>'P1'!AO$34</f>
        <v>0</v>
      </c>
      <c r="QM3" s="68">
        <f>'P1'!AP$34</f>
        <v>0</v>
      </c>
      <c r="QN3" s="68">
        <f>'P1'!AQ$34</f>
        <v>0</v>
      </c>
      <c r="QO3" s="68">
        <f>'P1'!AR$34</f>
        <v>0</v>
      </c>
      <c r="QP3" s="68">
        <f>'P1'!AS$34</f>
        <v>0</v>
      </c>
      <c r="QQ3" s="68">
        <f>'P1'!AT$34</f>
        <v>0</v>
      </c>
      <c r="QR3" s="68">
        <f>'P1'!AU$34</f>
        <v>0</v>
      </c>
      <c r="QS3" s="68">
        <f>'P1'!AV$34</f>
        <v>0</v>
      </c>
      <c r="QT3" s="68">
        <f>'P1'!AW$34</f>
        <v>0</v>
      </c>
      <c r="QU3" s="68">
        <f>'P1'!AX$34</f>
        <v>0</v>
      </c>
      <c r="QV3" s="68">
        <f>'P1'!AY$34</f>
        <v>0</v>
      </c>
      <c r="QW3" s="68">
        <f>'P1'!AZ$34</f>
        <v>0</v>
      </c>
      <c r="QX3" s="68">
        <f>'P1'!BA$34</f>
        <v>0</v>
      </c>
      <c r="QY3" s="68">
        <f>'P1'!BB$34</f>
        <v>0</v>
      </c>
      <c r="QZ3" s="68">
        <f>'P1'!BC$34</f>
        <v>0</v>
      </c>
      <c r="RA3" s="68">
        <f>'P1'!BD$34</f>
        <v>0</v>
      </c>
      <c r="RB3" s="68">
        <f>'P1'!BE$34</f>
        <v>0</v>
      </c>
      <c r="RC3" s="68">
        <f>'P1'!F$35</f>
        <v>0</v>
      </c>
      <c r="RD3" s="68">
        <f>'P1'!G$35</f>
        <v>0</v>
      </c>
      <c r="RE3" s="68">
        <f>'P1'!H$35</f>
        <v>0</v>
      </c>
      <c r="RF3" s="68">
        <f>'P1'!I$35</f>
        <v>0</v>
      </c>
      <c r="RG3" s="68">
        <f>'P1'!J$35</f>
        <v>0</v>
      </c>
      <c r="RH3" s="68">
        <f>'P1'!K$35</f>
        <v>0</v>
      </c>
      <c r="RI3" s="68">
        <f>'P1'!L$35</f>
        <v>0</v>
      </c>
      <c r="RJ3" s="68">
        <f>'P1'!M$35</f>
        <v>0</v>
      </c>
      <c r="RK3" s="68">
        <f>'P1'!N$35</f>
        <v>0</v>
      </c>
      <c r="RL3" s="68">
        <f>'P1'!O$35</f>
        <v>0</v>
      </c>
      <c r="RM3" s="68">
        <f>'P1'!P$35</f>
        <v>-50</v>
      </c>
      <c r="RN3" s="68">
        <f>'P1'!Q$35</f>
        <v>-50</v>
      </c>
      <c r="RO3" s="68">
        <f>'P1'!R$35</f>
        <v>-50</v>
      </c>
      <c r="RP3" s="68">
        <f>'P1'!S$35</f>
        <v>-50</v>
      </c>
      <c r="RQ3" s="68">
        <f>'P1'!T$35</f>
        <v>-50</v>
      </c>
      <c r="RR3" s="68">
        <f>'P1'!U$35</f>
        <v>-100</v>
      </c>
      <c r="RS3" s="68">
        <f>'P1'!V$35</f>
        <v>-100</v>
      </c>
      <c r="RT3" s="68">
        <f>'P1'!W$35</f>
        <v>-100</v>
      </c>
      <c r="RU3" s="68">
        <f>'P1'!X$35</f>
        <v>-100</v>
      </c>
      <c r="RV3" s="68">
        <f>'P1'!Y$35</f>
        <v>-100</v>
      </c>
      <c r="RW3" s="68">
        <f>'P1'!Z$35</f>
        <v>-100</v>
      </c>
      <c r="RX3" s="68">
        <f>'P1'!AA$35</f>
        <v>-100</v>
      </c>
      <c r="RY3" s="68">
        <f>'P1'!AB$35</f>
        <v>-150</v>
      </c>
      <c r="RZ3" s="68">
        <f>'P1'!AC$35</f>
        <v>-150</v>
      </c>
      <c r="SA3" s="68">
        <f>'P1'!AD$35</f>
        <v>-150</v>
      </c>
      <c r="SB3" s="68">
        <f>'P1'!AE$35</f>
        <v>-150</v>
      </c>
      <c r="SC3" s="68">
        <f>'P1'!AF$35</f>
        <v>-150</v>
      </c>
      <c r="SD3" s="68">
        <f>'P1'!AG$35</f>
        <v>-150</v>
      </c>
      <c r="SE3" s="68">
        <f>'P1'!AH$35</f>
        <v>-150</v>
      </c>
      <c r="SF3" s="68">
        <f>'P1'!AI$35</f>
        <v>-150</v>
      </c>
      <c r="SG3" s="68">
        <f>'P1'!AJ$35</f>
        <v>-250</v>
      </c>
      <c r="SH3" s="68">
        <f>'P1'!AK$35</f>
        <v>-250</v>
      </c>
      <c r="SI3" s="68">
        <f>'P1'!AL$35</f>
        <v>-250</v>
      </c>
      <c r="SJ3" s="68">
        <f>'P1'!AM$35</f>
        <v>-250</v>
      </c>
      <c r="SK3" s="68">
        <f>'P1'!AN$35</f>
        <v>-250</v>
      </c>
      <c r="SL3" s="68">
        <f>'P1'!AO$35</f>
        <v>-250</v>
      </c>
      <c r="SM3" s="68">
        <f>'P1'!AP$35</f>
        <v>-250</v>
      </c>
      <c r="SN3" s="68">
        <f>'P1'!AQ$35</f>
        <v>-250</v>
      </c>
      <c r="SO3" s="68">
        <f>'P1'!AR$35</f>
        <v>-250</v>
      </c>
      <c r="SP3" s="68">
        <f>'P1'!AS$35</f>
        <v>-250</v>
      </c>
      <c r="SQ3" s="68">
        <f>'P1'!AT$35</f>
        <v>-250</v>
      </c>
      <c r="SR3" s="68">
        <f>'P1'!AU$35</f>
        <v>-250</v>
      </c>
      <c r="SS3" s="68">
        <f>'P1'!AV$35</f>
        <v>-250</v>
      </c>
      <c r="ST3" s="68">
        <f>'P1'!AW$35</f>
        <v>-250</v>
      </c>
      <c r="SU3" s="68">
        <f>'P1'!AX$35</f>
        <v>-250</v>
      </c>
      <c r="SV3" s="68">
        <f>'P1'!AY$35</f>
        <v>-250</v>
      </c>
      <c r="SW3" s="68">
        <f>'P1'!AZ$35</f>
        <v>-250</v>
      </c>
      <c r="SX3" s="68">
        <f>'P1'!BA$35</f>
        <v>-250</v>
      </c>
      <c r="SY3" s="68">
        <f>'P1'!BB$35</f>
        <v>-250</v>
      </c>
      <c r="SZ3" s="68">
        <f>'P1'!BC$35</f>
        <v>-250</v>
      </c>
      <c r="TA3" s="68">
        <f>'P1'!BD$35</f>
        <v>-250</v>
      </c>
      <c r="TB3" s="68">
        <f>'P1'!BE$35</f>
        <v>-250</v>
      </c>
    </row>
    <row r="4" spans="2:522">
      <c r="B4" s="66">
        <v>1</v>
      </c>
      <c r="C4" s="66">
        <f>Sample!$F$3</f>
        <v>0</v>
      </c>
      <c r="D4" s="66">
        <f>Sample!$F$5</f>
        <v>0</v>
      </c>
      <c r="E4" s="66" t="str">
        <f>Sample!$F$7</f>
        <v>L1. Using external AI tools for basic internal productivity</v>
      </c>
      <c r="F4" s="66" t="str">
        <f>Sample!$F$8</f>
        <v>Simple Tool</v>
      </c>
      <c r="G4" s="66">
        <f>Sample!$B$13</f>
        <v>0</v>
      </c>
      <c r="H4" s="66">
        <f>Sample!$C$17</f>
        <v>0</v>
      </c>
      <c r="I4" s="66">
        <f>Sample!$C$18</f>
        <v>0</v>
      </c>
      <c r="J4" s="66">
        <f>Sample!$C$19</f>
        <v>0</v>
      </c>
      <c r="K4" s="66">
        <f>Sample!$C$20</f>
        <v>0</v>
      </c>
      <c r="L4" s="66">
        <f>Sample!$C$21</f>
        <v>0</v>
      </c>
      <c r="M4" s="66" t="str">
        <f>Sample!$F$12</f>
        <v>Adoption Rate</v>
      </c>
      <c r="N4" s="66" t="str">
        <f>Sample!$G$13</f>
        <v>Employee Productivity Gains</v>
      </c>
      <c r="O4" s="66">
        <f>Sample!$F$15</f>
        <v>0</v>
      </c>
      <c r="P4" s="66">
        <f>Sample!$F$19</f>
        <v>0</v>
      </c>
      <c r="Q4" s="66" t="str">
        <f>Sample!$O$12</f>
        <v>Productivity Gains</v>
      </c>
      <c r="R4" s="66" t="str">
        <f>Sample!$P$13</f>
        <v>Select the primary KPI (Jonas Library)</v>
      </c>
      <c r="S4" s="66">
        <f>Sample!$O$15</f>
        <v>0</v>
      </c>
      <c r="T4" s="66">
        <f>Sample!$O$19</f>
        <v>0</v>
      </c>
      <c r="U4" s="66" t="str">
        <f>Sample!$X$12</f>
        <v>Cost Savings</v>
      </c>
      <c r="V4" s="66" t="str">
        <f>Sample!$Y$13</f>
        <v>Select the primary KPI (Jonas Library)</v>
      </c>
      <c r="W4" s="66">
        <f>Sample!$X$15</f>
        <v>0</v>
      </c>
      <c r="X4" s="66">
        <f>Sample!$X$19</f>
        <v>0</v>
      </c>
      <c r="Y4" s="66">
        <f>Sample!$AV$3</f>
        <v>10</v>
      </c>
      <c r="Z4" s="66" t="str">
        <f ca="1">Sample!$AO$4</f>
        <v>Not Def</v>
      </c>
      <c r="AA4" s="66">
        <f ca="1">Sample!$AV$4</f>
        <v>0</v>
      </c>
      <c r="AB4" s="66" t="str">
        <f ca="1">Sample!$AO$5</f>
        <v>Not Def</v>
      </c>
      <c r="AC4" s="66">
        <f ca="1">Sample!$AV$5</f>
        <v>0</v>
      </c>
      <c r="AD4" s="66">
        <f ca="1">Sample!$AV$6</f>
        <v>0</v>
      </c>
      <c r="AE4" s="67" t="str">
        <f>IF(Sample!$AV$10="","",Sample!$AV$10)</f>
        <v/>
      </c>
      <c r="AF4" s="67" t="str">
        <f>IF(Sample!$AV$11="","",Sample!$AV$11)</f>
        <v/>
      </c>
      <c r="AG4" s="67" t="str">
        <f>IF(Sample!$AV$12="","",Sample!$AV$12)</f>
        <v/>
      </c>
      <c r="AH4" s="67" t="str">
        <f>IF(Sample!$AV$13="","",Sample!$AV$13)</f>
        <v/>
      </c>
      <c r="AI4" s="67" t="str">
        <f>IF(Sample!$AV$14="","",Sample!$AV$14)</f>
        <v/>
      </c>
      <c r="AJ4" s="67" t="str">
        <f>IF(Sample!$AV$15="","",Sample!$AV$15)</f>
        <v/>
      </c>
      <c r="AK4" s="67" t="str">
        <f>IF(Sample!$AV$16="","",Sample!$AV$16)</f>
        <v/>
      </c>
      <c r="AL4" s="67" t="str">
        <f>IF(Sample!$AV$17="","",Sample!$AV$17)</f>
        <v/>
      </c>
      <c r="AM4" s="67" t="str">
        <f>IF(Sample!$AV$18="","",Sample!AV$18)</f>
        <v/>
      </c>
      <c r="AN4" s="67" t="str">
        <f>IF(Sample!$AV$19="","",Sample!$AV$19)</f>
        <v/>
      </c>
      <c r="AO4" s="67" t="str">
        <f>IF(Sample!$AV$20="","",Sample!$AV$20)</f>
        <v/>
      </c>
      <c r="AP4" s="67" t="str">
        <f>IF(Sample!$AV$21="","",Sample!$AV$21)</f>
        <v/>
      </c>
      <c r="AQ4" s="67" t="str">
        <f>IF(Sample!$AY$10="","",Sample!$AY$10)</f>
        <v/>
      </c>
      <c r="AR4" s="67" t="str">
        <f>IF(Sample!$AY$11="","",Sample!$AY$11)</f>
        <v/>
      </c>
      <c r="AS4" s="67" t="str">
        <f>IF(Sample!$AY$12="","",Sample!$AY$12)</f>
        <v/>
      </c>
      <c r="AT4" s="67" t="str">
        <f>IF(Sample!$AY$13="","",Sample!$AY$13)</f>
        <v/>
      </c>
      <c r="AU4" s="67" t="str">
        <f>IF(Sample!$AY$14="","",Sample!$AY$14)</f>
        <v/>
      </c>
      <c r="AV4" s="67" t="str">
        <f>IF(Sample!$AY$15="","",Sample!$AY$15)</f>
        <v/>
      </c>
      <c r="AW4" s="67" t="str">
        <f>IF(Sample!$AY$16="","",Sample!$AY$16)</f>
        <v/>
      </c>
      <c r="AX4" s="67" t="str">
        <f>IF(Sample!$AY$17="","",Sample!$AY$17)</f>
        <v/>
      </c>
      <c r="AY4" s="67" t="str">
        <f>IF(Sample!$AY$18="","",Sample!$AY$18)</f>
        <v/>
      </c>
      <c r="AZ4" s="67" t="str">
        <f>IF(Sample!$AY$19="","",Sample!$AY$19)</f>
        <v/>
      </c>
      <c r="BA4" s="67" t="str">
        <f>IF(Sample!$AY$20="","",Sample!$AY$20)</f>
        <v/>
      </c>
      <c r="BB4" s="67" t="str">
        <f>IF(Sample!$AY$21="","",Sample!$AY$21)</f>
        <v/>
      </c>
      <c r="BC4" s="66">
        <f>Sample!F$25</f>
        <v>0</v>
      </c>
      <c r="BD4" s="66">
        <f>Sample!G$25</f>
        <v>0</v>
      </c>
      <c r="BE4" s="66">
        <f>Sample!H$25</f>
        <v>0</v>
      </c>
      <c r="BF4" s="66">
        <f>Sample!I$25</f>
        <v>0</v>
      </c>
      <c r="BG4" s="66">
        <f>Sample!J$25</f>
        <v>0</v>
      </c>
      <c r="BH4" s="66">
        <f>Sample!K$25</f>
        <v>0</v>
      </c>
      <c r="BI4" s="66">
        <f>Sample!L$25</f>
        <v>0</v>
      </c>
      <c r="BJ4" s="66">
        <f>Sample!M$25</f>
        <v>0</v>
      </c>
      <c r="BK4" s="66">
        <f>Sample!N$25</f>
        <v>0</v>
      </c>
      <c r="BL4" s="66">
        <f>Sample!O$25</f>
        <v>0</v>
      </c>
      <c r="BM4" s="66">
        <f>Sample!P$25</f>
        <v>0</v>
      </c>
      <c r="BN4" s="66">
        <f>Sample!Q$25</f>
        <v>0</v>
      </c>
      <c r="BO4" s="66">
        <f>Sample!R$25</f>
        <v>0</v>
      </c>
      <c r="BP4" s="66">
        <f>Sample!S$25</f>
        <v>0</v>
      </c>
      <c r="BQ4" s="66">
        <f>Sample!T$25</f>
        <v>0</v>
      </c>
      <c r="BR4" s="66">
        <f>Sample!U$25</f>
        <v>0</v>
      </c>
      <c r="BS4" s="66">
        <f>Sample!V$25</f>
        <v>0</v>
      </c>
      <c r="BT4" s="66">
        <f>Sample!W$25</f>
        <v>0</v>
      </c>
      <c r="BU4" s="66">
        <f>Sample!X$25</f>
        <v>0</v>
      </c>
      <c r="BV4" s="66">
        <f>Sample!Y$25</f>
        <v>0</v>
      </c>
      <c r="BW4" s="66">
        <f>Sample!Z$25</f>
        <v>0</v>
      </c>
      <c r="BX4" s="66">
        <f>Sample!AA$25</f>
        <v>0</v>
      </c>
      <c r="BY4" s="66">
        <f>Sample!AB$25</f>
        <v>0</v>
      </c>
      <c r="BZ4" s="66">
        <f>Sample!AC$25</f>
        <v>0</v>
      </c>
      <c r="CA4" s="66">
        <f>Sample!AD$25</f>
        <v>0</v>
      </c>
      <c r="CB4" s="66">
        <f>Sample!AE$25</f>
        <v>0</v>
      </c>
      <c r="CC4" s="66">
        <f>Sample!AF$25</f>
        <v>0</v>
      </c>
      <c r="CD4" s="66">
        <f>Sample!AG$25</f>
        <v>0</v>
      </c>
      <c r="CE4" s="66">
        <f>Sample!AH$25</f>
        <v>0</v>
      </c>
      <c r="CF4" s="66">
        <f>Sample!AI$25</f>
        <v>0</v>
      </c>
      <c r="CG4" s="66">
        <f>Sample!AJ$25</f>
        <v>0</v>
      </c>
      <c r="CH4" s="66">
        <f>Sample!AK$25</f>
        <v>0</v>
      </c>
      <c r="CI4" s="66">
        <f>Sample!AL$25</f>
        <v>0</v>
      </c>
      <c r="CJ4" s="66">
        <f>Sample!AM$25</f>
        <v>0</v>
      </c>
      <c r="CK4" s="66">
        <f>Sample!AN$25</f>
        <v>0</v>
      </c>
      <c r="CL4" s="66">
        <f>Sample!AO$25</f>
        <v>0</v>
      </c>
      <c r="CM4" s="66">
        <f>Sample!AP$25</f>
        <v>0</v>
      </c>
      <c r="CN4" s="66">
        <f>Sample!AQ$25</f>
        <v>0</v>
      </c>
      <c r="CO4" s="66">
        <f>Sample!AR$25</f>
        <v>0</v>
      </c>
      <c r="CP4" s="66">
        <f>Sample!AS$25</f>
        <v>0</v>
      </c>
      <c r="CQ4" s="66">
        <f>Sample!AT$25</f>
        <v>0</v>
      </c>
      <c r="CR4" s="66">
        <f>Sample!AU$25</f>
        <v>0</v>
      </c>
      <c r="CS4" s="66">
        <f>Sample!AV$25</f>
        <v>0</v>
      </c>
      <c r="CT4" s="66">
        <f>Sample!AW$25</f>
        <v>0</v>
      </c>
      <c r="CU4" s="66">
        <f>Sample!AX$25</f>
        <v>0</v>
      </c>
      <c r="CV4" s="66">
        <f>Sample!AY$25</f>
        <v>0</v>
      </c>
      <c r="CW4" s="66">
        <f>Sample!AZ$25</f>
        <v>0</v>
      </c>
      <c r="CX4" s="66">
        <f>Sample!BA$25</f>
        <v>0</v>
      </c>
      <c r="CY4" s="66">
        <f>Sample!BB$25</f>
        <v>0</v>
      </c>
      <c r="CZ4" s="66">
        <f>Sample!BC$25</f>
        <v>0</v>
      </c>
      <c r="DA4" s="66">
        <f>Sample!BD$25</f>
        <v>0</v>
      </c>
      <c r="DB4" s="66">
        <f>Sample!BE$25</f>
        <v>0</v>
      </c>
      <c r="DC4" s="66">
        <f>Sample!F$26</f>
        <v>0</v>
      </c>
      <c r="DD4" s="66">
        <f>Sample!G$26</f>
        <v>0</v>
      </c>
      <c r="DE4" s="66">
        <f>Sample!H$26</f>
        <v>0</v>
      </c>
      <c r="DF4" s="66">
        <f>Sample!I$26</f>
        <v>0</v>
      </c>
      <c r="DG4" s="66">
        <f>Sample!J$26</f>
        <v>0</v>
      </c>
      <c r="DH4" s="66">
        <f>Sample!K$26</f>
        <v>0</v>
      </c>
      <c r="DI4" s="66">
        <f>Sample!L$26</f>
        <v>0</v>
      </c>
      <c r="DJ4" s="66">
        <f>Sample!M$26</f>
        <v>0</v>
      </c>
      <c r="DK4" s="66">
        <f>Sample!N$26</f>
        <v>0</v>
      </c>
      <c r="DL4" s="66">
        <f>Sample!O$26</f>
        <v>0</v>
      </c>
      <c r="DM4" s="66">
        <f>Sample!P$26</f>
        <v>0</v>
      </c>
      <c r="DN4" s="66">
        <f>Sample!Q$26</f>
        <v>0</v>
      </c>
      <c r="DO4" s="66">
        <f>Sample!R$26</f>
        <v>0</v>
      </c>
      <c r="DP4" s="66">
        <f>Sample!S$26</f>
        <v>0</v>
      </c>
      <c r="DQ4" s="66">
        <f>Sample!T$26</f>
        <v>0</v>
      </c>
      <c r="DR4" s="66">
        <f>Sample!U$26</f>
        <v>0</v>
      </c>
      <c r="DS4" s="66">
        <f>Sample!V$26</f>
        <v>0</v>
      </c>
      <c r="DT4" s="66">
        <f>Sample!W$26</f>
        <v>0</v>
      </c>
      <c r="DU4" s="66">
        <f>Sample!X$26</f>
        <v>0</v>
      </c>
      <c r="DV4" s="66">
        <f>Sample!Y$26</f>
        <v>0</v>
      </c>
      <c r="DW4" s="66">
        <f>Sample!Z$26</f>
        <v>0</v>
      </c>
      <c r="DX4" s="66">
        <f>Sample!AA$26</f>
        <v>0</v>
      </c>
      <c r="DY4" s="66">
        <f>Sample!AB$26</f>
        <v>0</v>
      </c>
      <c r="DZ4" s="66">
        <f>Sample!AC$26</f>
        <v>0</v>
      </c>
      <c r="EA4" s="66">
        <f>Sample!AD$26</f>
        <v>0</v>
      </c>
      <c r="EB4" s="66">
        <f>Sample!AE$26</f>
        <v>0</v>
      </c>
      <c r="EC4" s="66">
        <f>Sample!AF$26</f>
        <v>0</v>
      </c>
      <c r="ED4" s="66">
        <f>Sample!AG$26</f>
        <v>0</v>
      </c>
      <c r="EE4" s="66">
        <f>Sample!AH$26</f>
        <v>0</v>
      </c>
      <c r="EF4" s="66">
        <f>Sample!AI$26</f>
        <v>0</v>
      </c>
      <c r="EG4" s="66">
        <f>Sample!AJ$26</f>
        <v>0</v>
      </c>
      <c r="EH4" s="66">
        <f>Sample!AK$26</f>
        <v>0</v>
      </c>
      <c r="EI4" s="66">
        <f>Sample!AL$26</f>
        <v>0</v>
      </c>
      <c r="EJ4" s="66">
        <f>Sample!AM$26</f>
        <v>0</v>
      </c>
      <c r="EK4" s="66">
        <f>Sample!AN$26</f>
        <v>0</v>
      </c>
      <c r="EL4" s="66">
        <f>Sample!AO$26</f>
        <v>0</v>
      </c>
      <c r="EM4" s="66">
        <f>Sample!AP$26</f>
        <v>0</v>
      </c>
      <c r="EN4" s="66">
        <f>Sample!AQ$26</f>
        <v>0</v>
      </c>
      <c r="EO4" s="66">
        <f>Sample!AR$26</f>
        <v>0</v>
      </c>
      <c r="EP4" s="66">
        <f>Sample!AS$26</f>
        <v>0</v>
      </c>
      <c r="EQ4" s="66">
        <f>Sample!AT$26</f>
        <v>0</v>
      </c>
      <c r="ER4" s="66">
        <f>Sample!AU$26</f>
        <v>0</v>
      </c>
      <c r="ES4" s="66">
        <f>Sample!AV$26</f>
        <v>0</v>
      </c>
      <c r="ET4" s="66">
        <f>Sample!AW$26</f>
        <v>0</v>
      </c>
      <c r="EU4" s="66">
        <f>Sample!AX$26</f>
        <v>0</v>
      </c>
      <c r="EV4" s="66">
        <f>Sample!AY$26</f>
        <v>0</v>
      </c>
      <c r="EW4" s="66">
        <f>Sample!AZ$26</f>
        <v>0</v>
      </c>
      <c r="EX4" s="66">
        <f>Sample!BA$26</f>
        <v>0</v>
      </c>
      <c r="EY4" s="66">
        <f>Sample!BB$26</f>
        <v>0</v>
      </c>
      <c r="EZ4" s="66">
        <f>Sample!BC$26</f>
        <v>0</v>
      </c>
      <c r="FA4" s="66">
        <f>Sample!BD$26</f>
        <v>0</v>
      </c>
      <c r="FB4" s="66">
        <f>Sample!BE$26</f>
        <v>0</v>
      </c>
      <c r="FC4" s="66">
        <f>Sample!F$27</f>
        <v>0</v>
      </c>
      <c r="FD4" s="66">
        <f>Sample!G$27</f>
        <v>0</v>
      </c>
      <c r="FE4" s="66">
        <f>Sample!H$27</f>
        <v>0</v>
      </c>
      <c r="FF4" s="66">
        <f>Sample!I$27</f>
        <v>0</v>
      </c>
      <c r="FG4" s="66">
        <f>Sample!J$27</f>
        <v>0</v>
      </c>
      <c r="FH4" s="66">
        <f>Sample!K$27</f>
        <v>0</v>
      </c>
      <c r="FI4" s="66">
        <f>Sample!L$27</f>
        <v>0</v>
      </c>
      <c r="FJ4" s="66">
        <f>Sample!M$27</f>
        <v>0</v>
      </c>
      <c r="FK4" s="66">
        <f>Sample!N$27</f>
        <v>0</v>
      </c>
      <c r="FL4" s="66">
        <f>Sample!O$27</f>
        <v>0</v>
      </c>
      <c r="FM4" s="66">
        <f>Sample!P$27</f>
        <v>0</v>
      </c>
      <c r="FN4" s="66">
        <f>Sample!Q$27</f>
        <v>0</v>
      </c>
      <c r="FO4" s="66">
        <f>Sample!R$27</f>
        <v>0</v>
      </c>
      <c r="FP4" s="66">
        <f>Sample!S$27</f>
        <v>0</v>
      </c>
      <c r="FQ4" s="66">
        <f>Sample!T$27</f>
        <v>0</v>
      </c>
      <c r="FR4" s="66">
        <f>Sample!U$27</f>
        <v>0</v>
      </c>
      <c r="FS4" s="66">
        <f>Sample!V$27</f>
        <v>0</v>
      </c>
      <c r="FT4" s="66">
        <f>Sample!W$27</f>
        <v>0</v>
      </c>
      <c r="FU4" s="66">
        <f>Sample!X$27</f>
        <v>0</v>
      </c>
      <c r="FV4" s="66">
        <f>Sample!Y$27</f>
        <v>0</v>
      </c>
      <c r="FW4" s="66">
        <f>Sample!Z$27</f>
        <v>0</v>
      </c>
      <c r="FX4" s="66">
        <f>Sample!AA$27</f>
        <v>0</v>
      </c>
      <c r="FY4" s="66">
        <f>Sample!AB$27</f>
        <v>0</v>
      </c>
      <c r="FZ4" s="66">
        <f>Sample!AC$27</f>
        <v>0</v>
      </c>
      <c r="GA4" s="66">
        <f>Sample!AD$27</f>
        <v>0</v>
      </c>
      <c r="GB4" s="66">
        <f>Sample!AE$27</f>
        <v>0</v>
      </c>
      <c r="GC4" s="66">
        <f>Sample!AF$27</f>
        <v>0</v>
      </c>
      <c r="GD4" s="66">
        <f>Sample!AG$27</f>
        <v>0</v>
      </c>
      <c r="GE4" s="66">
        <f>Sample!AH$27</f>
        <v>0</v>
      </c>
      <c r="GF4" s="66">
        <f>Sample!AI$27</f>
        <v>0</v>
      </c>
      <c r="GG4" s="66">
        <f>Sample!AJ$27</f>
        <v>0</v>
      </c>
      <c r="GH4" s="66">
        <f>Sample!AK$27</f>
        <v>0</v>
      </c>
      <c r="GI4" s="66">
        <f>Sample!AL$27</f>
        <v>0</v>
      </c>
      <c r="GJ4" s="66">
        <f>Sample!AM$27</f>
        <v>0</v>
      </c>
      <c r="GK4" s="66">
        <f>Sample!AN$27</f>
        <v>0</v>
      </c>
      <c r="GL4" s="66">
        <f>Sample!AO$27</f>
        <v>0</v>
      </c>
      <c r="GM4" s="66">
        <f>Sample!AP$27</f>
        <v>0</v>
      </c>
      <c r="GN4" s="66">
        <f>Sample!AQ$27</f>
        <v>0</v>
      </c>
      <c r="GO4" s="66">
        <f>Sample!AR$27</f>
        <v>0</v>
      </c>
      <c r="GP4" s="66">
        <f>Sample!AS$27</f>
        <v>0</v>
      </c>
      <c r="GQ4" s="66">
        <f>Sample!AT$27</f>
        <v>0</v>
      </c>
      <c r="GR4" s="66">
        <f>Sample!AU$27</f>
        <v>0</v>
      </c>
      <c r="GS4" s="66">
        <f>Sample!AV$27</f>
        <v>0</v>
      </c>
      <c r="GT4" s="66">
        <f>Sample!AW$27</f>
        <v>0</v>
      </c>
      <c r="GU4" s="66">
        <f>Sample!AX$27</f>
        <v>0</v>
      </c>
      <c r="GV4" s="66">
        <f>Sample!AY$27</f>
        <v>0</v>
      </c>
      <c r="GW4" s="66">
        <f>Sample!AZ$27</f>
        <v>0</v>
      </c>
      <c r="GX4" s="66">
        <f>Sample!BA$27</f>
        <v>0</v>
      </c>
      <c r="GY4" s="66">
        <f>Sample!BB$27</f>
        <v>0</v>
      </c>
      <c r="GZ4" s="66">
        <f>Sample!BC$27</f>
        <v>0</v>
      </c>
      <c r="HA4" s="66">
        <f>Sample!BD$27</f>
        <v>0</v>
      </c>
      <c r="HB4" s="66">
        <f>Sample!BE$27</f>
        <v>0</v>
      </c>
      <c r="HC4" s="66">
        <f>Sample!F$29</f>
        <v>0</v>
      </c>
      <c r="HD4" s="66">
        <f>Sample!G$29</f>
        <v>0</v>
      </c>
      <c r="HE4" s="66">
        <f>Sample!H$29</f>
        <v>0</v>
      </c>
      <c r="HF4" s="66">
        <f>Sample!I$29</f>
        <v>0</v>
      </c>
      <c r="HG4" s="66">
        <f>Sample!J$29</f>
        <v>0</v>
      </c>
      <c r="HH4" s="66">
        <f>Sample!K$29</f>
        <v>0</v>
      </c>
      <c r="HI4" s="66">
        <f>Sample!L$29</f>
        <v>0</v>
      </c>
      <c r="HJ4" s="66">
        <f>Sample!M$29</f>
        <v>0</v>
      </c>
      <c r="HK4" s="66">
        <f>Sample!N$29</f>
        <v>0</v>
      </c>
      <c r="HL4" s="66">
        <f>Sample!O$29</f>
        <v>0</v>
      </c>
      <c r="HM4" s="66">
        <f>Sample!P$29</f>
        <v>0</v>
      </c>
      <c r="HN4" s="66">
        <f>Sample!Q$29</f>
        <v>0</v>
      </c>
      <c r="HO4" s="66">
        <f>Sample!R$29</f>
        <v>0</v>
      </c>
      <c r="HP4" s="66">
        <f>Sample!S$29</f>
        <v>0</v>
      </c>
      <c r="HQ4" s="66">
        <f>Sample!T$29</f>
        <v>0</v>
      </c>
      <c r="HR4" s="66">
        <f>Sample!U$29</f>
        <v>0</v>
      </c>
      <c r="HS4" s="66">
        <f>Sample!V$29</f>
        <v>0</v>
      </c>
      <c r="HT4" s="66">
        <f>Sample!W$29</f>
        <v>0</v>
      </c>
      <c r="HU4" s="66">
        <f>Sample!X$29</f>
        <v>0</v>
      </c>
      <c r="HV4" s="66">
        <f>Sample!Y$29</f>
        <v>0</v>
      </c>
      <c r="HW4" s="66">
        <f>Sample!Z$29</f>
        <v>0</v>
      </c>
      <c r="HX4" s="66">
        <f>Sample!AA$29</f>
        <v>0</v>
      </c>
      <c r="HY4" s="66">
        <f>Sample!AB$29</f>
        <v>0</v>
      </c>
      <c r="HZ4" s="66">
        <f>Sample!AC$29</f>
        <v>0</v>
      </c>
      <c r="IA4" s="66">
        <f>Sample!AD$29</f>
        <v>0</v>
      </c>
      <c r="IB4" s="66">
        <f>Sample!AE$29</f>
        <v>0</v>
      </c>
      <c r="IC4" s="66">
        <f>Sample!AF$29</f>
        <v>0</v>
      </c>
      <c r="ID4" s="66">
        <f>Sample!AG$29</f>
        <v>0</v>
      </c>
      <c r="IE4" s="66">
        <f>Sample!AH$29</f>
        <v>0</v>
      </c>
      <c r="IF4" s="66">
        <f>Sample!AI$29</f>
        <v>0</v>
      </c>
      <c r="IG4" s="66">
        <f>Sample!AJ$29</f>
        <v>0</v>
      </c>
      <c r="IH4" s="66">
        <f>Sample!AK$29</f>
        <v>0</v>
      </c>
      <c r="II4" s="66">
        <f>Sample!AL$29</f>
        <v>0</v>
      </c>
      <c r="IJ4" s="66">
        <f>Sample!AM$29</f>
        <v>0</v>
      </c>
      <c r="IK4" s="66">
        <f>Sample!AN$29</f>
        <v>0</v>
      </c>
      <c r="IL4" s="66">
        <f>Sample!AO$29</f>
        <v>0</v>
      </c>
      <c r="IM4" s="66">
        <f>Sample!AP$29</f>
        <v>0</v>
      </c>
      <c r="IN4" s="66">
        <f>Sample!AQ$29</f>
        <v>0</v>
      </c>
      <c r="IO4" s="66">
        <f>Sample!AR$29</f>
        <v>0</v>
      </c>
      <c r="IP4" s="66">
        <f>Sample!AS$29</f>
        <v>0</v>
      </c>
      <c r="IQ4" s="66">
        <f>Sample!AT$29</f>
        <v>0</v>
      </c>
      <c r="IR4" s="66">
        <f>Sample!AU$29</f>
        <v>0</v>
      </c>
      <c r="IS4" s="66">
        <f>Sample!AV$29</f>
        <v>0</v>
      </c>
      <c r="IT4" s="66">
        <f>Sample!AW$29</f>
        <v>0</v>
      </c>
      <c r="IU4" s="66">
        <f>Sample!AX$29</f>
        <v>0</v>
      </c>
      <c r="IV4" s="66">
        <f>Sample!AY$29</f>
        <v>0</v>
      </c>
      <c r="IW4" s="66">
        <f>Sample!AZ$29</f>
        <v>0</v>
      </c>
      <c r="IX4" s="66">
        <f>Sample!BA$29</f>
        <v>0</v>
      </c>
      <c r="IY4" s="66">
        <f>Sample!BB$29</f>
        <v>0</v>
      </c>
      <c r="IZ4" s="66">
        <f>Sample!BC$29</f>
        <v>0</v>
      </c>
      <c r="JA4" s="66">
        <f>Sample!BD$29</f>
        <v>0</v>
      </c>
      <c r="JB4" s="66">
        <f>Sample!BE$29</f>
        <v>0</v>
      </c>
      <c r="JC4" s="66">
        <f>Sample!F$30</f>
        <v>0</v>
      </c>
      <c r="JD4" s="66">
        <f>Sample!G$30</f>
        <v>0</v>
      </c>
      <c r="JE4" s="66">
        <f>Sample!H$30</f>
        <v>0</v>
      </c>
      <c r="JF4" s="66">
        <f>Sample!I$30</f>
        <v>0</v>
      </c>
      <c r="JG4" s="66">
        <f>Sample!J$30</f>
        <v>0</v>
      </c>
      <c r="JH4" s="66">
        <f>Sample!K$30</f>
        <v>0</v>
      </c>
      <c r="JI4" s="66">
        <f>Sample!L$30</f>
        <v>0</v>
      </c>
      <c r="JJ4" s="66">
        <f>Sample!M$30</f>
        <v>0</v>
      </c>
      <c r="JK4" s="66">
        <f>Sample!N$30</f>
        <v>0</v>
      </c>
      <c r="JL4" s="66">
        <f>Sample!O$30</f>
        <v>0</v>
      </c>
      <c r="JM4" s="66">
        <f>Sample!P$30</f>
        <v>0</v>
      </c>
      <c r="JN4" s="66">
        <f>Sample!Q$30</f>
        <v>0</v>
      </c>
      <c r="JO4" s="66">
        <f>Sample!R$30</f>
        <v>0</v>
      </c>
      <c r="JP4" s="66">
        <f>Sample!S$30</f>
        <v>0</v>
      </c>
      <c r="JQ4" s="66">
        <f>Sample!T$30</f>
        <v>0</v>
      </c>
      <c r="JR4" s="66">
        <f>Sample!U$30</f>
        <v>0</v>
      </c>
      <c r="JS4" s="66">
        <f>Sample!V$30</f>
        <v>0</v>
      </c>
      <c r="JT4" s="66">
        <f>Sample!W$30</f>
        <v>0</v>
      </c>
      <c r="JU4" s="66">
        <f>Sample!X$30</f>
        <v>0</v>
      </c>
      <c r="JV4" s="66">
        <f>Sample!Y$30</f>
        <v>0</v>
      </c>
      <c r="JW4" s="66">
        <f>Sample!Z$30</f>
        <v>0</v>
      </c>
      <c r="JX4" s="66">
        <f>Sample!AA$30</f>
        <v>0</v>
      </c>
      <c r="JY4" s="66">
        <f>Sample!AB$30</f>
        <v>0</v>
      </c>
      <c r="JZ4" s="66">
        <f>Sample!AC$30</f>
        <v>0</v>
      </c>
      <c r="KA4" s="66">
        <f>Sample!AD$30</f>
        <v>0</v>
      </c>
      <c r="KB4" s="66">
        <f>Sample!AE$30</f>
        <v>0</v>
      </c>
      <c r="KC4" s="66">
        <f>Sample!AF$30</f>
        <v>0</v>
      </c>
      <c r="KD4" s="66">
        <f>Sample!AG$30</f>
        <v>0</v>
      </c>
      <c r="KE4" s="66">
        <f>Sample!AH$30</f>
        <v>0</v>
      </c>
      <c r="KF4" s="66">
        <f>Sample!AI$30</f>
        <v>0</v>
      </c>
      <c r="KG4" s="66">
        <f>Sample!AJ$30</f>
        <v>0</v>
      </c>
      <c r="KH4" s="66">
        <f>Sample!AK$30</f>
        <v>0</v>
      </c>
      <c r="KI4" s="66">
        <f>Sample!AL$30</f>
        <v>0</v>
      </c>
      <c r="KJ4" s="66">
        <f>Sample!AM$30</f>
        <v>0</v>
      </c>
      <c r="KK4" s="66">
        <f>Sample!AN$30</f>
        <v>0</v>
      </c>
      <c r="KL4" s="66">
        <f>Sample!AO$30</f>
        <v>0</v>
      </c>
      <c r="KM4" s="66">
        <f>Sample!AP$30</f>
        <v>0</v>
      </c>
      <c r="KN4" s="66">
        <f>Sample!AQ$30</f>
        <v>0</v>
      </c>
      <c r="KO4" s="66">
        <f>Sample!AR$30</f>
        <v>0</v>
      </c>
      <c r="KP4" s="66">
        <f>Sample!AS$30</f>
        <v>0</v>
      </c>
      <c r="KQ4" s="66">
        <f>Sample!AT$30</f>
        <v>0</v>
      </c>
      <c r="KR4" s="66">
        <f>Sample!AU$30</f>
        <v>0</v>
      </c>
      <c r="KS4" s="66">
        <f>Sample!AV$30</f>
        <v>0</v>
      </c>
      <c r="KT4" s="66">
        <f>Sample!AW$30</f>
        <v>0</v>
      </c>
      <c r="KU4" s="66">
        <f>Sample!AX$30</f>
        <v>0</v>
      </c>
      <c r="KV4" s="66">
        <f>Sample!AY$30</f>
        <v>0</v>
      </c>
      <c r="KW4" s="66">
        <f>Sample!AZ$30</f>
        <v>0</v>
      </c>
      <c r="KX4" s="66">
        <f>Sample!BA$30</f>
        <v>0</v>
      </c>
      <c r="KY4" s="66">
        <f>Sample!BB$30</f>
        <v>0</v>
      </c>
      <c r="KZ4" s="66">
        <f>Sample!BC$30</f>
        <v>0</v>
      </c>
      <c r="LA4" s="66">
        <f>Sample!BD$30</f>
        <v>0</v>
      </c>
      <c r="LB4" s="66">
        <f>Sample!BE$30</f>
        <v>0</v>
      </c>
      <c r="LC4" s="66">
        <f>Sample!F$31</f>
        <v>0</v>
      </c>
      <c r="LD4" s="66">
        <f>Sample!G$31</f>
        <v>0</v>
      </c>
      <c r="LE4" s="66">
        <f>Sample!H$31</f>
        <v>0</v>
      </c>
      <c r="LF4" s="66">
        <f>Sample!I$31</f>
        <v>0</v>
      </c>
      <c r="LG4" s="66">
        <f>Sample!J$31</f>
        <v>0</v>
      </c>
      <c r="LH4" s="66">
        <f>Sample!K$31</f>
        <v>0</v>
      </c>
      <c r="LI4" s="66">
        <f>Sample!L$31</f>
        <v>0</v>
      </c>
      <c r="LJ4" s="66">
        <f>Sample!M$31</f>
        <v>0</v>
      </c>
      <c r="LK4" s="66">
        <f>Sample!N$31</f>
        <v>0</v>
      </c>
      <c r="LL4" s="66">
        <f>Sample!O$31</f>
        <v>0</v>
      </c>
      <c r="LM4" s="66">
        <f>Sample!P$31</f>
        <v>0</v>
      </c>
      <c r="LN4" s="66">
        <f>Sample!Q$31</f>
        <v>0</v>
      </c>
      <c r="LO4" s="66">
        <f>Sample!R$31</f>
        <v>0</v>
      </c>
      <c r="LP4" s="66">
        <f>Sample!S$31</f>
        <v>0</v>
      </c>
      <c r="LQ4" s="66">
        <f>Sample!T$31</f>
        <v>0</v>
      </c>
      <c r="LR4" s="66">
        <f>Sample!U$31</f>
        <v>0</v>
      </c>
      <c r="LS4" s="66">
        <f>Sample!V$31</f>
        <v>0</v>
      </c>
      <c r="LT4" s="66">
        <f>Sample!W$31</f>
        <v>0</v>
      </c>
      <c r="LU4" s="66">
        <f>Sample!X$31</f>
        <v>0</v>
      </c>
      <c r="LV4" s="66">
        <f>Sample!Y$31</f>
        <v>0</v>
      </c>
      <c r="LW4" s="66">
        <f>Sample!Z$31</f>
        <v>0</v>
      </c>
      <c r="LX4" s="66">
        <f>Sample!AA$31</f>
        <v>0</v>
      </c>
      <c r="LY4" s="66">
        <f>Sample!AB$31</f>
        <v>0</v>
      </c>
      <c r="LZ4" s="66">
        <f>Sample!AC$31</f>
        <v>0</v>
      </c>
      <c r="MA4" s="66">
        <f>Sample!AD$31</f>
        <v>0</v>
      </c>
      <c r="MB4" s="66">
        <f>Sample!AE$31</f>
        <v>0</v>
      </c>
      <c r="MC4" s="66">
        <f>Sample!AF$31</f>
        <v>0</v>
      </c>
      <c r="MD4" s="66">
        <f>Sample!AG$31</f>
        <v>0</v>
      </c>
      <c r="ME4" s="66">
        <f>Sample!AH$31</f>
        <v>0</v>
      </c>
      <c r="MF4" s="66">
        <f>Sample!AI$31</f>
        <v>0</v>
      </c>
      <c r="MG4" s="66">
        <f>Sample!AJ$31</f>
        <v>0</v>
      </c>
      <c r="MH4" s="66">
        <f>Sample!AK$31</f>
        <v>0</v>
      </c>
      <c r="MI4" s="66">
        <f>Sample!AL$31</f>
        <v>0</v>
      </c>
      <c r="MJ4" s="66">
        <f>Sample!AM$31</f>
        <v>0</v>
      </c>
      <c r="MK4" s="66">
        <f>Sample!AN$31</f>
        <v>0</v>
      </c>
      <c r="ML4" s="66">
        <f>Sample!AO$31</f>
        <v>0</v>
      </c>
      <c r="MM4" s="66">
        <f>Sample!AP$31</f>
        <v>0</v>
      </c>
      <c r="MN4" s="66">
        <f>Sample!AQ$31</f>
        <v>0</v>
      </c>
      <c r="MO4" s="66">
        <f>Sample!AR$31</f>
        <v>0</v>
      </c>
      <c r="MP4" s="66">
        <f>Sample!AS$31</f>
        <v>0</v>
      </c>
      <c r="MQ4" s="66">
        <f>Sample!AT$31</f>
        <v>0</v>
      </c>
      <c r="MR4" s="66">
        <f>Sample!AU$31</f>
        <v>0</v>
      </c>
      <c r="MS4" s="66">
        <f>Sample!AV$31</f>
        <v>0</v>
      </c>
      <c r="MT4" s="66">
        <f>Sample!AW$31</f>
        <v>0</v>
      </c>
      <c r="MU4" s="66">
        <f>Sample!AX$31</f>
        <v>0</v>
      </c>
      <c r="MV4" s="66">
        <f>Sample!AY$31</f>
        <v>0</v>
      </c>
      <c r="MW4" s="66">
        <f>Sample!AZ$31</f>
        <v>0</v>
      </c>
      <c r="MX4" s="66">
        <f>Sample!BA$31</f>
        <v>0</v>
      </c>
      <c r="MY4" s="66">
        <f>Sample!BB$31</f>
        <v>0</v>
      </c>
      <c r="MZ4" s="66">
        <f>Sample!BC$31</f>
        <v>0</v>
      </c>
      <c r="NA4" s="66">
        <f>Sample!BD$31</f>
        <v>0</v>
      </c>
      <c r="NB4" s="66">
        <f>Sample!BE$31</f>
        <v>0</v>
      </c>
      <c r="NC4" s="66">
        <f>Sample!F$33</f>
        <v>0</v>
      </c>
      <c r="ND4" s="66">
        <f>Sample!G$33</f>
        <v>0</v>
      </c>
      <c r="NE4" s="66">
        <f>Sample!H$33</f>
        <v>0</v>
      </c>
      <c r="NF4" s="66">
        <f>Sample!I$33</f>
        <v>0</v>
      </c>
      <c r="NG4" s="66">
        <f>Sample!J$33</f>
        <v>0</v>
      </c>
      <c r="NH4" s="66">
        <f>Sample!K$33</f>
        <v>0</v>
      </c>
      <c r="NI4" s="66">
        <f>Sample!L$33</f>
        <v>0</v>
      </c>
      <c r="NJ4" s="66">
        <f>Sample!M$33</f>
        <v>0</v>
      </c>
      <c r="NK4" s="66">
        <f>Sample!N$33</f>
        <v>0</v>
      </c>
      <c r="NL4" s="66">
        <f>Sample!O$33</f>
        <v>0</v>
      </c>
      <c r="NM4" s="66">
        <f>Sample!P$33</f>
        <v>0</v>
      </c>
      <c r="NN4" s="66">
        <f>Sample!Q$33</f>
        <v>0</v>
      </c>
      <c r="NO4" s="66">
        <f>Sample!R$33</f>
        <v>0</v>
      </c>
      <c r="NP4" s="66">
        <f>Sample!S$33</f>
        <v>0</v>
      </c>
      <c r="NQ4" s="66">
        <f>Sample!T$33</f>
        <v>0</v>
      </c>
      <c r="NR4" s="66">
        <f>Sample!U$33</f>
        <v>0</v>
      </c>
      <c r="NS4" s="66">
        <f>Sample!V$33</f>
        <v>0</v>
      </c>
      <c r="NT4" s="66">
        <f>Sample!W$33</f>
        <v>0</v>
      </c>
      <c r="NU4" s="66">
        <f>Sample!X$33</f>
        <v>0</v>
      </c>
      <c r="NV4" s="66">
        <f>Sample!Y$33</f>
        <v>0</v>
      </c>
      <c r="NW4" s="66">
        <f>Sample!Z$33</f>
        <v>0</v>
      </c>
      <c r="NX4" s="66">
        <f>Sample!AA$33</f>
        <v>0</v>
      </c>
      <c r="NY4" s="66">
        <f>Sample!AB$33</f>
        <v>0</v>
      </c>
      <c r="NZ4" s="66">
        <f>Sample!AC$33</f>
        <v>0</v>
      </c>
      <c r="OA4" s="66">
        <f>Sample!AD$33</f>
        <v>0</v>
      </c>
      <c r="OB4" s="66">
        <f>Sample!AE$33</f>
        <v>0</v>
      </c>
      <c r="OC4" s="66">
        <f>Sample!AF$33</f>
        <v>0</v>
      </c>
      <c r="OD4" s="66">
        <f>Sample!AG$33</f>
        <v>0</v>
      </c>
      <c r="OE4" s="66">
        <f>Sample!AH$33</f>
        <v>0</v>
      </c>
      <c r="OF4" s="66">
        <f>Sample!AI$33</f>
        <v>0</v>
      </c>
      <c r="OG4" s="66">
        <f>Sample!AJ$33</f>
        <v>0</v>
      </c>
      <c r="OH4" s="66">
        <f>Sample!AK$33</f>
        <v>0</v>
      </c>
      <c r="OI4" s="66">
        <f>Sample!AL$33</f>
        <v>0</v>
      </c>
      <c r="OJ4" s="66">
        <f>Sample!AM$33</f>
        <v>0</v>
      </c>
      <c r="OK4" s="66">
        <f>Sample!AN$33</f>
        <v>0</v>
      </c>
      <c r="OL4" s="66">
        <f>Sample!AO$33</f>
        <v>0</v>
      </c>
      <c r="OM4" s="66">
        <f>Sample!AP$33</f>
        <v>0</v>
      </c>
      <c r="ON4" s="66">
        <f>Sample!AQ$33</f>
        <v>0</v>
      </c>
      <c r="OO4" s="66">
        <f>Sample!AR$33</f>
        <v>0</v>
      </c>
      <c r="OP4" s="66">
        <f>Sample!AS$33</f>
        <v>0</v>
      </c>
      <c r="OQ4" s="66">
        <f>Sample!AT$33</f>
        <v>0</v>
      </c>
      <c r="OR4" s="66">
        <f>Sample!AU$33</f>
        <v>0</v>
      </c>
      <c r="OS4" s="66">
        <f>Sample!AV$33</f>
        <v>0</v>
      </c>
      <c r="OT4" s="66">
        <f>Sample!AW$33</f>
        <v>0</v>
      </c>
      <c r="OU4" s="66">
        <f>Sample!AX$33</f>
        <v>0</v>
      </c>
      <c r="OV4" s="66">
        <f>Sample!AY$33</f>
        <v>0</v>
      </c>
      <c r="OW4" s="66">
        <f>Sample!AZ$33</f>
        <v>0</v>
      </c>
      <c r="OX4" s="66">
        <f>Sample!BA$33</f>
        <v>0</v>
      </c>
      <c r="OY4" s="66">
        <f>Sample!BB$33</f>
        <v>0</v>
      </c>
      <c r="OZ4" s="66">
        <f>Sample!BC$33</f>
        <v>0</v>
      </c>
      <c r="PA4" s="66">
        <f>Sample!BD$33</f>
        <v>0</v>
      </c>
      <c r="PB4" s="66">
        <f>Sample!BE$33</f>
        <v>0</v>
      </c>
      <c r="PC4" s="66">
        <f>Sample!F$34</f>
        <v>0</v>
      </c>
      <c r="PD4" s="66">
        <f>Sample!G$34</f>
        <v>0</v>
      </c>
      <c r="PE4" s="66">
        <f>Sample!H$34</f>
        <v>0</v>
      </c>
      <c r="PF4" s="66">
        <f>Sample!I$34</f>
        <v>0</v>
      </c>
      <c r="PG4" s="66">
        <f>Sample!J$34</f>
        <v>0</v>
      </c>
      <c r="PH4" s="66">
        <f>Sample!K$34</f>
        <v>0</v>
      </c>
      <c r="PI4" s="66">
        <f>Sample!L$34</f>
        <v>0</v>
      </c>
      <c r="PJ4" s="66">
        <f>Sample!M$34</f>
        <v>0</v>
      </c>
      <c r="PK4" s="66">
        <f>Sample!N$34</f>
        <v>0</v>
      </c>
      <c r="PL4" s="66">
        <f>Sample!O$34</f>
        <v>0</v>
      </c>
      <c r="PM4" s="66">
        <f>Sample!P$34</f>
        <v>0</v>
      </c>
      <c r="PN4" s="66">
        <f>Sample!Q$34</f>
        <v>0</v>
      </c>
      <c r="PO4" s="66">
        <f>Sample!R$34</f>
        <v>0</v>
      </c>
      <c r="PP4" s="66">
        <f>Sample!S$34</f>
        <v>0</v>
      </c>
      <c r="PQ4" s="66">
        <f>Sample!T$34</f>
        <v>0</v>
      </c>
      <c r="PR4" s="66">
        <f>Sample!U$34</f>
        <v>0</v>
      </c>
      <c r="PS4" s="66">
        <f>Sample!V$34</f>
        <v>0</v>
      </c>
      <c r="PT4" s="66">
        <f>Sample!W$34</f>
        <v>0</v>
      </c>
      <c r="PU4" s="66">
        <f>Sample!X$34</f>
        <v>0</v>
      </c>
      <c r="PV4" s="66">
        <f>Sample!Y$34</f>
        <v>0</v>
      </c>
      <c r="PW4" s="66">
        <f>Sample!Z$34</f>
        <v>0</v>
      </c>
      <c r="PX4" s="66">
        <f>Sample!AA$34</f>
        <v>0</v>
      </c>
      <c r="PY4" s="66">
        <f>Sample!AB$34</f>
        <v>0</v>
      </c>
      <c r="PZ4" s="66">
        <f>Sample!AC$34</f>
        <v>0</v>
      </c>
      <c r="QA4" s="66">
        <f>Sample!AD$34</f>
        <v>0</v>
      </c>
      <c r="QB4" s="66">
        <f>Sample!AE$34</f>
        <v>0</v>
      </c>
      <c r="QC4" s="66">
        <f>Sample!AF$34</f>
        <v>0</v>
      </c>
      <c r="QD4" s="66">
        <f>Sample!AG$34</f>
        <v>0</v>
      </c>
      <c r="QE4" s="66">
        <f>Sample!AH$34</f>
        <v>0</v>
      </c>
      <c r="QF4" s="66">
        <f>Sample!AI$34</f>
        <v>0</v>
      </c>
      <c r="QG4" s="66">
        <f>Sample!AJ$34</f>
        <v>0</v>
      </c>
      <c r="QH4" s="66">
        <f>Sample!AK$34</f>
        <v>0</v>
      </c>
      <c r="QI4" s="66">
        <f>Sample!AL$34</f>
        <v>0</v>
      </c>
      <c r="QJ4" s="66">
        <f>Sample!AM$34</f>
        <v>0</v>
      </c>
      <c r="QK4" s="66">
        <f>Sample!AN$34</f>
        <v>0</v>
      </c>
      <c r="QL4" s="66">
        <f>Sample!AO$34</f>
        <v>0</v>
      </c>
      <c r="QM4" s="66">
        <f>Sample!AP$34</f>
        <v>0</v>
      </c>
      <c r="QN4" s="66">
        <f>Sample!AQ$34</f>
        <v>0</v>
      </c>
      <c r="QO4" s="66">
        <f>Sample!AR$34</f>
        <v>0</v>
      </c>
      <c r="QP4" s="66">
        <f>Sample!AS$34</f>
        <v>0</v>
      </c>
      <c r="QQ4" s="66">
        <f>Sample!AT$34</f>
        <v>0</v>
      </c>
      <c r="QR4" s="66">
        <f>Sample!AU$34</f>
        <v>0</v>
      </c>
      <c r="QS4" s="66">
        <f>Sample!AV$34</f>
        <v>0</v>
      </c>
      <c r="QT4" s="66">
        <f>Sample!AW$34</f>
        <v>0</v>
      </c>
      <c r="QU4" s="66">
        <f>Sample!AX$34</f>
        <v>0</v>
      </c>
      <c r="QV4" s="66">
        <f>Sample!AY$34</f>
        <v>0</v>
      </c>
      <c r="QW4" s="66">
        <f>Sample!AZ$34</f>
        <v>0</v>
      </c>
      <c r="QX4" s="66">
        <f>Sample!BA$34</f>
        <v>0</v>
      </c>
      <c r="QY4" s="66">
        <f>Sample!BB$34</f>
        <v>0</v>
      </c>
      <c r="QZ4" s="66">
        <f>Sample!BC$34</f>
        <v>0</v>
      </c>
      <c r="RA4" s="66">
        <f>Sample!BD$34</f>
        <v>0</v>
      </c>
      <c r="RB4" s="66">
        <f>Sample!BE$34</f>
        <v>0</v>
      </c>
      <c r="RC4" s="66">
        <f>Sample!F$35</f>
        <v>0</v>
      </c>
      <c r="RD4" s="66">
        <f>Sample!G$35</f>
        <v>0</v>
      </c>
      <c r="RE4" s="66">
        <f>Sample!H$35</f>
        <v>0</v>
      </c>
      <c r="RF4" s="66">
        <f>Sample!I$35</f>
        <v>0</v>
      </c>
      <c r="RG4" s="66">
        <f>Sample!J$35</f>
        <v>0</v>
      </c>
      <c r="RH4" s="66">
        <f>Sample!K$35</f>
        <v>0</v>
      </c>
      <c r="RI4" s="66">
        <f>Sample!L$35</f>
        <v>0</v>
      </c>
      <c r="RJ4" s="66">
        <f>Sample!M$35</f>
        <v>0</v>
      </c>
      <c r="RK4" s="66">
        <f>Sample!N$35</f>
        <v>0</v>
      </c>
      <c r="RL4" s="66">
        <f>Sample!O$35</f>
        <v>0</v>
      </c>
      <c r="RM4" s="66">
        <f>Sample!P$35</f>
        <v>0</v>
      </c>
      <c r="RN4" s="66">
        <f>Sample!Q$35</f>
        <v>0</v>
      </c>
      <c r="RO4" s="66">
        <f>Sample!R$35</f>
        <v>0</v>
      </c>
      <c r="RP4" s="66">
        <f>Sample!S$35</f>
        <v>0</v>
      </c>
      <c r="RQ4" s="66">
        <f>Sample!T$35</f>
        <v>0</v>
      </c>
      <c r="RR4" s="66">
        <f>Sample!U$35</f>
        <v>0</v>
      </c>
      <c r="RS4" s="66">
        <f>Sample!V$35</f>
        <v>0</v>
      </c>
      <c r="RT4" s="66">
        <f>Sample!W$35</f>
        <v>0</v>
      </c>
      <c r="RU4" s="66">
        <f>Sample!X$35</f>
        <v>0</v>
      </c>
      <c r="RV4" s="66">
        <f>Sample!Y$35</f>
        <v>0</v>
      </c>
      <c r="RW4" s="66">
        <f>Sample!Z$35</f>
        <v>0</v>
      </c>
      <c r="RX4" s="66">
        <f>Sample!AA$35</f>
        <v>0</v>
      </c>
      <c r="RY4" s="66">
        <f>Sample!AB$35</f>
        <v>0</v>
      </c>
      <c r="RZ4" s="66">
        <f>Sample!AC$35</f>
        <v>0</v>
      </c>
      <c r="SA4" s="66">
        <f>Sample!AD$35</f>
        <v>0</v>
      </c>
      <c r="SB4" s="66">
        <f>Sample!AE$35</f>
        <v>0</v>
      </c>
      <c r="SC4" s="66">
        <f>Sample!AF$35</f>
        <v>0</v>
      </c>
      <c r="SD4" s="66">
        <f>Sample!AG$35</f>
        <v>0</v>
      </c>
      <c r="SE4" s="66">
        <f>Sample!AH$35</f>
        <v>0</v>
      </c>
      <c r="SF4" s="66">
        <f>Sample!AI$35</f>
        <v>0</v>
      </c>
      <c r="SG4" s="66">
        <f>Sample!AJ$35</f>
        <v>0</v>
      </c>
      <c r="SH4" s="66">
        <f>Sample!AK$35</f>
        <v>0</v>
      </c>
      <c r="SI4" s="66">
        <f>Sample!AL$35</f>
        <v>0</v>
      </c>
      <c r="SJ4" s="66">
        <f>Sample!AM$35</f>
        <v>0</v>
      </c>
      <c r="SK4" s="66">
        <f>Sample!AN$35</f>
        <v>0</v>
      </c>
      <c r="SL4" s="66">
        <f>Sample!AO$35</f>
        <v>0</v>
      </c>
      <c r="SM4" s="66">
        <f>Sample!AP$35</f>
        <v>0</v>
      </c>
      <c r="SN4" s="66">
        <f>Sample!AQ$35</f>
        <v>0</v>
      </c>
      <c r="SO4" s="66">
        <f>Sample!AR$35</f>
        <v>0</v>
      </c>
      <c r="SP4" s="66">
        <f>Sample!AS$35</f>
        <v>0</v>
      </c>
      <c r="SQ4" s="66">
        <f>Sample!AT$35</f>
        <v>0</v>
      </c>
      <c r="SR4" s="66">
        <f>Sample!AU$35</f>
        <v>0</v>
      </c>
      <c r="SS4" s="66">
        <f>Sample!AV$35</f>
        <v>0</v>
      </c>
      <c r="ST4" s="66">
        <f>Sample!AW$35</f>
        <v>0</v>
      </c>
      <c r="SU4" s="66">
        <f>Sample!AX$35</f>
        <v>0</v>
      </c>
      <c r="SV4" s="66">
        <f>Sample!AY$35</f>
        <v>0</v>
      </c>
      <c r="SW4" s="66">
        <f>Sample!AZ$35</f>
        <v>0</v>
      </c>
      <c r="SX4" s="66">
        <f>Sample!BA$35</f>
        <v>0</v>
      </c>
      <c r="SY4" s="66">
        <f>Sample!BB$35</f>
        <v>0</v>
      </c>
      <c r="SZ4" s="66">
        <f>Sample!BC$35</f>
        <v>0</v>
      </c>
      <c r="TA4" s="66">
        <f>Sample!BD$35</f>
        <v>0</v>
      </c>
      <c r="TB4" s="66">
        <f>Sample!BE$35</f>
        <v>0</v>
      </c>
    </row>
    <row r="5" spans="2:522">
      <c r="B5" s="66">
        <v>2</v>
      </c>
      <c r="C5" s="66">
        <f>'P2'!$F$3</f>
        <v>0</v>
      </c>
      <c r="D5" s="66">
        <f>'P2'!$F$5</f>
        <v>0</v>
      </c>
      <c r="E5" s="66">
        <f>'P2'!$F$7</f>
        <v>0</v>
      </c>
      <c r="F5" s="66" t="str">
        <f>'P2'!$F$8</f>
        <v/>
      </c>
      <c r="G5" s="66">
        <f>'P2'!$B$13</f>
        <v>0</v>
      </c>
      <c r="H5" s="66">
        <f>'P2'!$C$17</f>
        <v>0</v>
      </c>
      <c r="I5" s="66">
        <f>'P2'!$C$18</f>
        <v>0</v>
      </c>
      <c r="J5" s="66">
        <f>'P2'!$C$19</f>
        <v>0</v>
      </c>
      <c r="K5" s="66">
        <f>'P2'!$C$20</f>
        <v>0</v>
      </c>
      <c r="L5" s="66">
        <f>'P2'!$C$21</f>
        <v>0</v>
      </c>
      <c r="M5" s="66" t="str">
        <f>'P2'!$F$12</f>
        <v/>
      </c>
      <c r="N5" s="66" t="str">
        <f>'P2'!$G$13</f>
        <v>Select the primary KPI (Jonas Library)</v>
      </c>
      <c r="O5" s="66">
        <f>'P2'!$F$15</f>
        <v>0</v>
      </c>
      <c r="P5" s="66">
        <f>'P2'!$F$19</f>
        <v>0</v>
      </c>
      <c r="Q5" s="66" t="str">
        <f>'P2'!$O$12</f>
        <v/>
      </c>
      <c r="R5" s="66" t="str">
        <f>'P2'!$P$13</f>
        <v>Select the primary KPI (Jonas Library)</v>
      </c>
      <c r="S5" s="66">
        <f>'P2'!$O$15</f>
        <v>0</v>
      </c>
      <c r="T5" s="66">
        <f>'P2'!$O$19</f>
        <v>0</v>
      </c>
      <c r="U5" s="66" t="str">
        <f>'P2'!$X$12</f>
        <v/>
      </c>
      <c r="V5" s="66" t="str">
        <f>'P2'!$Y$13</f>
        <v>Select the primary KPI (Jonas Library)</v>
      </c>
      <c r="W5" s="66">
        <f>'P2'!$X$15</f>
        <v>0</v>
      </c>
      <c r="X5" s="66">
        <f>'P2'!$X$19</f>
        <v>0</v>
      </c>
      <c r="Y5" s="66">
        <f>'P2'!$AV$3</f>
        <v>0</v>
      </c>
      <c r="Z5" s="66" t="str">
        <f ca="1">'P2'!$AO$4</f>
        <v>Not Def</v>
      </c>
      <c r="AA5" s="66">
        <f ca="1">'P2'!$AV$4</f>
        <v>0</v>
      </c>
      <c r="AB5" s="66" t="str">
        <f ca="1">'P2'!$AO$5</f>
        <v>Not Def</v>
      </c>
      <c r="AC5" s="66">
        <f ca="1">'P2'!$AV$5</f>
        <v>0</v>
      </c>
      <c r="AD5" s="66">
        <f ca="1">'P2'!$AV$6</f>
        <v>0</v>
      </c>
      <c r="AE5" s="67" t="str">
        <f>IF('P2'!$AV$10="","",'P2'!$AV$10)</f>
        <v/>
      </c>
      <c r="AF5" s="67" t="str">
        <f>IF('P2'!$AV$11="","",'P2'!$AV$11)</f>
        <v/>
      </c>
      <c r="AG5" s="67" t="str">
        <f>IF('P2'!$AV$12="","",'P2'!$AV$12)</f>
        <v/>
      </c>
      <c r="AH5" s="67" t="str">
        <f>IF('P2'!$AV$13="","",'P2'!$AV$13)</f>
        <v/>
      </c>
      <c r="AI5" s="67" t="str">
        <f>IF('P2'!$AV$14="","",'P2'!$AV$14)</f>
        <v/>
      </c>
      <c r="AJ5" s="67" t="str">
        <f>IF('P2'!$AV$15="","",'P2'!$AV$15)</f>
        <v/>
      </c>
      <c r="AK5" s="67" t="str">
        <f>IF('P2'!$AV$16="","",'P2'!$AV$16)</f>
        <v/>
      </c>
      <c r="AL5" s="67" t="str">
        <f>IF('P2'!$AV$17="","",'P2'!$AV$17)</f>
        <v/>
      </c>
      <c r="AM5" s="67" t="str">
        <f>IF('P2'!$AV$18="","",'P2'!AV$18)</f>
        <v/>
      </c>
      <c r="AN5" s="67" t="str">
        <f>IF('P2'!$AV$19="","",'P2'!$AV$19)</f>
        <v/>
      </c>
      <c r="AO5" s="67" t="str">
        <f>IF('P2'!$AV$20="","",'P2'!$AV$20)</f>
        <v/>
      </c>
      <c r="AP5" s="67" t="str">
        <f>IF('P2'!$AV$21="","",'P2'!$AV$21)</f>
        <v/>
      </c>
      <c r="AQ5" s="67" t="str">
        <f>IF('P2'!$AY$10="","",'P2'!$AY$10)</f>
        <v/>
      </c>
      <c r="AR5" s="67" t="str">
        <f>IF('P2'!$AY$11="","",'P2'!$AY$11)</f>
        <v/>
      </c>
      <c r="AS5" s="67" t="str">
        <f>IF('P2'!$AY$12="","",'P2'!$AY$12)</f>
        <v/>
      </c>
      <c r="AT5" s="67" t="str">
        <f>IF('P2'!$AY$13="","",'P2'!$AY$13)</f>
        <v/>
      </c>
      <c r="AU5" s="67" t="str">
        <f>IF('P2'!$AY$14="","",'P2'!$AY$14)</f>
        <v/>
      </c>
      <c r="AV5" s="67" t="str">
        <f>IF('P2'!$AY$15="","",'P2'!$AY$15)</f>
        <v/>
      </c>
      <c r="AW5" s="67" t="str">
        <f>IF('P2'!$AY$16="","",'P2'!$AY$16)</f>
        <v/>
      </c>
      <c r="AX5" s="67" t="str">
        <f>IF('P2'!$AY$17="","",'P2'!$AY$17)</f>
        <v/>
      </c>
      <c r="AY5" s="67" t="str">
        <f>IF('P2'!$AY$18="","",'P2'!$AY$18)</f>
        <v/>
      </c>
      <c r="AZ5" s="67" t="str">
        <f>IF('P2'!$AY$19="","",'P2'!$AY$19)</f>
        <v/>
      </c>
      <c r="BA5" s="67" t="str">
        <f>IF('P2'!$AY$20="","",'P2'!$AY$20)</f>
        <v/>
      </c>
      <c r="BB5" s="67" t="str">
        <f>IF('P2'!$AY$21="","",'P2'!$AY$21)</f>
        <v/>
      </c>
      <c r="BC5" s="66">
        <f>'P2'!F$25</f>
        <v>0</v>
      </c>
      <c r="BD5" s="66">
        <f>'P2'!G$25</f>
        <v>0</v>
      </c>
      <c r="BE5" s="66">
        <f>'P2'!H$25</f>
        <v>0</v>
      </c>
      <c r="BF5" s="66">
        <f>'P2'!I$25</f>
        <v>0</v>
      </c>
      <c r="BG5" s="66">
        <f>'P2'!J$25</f>
        <v>0</v>
      </c>
      <c r="BH5" s="66">
        <f>'P2'!K$25</f>
        <v>0</v>
      </c>
      <c r="BI5" s="66">
        <f>'P2'!L$25</f>
        <v>0</v>
      </c>
      <c r="BJ5" s="66">
        <f>'P2'!M$25</f>
        <v>0</v>
      </c>
      <c r="BK5" s="66">
        <f>'P2'!N$25</f>
        <v>0</v>
      </c>
      <c r="BL5" s="66">
        <f>'P2'!O$25</f>
        <v>0</v>
      </c>
      <c r="BM5" s="66">
        <f>'P2'!P$25</f>
        <v>0</v>
      </c>
      <c r="BN5" s="66">
        <f>'P2'!Q$25</f>
        <v>0</v>
      </c>
      <c r="BO5" s="66">
        <f>'P2'!R$25</f>
        <v>0</v>
      </c>
      <c r="BP5" s="66">
        <f>'P2'!S$25</f>
        <v>0</v>
      </c>
      <c r="BQ5" s="66">
        <f>'P2'!T$25</f>
        <v>0</v>
      </c>
      <c r="BR5" s="66">
        <f>'P2'!U$25</f>
        <v>0</v>
      </c>
      <c r="BS5" s="66">
        <f>'P2'!V$25</f>
        <v>0</v>
      </c>
      <c r="BT5" s="66">
        <f>'P2'!W$25</f>
        <v>0</v>
      </c>
      <c r="BU5" s="66">
        <f>'P2'!X$25</f>
        <v>0</v>
      </c>
      <c r="BV5" s="66">
        <f>'P2'!Y$25</f>
        <v>0</v>
      </c>
      <c r="BW5" s="66">
        <f>'P2'!Z$25</f>
        <v>0</v>
      </c>
      <c r="BX5" s="66">
        <f>'P2'!AA$25</f>
        <v>0</v>
      </c>
      <c r="BY5" s="66">
        <f>'P2'!AB$25</f>
        <v>0</v>
      </c>
      <c r="BZ5" s="66">
        <f>'P2'!AC$25</f>
        <v>0</v>
      </c>
      <c r="CA5" s="66">
        <f>'P2'!AD$25</f>
        <v>0</v>
      </c>
      <c r="CB5" s="66">
        <f>'P2'!AE$25</f>
        <v>0</v>
      </c>
      <c r="CC5" s="66">
        <f>'P2'!AF$25</f>
        <v>0</v>
      </c>
      <c r="CD5" s="66">
        <f>'P2'!AG$25</f>
        <v>0</v>
      </c>
      <c r="CE5" s="66">
        <f>'P2'!AH$25</f>
        <v>0</v>
      </c>
      <c r="CF5" s="66">
        <f>'P2'!AI$25</f>
        <v>0</v>
      </c>
      <c r="CG5" s="66">
        <f>'P2'!AJ$25</f>
        <v>0</v>
      </c>
      <c r="CH5" s="66">
        <f>'P2'!AK$25</f>
        <v>0</v>
      </c>
      <c r="CI5" s="66">
        <f>'P2'!AL$25</f>
        <v>0</v>
      </c>
      <c r="CJ5" s="66">
        <f>'P2'!AM$25</f>
        <v>0</v>
      </c>
      <c r="CK5" s="66">
        <f>'P2'!AN$25</f>
        <v>0</v>
      </c>
      <c r="CL5" s="66">
        <f>'P2'!AO$25</f>
        <v>0</v>
      </c>
      <c r="CM5" s="66">
        <f>'P2'!AP$25</f>
        <v>0</v>
      </c>
      <c r="CN5" s="66">
        <f>'P2'!AQ$25</f>
        <v>0</v>
      </c>
      <c r="CO5" s="66">
        <f>'P2'!AR$25</f>
        <v>0</v>
      </c>
      <c r="CP5" s="66">
        <f>'P2'!AS$25</f>
        <v>0</v>
      </c>
      <c r="CQ5" s="66">
        <f>'P2'!AT$25</f>
        <v>0</v>
      </c>
      <c r="CR5" s="66">
        <f>'P2'!AU$25</f>
        <v>0</v>
      </c>
      <c r="CS5" s="66">
        <f>'P2'!AV$25</f>
        <v>0</v>
      </c>
      <c r="CT5" s="66">
        <f>'P2'!AW$25</f>
        <v>0</v>
      </c>
      <c r="CU5" s="66">
        <f>'P2'!AX$25</f>
        <v>0</v>
      </c>
      <c r="CV5" s="66">
        <f>'P2'!AY$25</f>
        <v>0</v>
      </c>
      <c r="CW5" s="66">
        <f>'P2'!AZ$25</f>
        <v>0</v>
      </c>
      <c r="CX5" s="66">
        <f>'P2'!BA$25</f>
        <v>0</v>
      </c>
      <c r="CY5" s="66">
        <f>'P2'!BB$25</f>
        <v>0</v>
      </c>
      <c r="CZ5" s="66">
        <f>'P2'!BC$25</f>
        <v>0</v>
      </c>
      <c r="DA5" s="66">
        <f>'P2'!BD$25</f>
        <v>0</v>
      </c>
      <c r="DB5" s="66">
        <f>'P2'!BE$25</f>
        <v>0</v>
      </c>
      <c r="DC5" s="66">
        <f>'P2'!F$26</f>
        <v>0</v>
      </c>
      <c r="DD5" s="66">
        <f>'P2'!G$26</f>
        <v>0</v>
      </c>
      <c r="DE5" s="66">
        <f>'P2'!H$26</f>
        <v>0</v>
      </c>
      <c r="DF5" s="66">
        <f>'P2'!I$26</f>
        <v>0</v>
      </c>
      <c r="DG5" s="66">
        <f>'P2'!J$26</f>
        <v>0</v>
      </c>
      <c r="DH5" s="66">
        <f>'P2'!K$26</f>
        <v>0</v>
      </c>
      <c r="DI5" s="66">
        <f>'P2'!L$26</f>
        <v>0</v>
      </c>
      <c r="DJ5" s="66">
        <f>'P2'!M$26</f>
        <v>0</v>
      </c>
      <c r="DK5" s="66">
        <f>'P2'!N$26</f>
        <v>0</v>
      </c>
      <c r="DL5" s="66">
        <f>'P2'!O$26</f>
        <v>0</v>
      </c>
      <c r="DM5" s="66">
        <f>'P2'!P$26</f>
        <v>0</v>
      </c>
      <c r="DN5" s="66">
        <f>'P2'!Q$26</f>
        <v>0</v>
      </c>
      <c r="DO5" s="66">
        <f>'P2'!R$26</f>
        <v>0</v>
      </c>
      <c r="DP5" s="66">
        <f>'P2'!S$26</f>
        <v>0</v>
      </c>
      <c r="DQ5" s="66">
        <f>'P2'!T$26</f>
        <v>0</v>
      </c>
      <c r="DR5" s="66">
        <f>'P2'!U$26</f>
        <v>0</v>
      </c>
      <c r="DS5" s="66">
        <f>'P2'!V$26</f>
        <v>0</v>
      </c>
      <c r="DT5" s="66">
        <f>'P2'!W$26</f>
        <v>0</v>
      </c>
      <c r="DU5" s="66">
        <f>'P2'!X$26</f>
        <v>0</v>
      </c>
      <c r="DV5" s="66">
        <f>'P2'!Y$26</f>
        <v>0</v>
      </c>
      <c r="DW5" s="66">
        <f>'P2'!Z$26</f>
        <v>0</v>
      </c>
      <c r="DX5" s="66">
        <f>'P2'!AA$26</f>
        <v>0</v>
      </c>
      <c r="DY5" s="66">
        <f>'P2'!AB$26</f>
        <v>0</v>
      </c>
      <c r="DZ5" s="66">
        <f>'P2'!AC$26</f>
        <v>0</v>
      </c>
      <c r="EA5" s="66">
        <f>'P2'!AD$26</f>
        <v>0</v>
      </c>
      <c r="EB5" s="66">
        <f>'P2'!AE$26</f>
        <v>0</v>
      </c>
      <c r="EC5" s="66">
        <f>'P2'!AF$26</f>
        <v>0</v>
      </c>
      <c r="ED5" s="66">
        <f>'P2'!AG$26</f>
        <v>0</v>
      </c>
      <c r="EE5" s="66">
        <f>'P2'!AH$26</f>
        <v>0</v>
      </c>
      <c r="EF5" s="66">
        <f>'P2'!AI$26</f>
        <v>0</v>
      </c>
      <c r="EG5" s="66">
        <f>'P2'!AJ$26</f>
        <v>0</v>
      </c>
      <c r="EH5" s="66">
        <f>'P2'!AK$26</f>
        <v>0</v>
      </c>
      <c r="EI5" s="66">
        <f>'P2'!AL$26</f>
        <v>0</v>
      </c>
      <c r="EJ5" s="66">
        <f>'P2'!AM$26</f>
        <v>0</v>
      </c>
      <c r="EK5" s="66">
        <f>'P2'!AN$26</f>
        <v>0</v>
      </c>
      <c r="EL5" s="66">
        <f>'P2'!AO$26</f>
        <v>0</v>
      </c>
      <c r="EM5" s="66">
        <f>'P2'!AP$26</f>
        <v>0</v>
      </c>
      <c r="EN5" s="66">
        <f>'P2'!AQ$26</f>
        <v>0</v>
      </c>
      <c r="EO5" s="66">
        <f>'P2'!AR$26</f>
        <v>0</v>
      </c>
      <c r="EP5" s="66">
        <f>'P2'!AS$26</f>
        <v>0</v>
      </c>
      <c r="EQ5" s="66">
        <f>'P2'!AT$26</f>
        <v>0</v>
      </c>
      <c r="ER5" s="66">
        <f>'P2'!AU$26</f>
        <v>0</v>
      </c>
      <c r="ES5" s="66">
        <f>'P2'!AV$26</f>
        <v>0</v>
      </c>
      <c r="ET5" s="66">
        <f>'P2'!AW$26</f>
        <v>0</v>
      </c>
      <c r="EU5" s="66">
        <f>'P2'!AX$26</f>
        <v>0</v>
      </c>
      <c r="EV5" s="66">
        <f>'P2'!AY$26</f>
        <v>0</v>
      </c>
      <c r="EW5" s="66">
        <f>'P2'!AZ$26</f>
        <v>0</v>
      </c>
      <c r="EX5" s="66">
        <f>'P2'!BA$26</f>
        <v>0</v>
      </c>
      <c r="EY5" s="66">
        <f>'P2'!BB$26</f>
        <v>0</v>
      </c>
      <c r="EZ5" s="66">
        <f>'P2'!BC$26</f>
        <v>0</v>
      </c>
      <c r="FA5" s="66">
        <f>'P2'!BD$26</f>
        <v>0</v>
      </c>
      <c r="FB5" s="66">
        <f>'P2'!BE$26</f>
        <v>0</v>
      </c>
      <c r="FC5" s="66">
        <f>'P2'!F$27</f>
        <v>0</v>
      </c>
      <c r="FD5" s="66">
        <f>'P2'!G$27</f>
        <v>0</v>
      </c>
      <c r="FE5" s="66">
        <f>'P2'!H$27</f>
        <v>0</v>
      </c>
      <c r="FF5" s="66">
        <f>'P2'!I$27</f>
        <v>0</v>
      </c>
      <c r="FG5" s="66">
        <f>'P2'!J$27</f>
        <v>0</v>
      </c>
      <c r="FH5" s="66">
        <f>'P2'!K$27</f>
        <v>0</v>
      </c>
      <c r="FI5" s="66">
        <f>'P2'!L$27</f>
        <v>0</v>
      </c>
      <c r="FJ5" s="66">
        <f>'P2'!M$27</f>
        <v>0</v>
      </c>
      <c r="FK5" s="66">
        <f>'P2'!N$27</f>
        <v>0</v>
      </c>
      <c r="FL5" s="66">
        <f>'P2'!O$27</f>
        <v>0</v>
      </c>
      <c r="FM5" s="66">
        <f>'P2'!P$27</f>
        <v>0</v>
      </c>
      <c r="FN5" s="66">
        <f>'P2'!Q$27</f>
        <v>0</v>
      </c>
      <c r="FO5" s="66">
        <f>'P2'!R$27</f>
        <v>0</v>
      </c>
      <c r="FP5" s="66">
        <f>'P2'!S$27</f>
        <v>0</v>
      </c>
      <c r="FQ5" s="66">
        <f>'P2'!T$27</f>
        <v>0</v>
      </c>
      <c r="FR5" s="66">
        <f>'P2'!U$27</f>
        <v>0</v>
      </c>
      <c r="FS5" s="66">
        <f>'P2'!V$27</f>
        <v>0</v>
      </c>
      <c r="FT5" s="66">
        <f>'P2'!W$27</f>
        <v>0</v>
      </c>
      <c r="FU5" s="66">
        <f>'P2'!X$27</f>
        <v>0</v>
      </c>
      <c r="FV5" s="66">
        <f>'P2'!Y$27</f>
        <v>0</v>
      </c>
      <c r="FW5" s="66">
        <f>'P2'!Z$27</f>
        <v>0</v>
      </c>
      <c r="FX5" s="66">
        <f>'P2'!AA$27</f>
        <v>0</v>
      </c>
      <c r="FY5" s="66">
        <f>'P2'!AB$27</f>
        <v>0</v>
      </c>
      <c r="FZ5" s="66">
        <f>'P2'!AC$27</f>
        <v>0</v>
      </c>
      <c r="GA5" s="66">
        <f>'P2'!AD$27</f>
        <v>0</v>
      </c>
      <c r="GB5" s="66">
        <f>'P2'!AE$27</f>
        <v>0</v>
      </c>
      <c r="GC5" s="66">
        <f>'P2'!AF$27</f>
        <v>0</v>
      </c>
      <c r="GD5" s="66">
        <f>'P2'!AG$27</f>
        <v>0</v>
      </c>
      <c r="GE5" s="66">
        <f>'P2'!AH$27</f>
        <v>0</v>
      </c>
      <c r="GF5" s="66">
        <f>'P2'!AI$27</f>
        <v>0</v>
      </c>
      <c r="GG5" s="66">
        <f>'P2'!AJ$27</f>
        <v>0</v>
      </c>
      <c r="GH5" s="66">
        <f>'P2'!AK$27</f>
        <v>0</v>
      </c>
      <c r="GI5" s="66">
        <f>'P2'!AL$27</f>
        <v>0</v>
      </c>
      <c r="GJ5" s="66">
        <f>'P2'!AM$27</f>
        <v>0</v>
      </c>
      <c r="GK5" s="66">
        <f>'P2'!AN$27</f>
        <v>0</v>
      </c>
      <c r="GL5" s="66">
        <f>'P2'!AO$27</f>
        <v>0</v>
      </c>
      <c r="GM5" s="66">
        <f>'P2'!AP$27</f>
        <v>0</v>
      </c>
      <c r="GN5" s="66">
        <f>'P2'!AQ$27</f>
        <v>0</v>
      </c>
      <c r="GO5" s="66">
        <f>'P2'!AR$27</f>
        <v>0</v>
      </c>
      <c r="GP5" s="66">
        <f>'P2'!AS$27</f>
        <v>0</v>
      </c>
      <c r="GQ5" s="66">
        <f>'P2'!AT$27</f>
        <v>0</v>
      </c>
      <c r="GR5" s="66">
        <f>'P2'!AU$27</f>
        <v>0</v>
      </c>
      <c r="GS5" s="66">
        <f>'P2'!AV$27</f>
        <v>0</v>
      </c>
      <c r="GT5" s="66">
        <f>'P2'!AW$27</f>
        <v>0</v>
      </c>
      <c r="GU5" s="66">
        <f>'P2'!AX$27</f>
        <v>0</v>
      </c>
      <c r="GV5" s="66">
        <f>'P2'!AY$27</f>
        <v>0</v>
      </c>
      <c r="GW5" s="66">
        <f>'P2'!AZ$27</f>
        <v>0</v>
      </c>
      <c r="GX5" s="66">
        <f>'P2'!BA$27</f>
        <v>0</v>
      </c>
      <c r="GY5" s="66">
        <f>'P2'!BB$27</f>
        <v>0</v>
      </c>
      <c r="GZ5" s="66">
        <f>'P2'!BC$27</f>
        <v>0</v>
      </c>
      <c r="HA5" s="66">
        <f>'P2'!BD$27</f>
        <v>0</v>
      </c>
      <c r="HB5" s="66">
        <f>'P2'!BE$27</f>
        <v>0</v>
      </c>
      <c r="HC5" s="66">
        <f>'P2'!F$29</f>
        <v>0</v>
      </c>
      <c r="HD5" s="66">
        <f>'P2'!G$29</f>
        <v>0</v>
      </c>
      <c r="HE5" s="66">
        <f>'P2'!H$29</f>
        <v>0</v>
      </c>
      <c r="HF5" s="66">
        <f>'P2'!I$29</f>
        <v>0</v>
      </c>
      <c r="HG5" s="66">
        <f>'P2'!J$29</f>
        <v>0</v>
      </c>
      <c r="HH5" s="66">
        <f>'P2'!K$29</f>
        <v>0</v>
      </c>
      <c r="HI5" s="66">
        <f>'P2'!L$29</f>
        <v>0</v>
      </c>
      <c r="HJ5" s="66">
        <f>'P2'!M$29</f>
        <v>0</v>
      </c>
      <c r="HK5" s="66">
        <f>'P2'!N$29</f>
        <v>0</v>
      </c>
      <c r="HL5" s="66">
        <f>'P2'!O$29</f>
        <v>0</v>
      </c>
      <c r="HM5" s="66">
        <f>'P2'!P$29</f>
        <v>0</v>
      </c>
      <c r="HN5" s="66">
        <f>'P2'!Q$29</f>
        <v>0</v>
      </c>
      <c r="HO5" s="66">
        <f>'P2'!R$29</f>
        <v>0</v>
      </c>
      <c r="HP5" s="66">
        <f>'P2'!S$29</f>
        <v>0</v>
      </c>
      <c r="HQ5" s="66">
        <f>'P2'!T$29</f>
        <v>0</v>
      </c>
      <c r="HR5" s="66">
        <f>'P2'!U$29</f>
        <v>0</v>
      </c>
      <c r="HS5" s="66">
        <f>'P2'!V$29</f>
        <v>0</v>
      </c>
      <c r="HT5" s="66">
        <f>'P2'!W$29</f>
        <v>0</v>
      </c>
      <c r="HU5" s="66">
        <f>'P2'!X$29</f>
        <v>0</v>
      </c>
      <c r="HV5" s="66">
        <f>'P2'!Y$29</f>
        <v>0</v>
      </c>
      <c r="HW5" s="66">
        <f>'P2'!Z$29</f>
        <v>0</v>
      </c>
      <c r="HX5" s="66">
        <f>'P2'!AA$29</f>
        <v>0</v>
      </c>
      <c r="HY5" s="66">
        <f>'P2'!AB$29</f>
        <v>0</v>
      </c>
      <c r="HZ5" s="66">
        <f>'P2'!AC$29</f>
        <v>0</v>
      </c>
      <c r="IA5" s="66">
        <f>'P2'!AD$29</f>
        <v>0</v>
      </c>
      <c r="IB5" s="66">
        <f>'P2'!AE$29</f>
        <v>0</v>
      </c>
      <c r="IC5" s="66">
        <f>'P2'!AF$29</f>
        <v>0</v>
      </c>
      <c r="ID5" s="66">
        <f>'P2'!AG$29</f>
        <v>0</v>
      </c>
      <c r="IE5" s="66">
        <f>'P2'!AH$29</f>
        <v>0</v>
      </c>
      <c r="IF5" s="66">
        <f>'P2'!AI$29</f>
        <v>0</v>
      </c>
      <c r="IG5" s="66">
        <f>'P2'!AJ$29</f>
        <v>0</v>
      </c>
      <c r="IH5" s="66">
        <f>'P2'!AK$29</f>
        <v>0</v>
      </c>
      <c r="II5" s="66">
        <f>'P2'!AL$29</f>
        <v>0</v>
      </c>
      <c r="IJ5" s="66">
        <f>'P2'!AM$29</f>
        <v>0</v>
      </c>
      <c r="IK5" s="66">
        <f>'P2'!AN$29</f>
        <v>0</v>
      </c>
      <c r="IL5" s="66">
        <f>'P2'!AO$29</f>
        <v>0</v>
      </c>
      <c r="IM5" s="66">
        <f>'P2'!AP$29</f>
        <v>0</v>
      </c>
      <c r="IN5" s="66">
        <f>'P2'!AQ$29</f>
        <v>0</v>
      </c>
      <c r="IO5" s="66">
        <f>'P2'!AR$29</f>
        <v>0</v>
      </c>
      <c r="IP5" s="66">
        <f>'P2'!AS$29</f>
        <v>0</v>
      </c>
      <c r="IQ5" s="66">
        <f>'P2'!AT$29</f>
        <v>0</v>
      </c>
      <c r="IR5" s="66">
        <f>'P2'!AU$29</f>
        <v>0</v>
      </c>
      <c r="IS5" s="66">
        <f>'P2'!AV$29</f>
        <v>0</v>
      </c>
      <c r="IT5" s="66">
        <f>'P2'!AW$29</f>
        <v>0</v>
      </c>
      <c r="IU5" s="66">
        <f>'P2'!AX$29</f>
        <v>0</v>
      </c>
      <c r="IV5" s="66">
        <f>'P2'!AY$29</f>
        <v>0</v>
      </c>
      <c r="IW5" s="66">
        <f>'P2'!AZ$29</f>
        <v>0</v>
      </c>
      <c r="IX5" s="66">
        <f>'P2'!BA$29</f>
        <v>0</v>
      </c>
      <c r="IY5" s="66">
        <f>'P2'!BB$29</f>
        <v>0</v>
      </c>
      <c r="IZ5" s="66">
        <f>'P2'!BC$29</f>
        <v>0</v>
      </c>
      <c r="JA5" s="66">
        <f>'P2'!BD$29</f>
        <v>0</v>
      </c>
      <c r="JB5" s="66">
        <f>'P2'!BE$29</f>
        <v>0</v>
      </c>
      <c r="JC5" s="66">
        <f>'P2'!F$30</f>
        <v>0</v>
      </c>
      <c r="JD5" s="66">
        <f>'P2'!G$30</f>
        <v>0</v>
      </c>
      <c r="JE5" s="66">
        <f>'P2'!H$30</f>
        <v>0</v>
      </c>
      <c r="JF5" s="66">
        <f>'P2'!I$30</f>
        <v>0</v>
      </c>
      <c r="JG5" s="66">
        <f>'P2'!J$30</f>
        <v>0</v>
      </c>
      <c r="JH5" s="66">
        <f>'P2'!K$30</f>
        <v>0</v>
      </c>
      <c r="JI5" s="66">
        <f>'P2'!L$30</f>
        <v>0</v>
      </c>
      <c r="JJ5" s="66">
        <f>'P2'!M$30</f>
        <v>0</v>
      </c>
      <c r="JK5" s="66">
        <f>'P2'!N$30</f>
        <v>0</v>
      </c>
      <c r="JL5" s="66">
        <f>'P2'!O$30</f>
        <v>0</v>
      </c>
      <c r="JM5" s="66">
        <f>'P2'!P$30</f>
        <v>0</v>
      </c>
      <c r="JN5" s="66">
        <f>'P2'!Q$30</f>
        <v>0</v>
      </c>
      <c r="JO5" s="66">
        <f>'P2'!R$30</f>
        <v>0</v>
      </c>
      <c r="JP5" s="66">
        <f>'P2'!S$30</f>
        <v>0</v>
      </c>
      <c r="JQ5" s="66">
        <f>'P2'!T$30</f>
        <v>0</v>
      </c>
      <c r="JR5" s="66">
        <f>'P2'!U$30</f>
        <v>0</v>
      </c>
      <c r="JS5" s="66">
        <f>'P2'!V$30</f>
        <v>0</v>
      </c>
      <c r="JT5" s="66">
        <f>'P2'!W$30</f>
        <v>0</v>
      </c>
      <c r="JU5" s="66">
        <f>'P2'!X$30</f>
        <v>0</v>
      </c>
      <c r="JV5" s="66">
        <f>'P2'!Y$30</f>
        <v>0</v>
      </c>
      <c r="JW5" s="66">
        <f>'P2'!Z$30</f>
        <v>0</v>
      </c>
      <c r="JX5" s="66">
        <f>'P2'!AA$30</f>
        <v>0</v>
      </c>
      <c r="JY5" s="66">
        <f>'P2'!AB$30</f>
        <v>0</v>
      </c>
      <c r="JZ5" s="66">
        <f>'P2'!AC$30</f>
        <v>0</v>
      </c>
      <c r="KA5" s="66">
        <f>'P2'!AD$30</f>
        <v>0</v>
      </c>
      <c r="KB5" s="66">
        <f>'P2'!AE$30</f>
        <v>0</v>
      </c>
      <c r="KC5" s="66">
        <f>'P2'!AF$30</f>
        <v>0</v>
      </c>
      <c r="KD5" s="66">
        <f>'P2'!AG$30</f>
        <v>0</v>
      </c>
      <c r="KE5" s="66">
        <f>'P2'!AH$30</f>
        <v>0</v>
      </c>
      <c r="KF5" s="66">
        <f>'P2'!AI$30</f>
        <v>0</v>
      </c>
      <c r="KG5" s="66">
        <f>'P2'!AJ$30</f>
        <v>0</v>
      </c>
      <c r="KH5" s="66">
        <f>'P2'!AK$30</f>
        <v>0</v>
      </c>
      <c r="KI5" s="66">
        <f>'P2'!AL$30</f>
        <v>0</v>
      </c>
      <c r="KJ5" s="66">
        <f>'P2'!AM$30</f>
        <v>0</v>
      </c>
      <c r="KK5" s="66">
        <f>'P2'!AN$30</f>
        <v>0</v>
      </c>
      <c r="KL5" s="66">
        <f>'P2'!AO$30</f>
        <v>0</v>
      </c>
      <c r="KM5" s="66">
        <f>'P2'!AP$30</f>
        <v>0</v>
      </c>
      <c r="KN5" s="66">
        <f>'P2'!AQ$30</f>
        <v>0</v>
      </c>
      <c r="KO5" s="66">
        <f>'P2'!AR$30</f>
        <v>0</v>
      </c>
      <c r="KP5" s="66">
        <f>'P2'!AS$30</f>
        <v>0</v>
      </c>
      <c r="KQ5" s="66">
        <f>'P2'!AT$30</f>
        <v>0</v>
      </c>
      <c r="KR5" s="66">
        <f>'P2'!AU$30</f>
        <v>0</v>
      </c>
      <c r="KS5" s="66">
        <f>'P2'!AV$30</f>
        <v>0</v>
      </c>
      <c r="KT5" s="66">
        <f>'P2'!AW$30</f>
        <v>0</v>
      </c>
      <c r="KU5" s="66">
        <f>'P2'!AX$30</f>
        <v>0</v>
      </c>
      <c r="KV5" s="66">
        <f>'P2'!AY$30</f>
        <v>0</v>
      </c>
      <c r="KW5" s="66">
        <f>'P2'!AZ$30</f>
        <v>0</v>
      </c>
      <c r="KX5" s="66">
        <f>'P2'!BA$30</f>
        <v>0</v>
      </c>
      <c r="KY5" s="66">
        <f>'P2'!BB$30</f>
        <v>0</v>
      </c>
      <c r="KZ5" s="66">
        <f>'P2'!BC$30</f>
        <v>0</v>
      </c>
      <c r="LA5" s="66">
        <f>'P2'!BD$30</f>
        <v>0</v>
      </c>
      <c r="LB5" s="66">
        <f>'P2'!BE$30</f>
        <v>0</v>
      </c>
      <c r="LC5" s="66">
        <f>'P2'!F$31</f>
        <v>0</v>
      </c>
      <c r="LD5" s="66">
        <f>'P2'!G$31</f>
        <v>0</v>
      </c>
      <c r="LE5" s="66">
        <f>'P2'!H$31</f>
        <v>0</v>
      </c>
      <c r="LF5" s="66">
        <f>'P2'!I$31</f>
        <v>0</v>
      </c>
      <c r="LG5" s="66">
        <f>'P2'!J$31</f>
        <v>0</v>
      </c>
      <c r="LH5" s="66">
        <f>'P2'!K$31</f>
        <v>0</v>
      </c>
      <c r="LI5" s="66">
        <f>'P2'!L$31</f>
        <v>0</v>
      </c>
      <c r="LJ5" s="66">
        <f>'P2'!M$31</f>
        <v>0</v>
      </c>
      <c r="LK5" s="66">
        <f>'P2'!N$31</f>
        <v>0</v>
      </c>
      <c r="LL5" s="66">
        <f>'P2'!O$31</f>
        <v>0</v>
      </c>
      <c r="LM5" s="66">
        <f>'P2'!P$31</f>
        <v>0</v>
      </c>
      <c r="LN5" s="66">
        <f>'P2'!Q$31</f>
        <v>0</v>
      </c>
      <c r="LO5" s="66">
        <f>'P2'!R$31</f>
        <v>0</v>
      </c>
      <c r="LP5" s="66">
        <f>'P2'!S$31</f>
        <v>0</v>
      </c>
      <c r="LQ5" s="66">
        <f>'P2'!T$31</f>
        <v>0</v>
      </c>
      <c r="LR5" s="66">
        <f>'P2'!U$31</f>
        <v>0</v>
      </c>
      <c r="LS5" s="66">
        <f>'P2'!V$31</f>
        <v>0</v>
      </c>
      <c r="LT5" s="66">
        <f>'P2'!W$31</f>
        <v>0</v>
      </c>
      <c r="LU5" s="66">
        <f>'P2'!X$31</f>
        <v>0</v>
      </c>
      <c r="LV5" s="66">
        <f>'P2'!Y$31</f>
        <v>0</v>
      </c>
      <c r="LW5" s="66">
        <f>'P2'!Z$31</f>
        <v>0</v>
      </c>
      <c r="LX5" s="66">
        <f>'P2'!AA$31</f>
        <v>0</v>
      </c>
      <c r="LY5" s="66">
        <f>'P2'!AB$31</f>
        <v>0</v>
      </c>
      <c r="LZ5" s="66">
        <f>'P2'!AC$31</f>
        <v>0</v>
      </c>
      <c r="MA5" s="66">
        <f>'P2'!AD$31</f>
        <v>0</v>
      </c>
      <c r="MB5" s="66">
        <f>'P2'!AE$31</f>
        <v>0</v>
      </c>
      <c r="MC5" s="66">
        <f>'P2'!AF$31</f>
        <v>0</v>
      </c>
      <c r="MD5" s="66">
        <f>'P2'!AG$31</f>
        <v>0</v>
      </c>
      <c r="ME5" s="66">
        <f>'P2'!AH$31</f>
        <v>0</v>
      </c>
      <c r="MF5" s="66">
        <f>'P2'!AI$31</f>
        <v>0</v>
      </c>
      <c r="MG5" s="66">
        <f>'P2'!AJ$31</f>
        <v>0</v>
      </c>
      <c r="MH5" s="66">
        <f>'P2'!AK$31</f>
        <v>0</v>
      </c>
      <c r="MI5" s="66">
        <f>'P2'!AL$31</f>
        <v>0</v>
      </c>
      <c r="MJ5" s="66">
        <f>'P2'!AM$31</f>
        <v>0</v>
      </c>
      <c r="MK5" s="66">
        <f>'P2'!AN$31</f>
        <v>0</v>
      </c>
      <c r="ML5" s="66">
        <f>'P2'!AO$31</f>
        <v>0</v>
      </c>
      <c r="MM5" s="66">
        <f>'P2'!AP$31</f>
        <v>0</v>
      </c>
      <c r="MN5" s="66">
        <f>'P2'!AQ$31</f>
        <v>0</v>
      </c>
      <c r="MO5" s="66">
        <f>'P2'!AR$31</f>
        <v>0</v>
      </c>
      <c r="MP5" s="66">
        <f>'P2'!AS$31</f>
        <v>0</v>
      </c>
      <c r="MQ5" s="66">
        <f>'P2'!AT$31</f>
        <v>0</v>
      </c>
      <c r="MR5" s="66">
        <f>'P2'!AU$31</f>
        <v>0</v>
      </c>
      <c r="MS5" s="66">
        <f>'P2'!AV$31</f>
        <v>0</v>
      </c>
      <c r="MT5" s="66">
        <f>'P2'!AW$31</f>
        <v>0</v>
      </c>
      <c r="MU5" s="66">
        <f>'P2'!AX$31</f>
        <v>0</v>
      </c>
      <c r="MV5" s="66">
        <f>'P2'!AY$31</f>
        <v>0</v>
      </c>
      <c r="MW5" s="66">
        <f>'P2'!AZ$31</f>
        <v>0</v>
      </c>
      <c r="MX5" s="66">
        <f>'P2'!BA$31</f>
        <v>0</v>
      </c>
      <c r="MY5" s="66">
        <f>'P2'!BB$31</f>
        <v>0</v>
      </c>
      <c r="MZ5" s="66">
        <f>'P2'!BC$31</f>
        <v>0</v>
      </c>
      <c r="NA5" s="66">
        <f>'P2'!BD$31</f>
        <v>0</v>
      </c>
      <c r="NB5" s="66">
        <f>'P2'!BE$31</f>
        <v>0</v>
      </c>
      <c r="NC5" s="66">
        <f>'P2'!F$33</f>
        <v>0</v>
      </c>
      <c r="ND5" s="66">
        <f>'P2'!G$33</f>
        <v>0</v>
      </c>
      <c r="NE5" s="66">
        <f>'P2'!H$33</f>
        <v>0</v>
      </c>
      <c r="NF5" s="66">
        <f>'P2'!I$33</f>
        <v>0</v>
      </c>
      <c r="NG5" s="66">
        <f>'P2'!J$33</f>
        <v>0</v>
      </c>
      <c r="NH5" s="66">
        <f>'P2'!K$33</f>
        <v>0</v>
      </c>
      <c r="NI5" s="66">
        <f>'P2'!L$33</f>
        <v>0</v>
      </c>
      <c r="NJ5" s="66">
        <f>'P2'!M$33</f>
        <v>0</v>
      </c>
      <c r="NK5" s="66">
        <f>'P2'!N$33</f>
        <v>0</v>
      </c>
      <c r="NL5" s="66">
        <f>'P2'!O$33</f>
        <v>0</v>
      </c>
      <c r="NM5" s="66">
        <f>'P2'!P$33</f>
        <v>0</v>
      </c>
      <c r="NN5" s="66">
        <f>'P2'!Q$33</f>
        <v>0</v>
      </c>
      <c r="NO5" s="66">
        <f>'P2'!R$33</f>
        <v>0</v>
      </c>
      <c r="NP5" s="66">
        <f>'P2'!S$33</f>
        <v>0</v>
      </c>
      <c r="NQ5" s="66">
        <f>'P2'!T$33</f>
        <v>0</v>
      </c>
      <c r="NR5" s="66">
        <f>'P2'!U$33</f>
        <v>0</v>
      </c>
      <c r="NS5" s="66">
        <f>'P2'!V$33</f>
        <v>0</v>
      </c>
      <c r="NT5" s="66">
        <f>'P2'!W$33</f>
        <v>0</v>
      </c>
      <c r="NU5" s="66">
        <f>'P2'!X$33</f>
        <v>0</v>
      </c>
      <c r="NV5" s="66">
        <f>'P2'!Y$33</f>
        <v>0</v>
      </c>
      <c r="NW5" s="66">
        <f>'P2'!Z$33</f>
        <v>0</v>
      </c>
      <c r="NX5" s="66">
        <f>'P2'!AA$33</f>
        <v>0</v>
      </c>
      <c r="NY5" s="66">
        <f>'P2'!AB$33</f>
        <v>0</v>
      </c>
      <c r="NZ5" s="66">
        <f>'P2'!AC$33</f>
        <v>0</v>
      </c>
      <c r="OA5" s="66">
        <f>'P2'!AD$33</f>
        <v>0</v>
      </c>
      <c r="OB5" s="66">
        <f>'P2'!AE$33</f>
        <v>0</v>
      </c>
      <c r="OC5" s="66">
        <f>'P2'!AF$33</f>
        <v>0</v>
      </c>
      <c r="OD5" s="66">
        <f>'P2'!AG$33</f>
        <v>0</v>
      </c>
      <c r="OE5" s="66">
        <f>'P2'!AH$33</f>
        <v>0</v>
      </c>
      <c r="OF5" s="66">
        <f>'P2'!AI$33</f>
        <v>0</v>
      </c>
      <c r="OG5" s="66">
        <f>'P2'!AJ$33</f>
        <v>0</v>
      </c>
      <c r="OH5" s="66">
        <f>'P2'!AK$33</f>
        <v>0</v>
      </c>
      <c r="OI5" s="66">
        <f>'P2'!AL$33</f>
        <v>0</v>
      </c>
      <c r="OJ5" s="66">
        <f>'P2'!AM$33</f>
        <v>0</v>
      </c>
      <c r="OK5" s="66">
        <f>'P2'!AN$33</f>
        <v>0</v>
      </c>
      <c r="OL5" s="66">
        <f>'P2'!AO$33</f>
        <v>0</v>
      </c>
      <c r="OM5" s="66">
        <f>'P2'!AP$33</f>
        <v>0</v>
      </c>
      <c r="ON5" s="66">
        <f>'P2'!AQ$33</f>
        <v>0</v>
      </c>
      <c r="OO5" s="66">
        <f>'P2'!AR$33</f>
        <v>0</v>
      </c>
      <c r="OP5" s="66">
        <f>'P2'!AS$33</f>
        <v>0</v>
      </c>
      <c r="OQ5" s="66">
        <f>'P2'!AT$33</f>
        <v>0</v>
      </c>
      <c r="OR5" s="66">
        <f>'P2'!AU$33</f>
        <v>0</v>
      </c>
      <c r="OS5" s="66">
        <f>'P2'!AV$33</f>
        <v>0</v>
      </c>
      <c r="OT5" s="66">
        <f>'P2'!AW$33</f>
        <v>0</v>
      </c>
      <c r="OU5" s="66">
        <f>'P2'!AX$33</f>
        <v>0</v>
      </c>
      <c r="OV5" s="66">
        <f>'P2'!AY$33</f>
        <v>0</v>
      </c>
      <c r="OW5" s="66">
        <f>'P2'!AZ$33</f>
        <v>0</v>
      </c>
      <c r="OX5" s="66">
        <f>'P2'!BA$33</f>
        <v>0</v>
      </c>
      <c r="OY5" s="66">
        <f>'P2'!BB$33</f>
        <v>0</v>
      </c>
      <c r="OZ5" s="66">
        <f>'P2'!BC$33</f>
        <v>0</v>
      </c>
      <c r="PA5" s="66">
        <f>'P2'!BD$33</f>
        <v>0</v>
      </c>
      <c r="PB5" s="66">
        <f>'P2'!BE$33</f>
        <v>0</v>
      </c>
      <c r="PC5" s="66">
        <f>'P2'!F$34</f>
        <v>0</v>
      </c>
      <c r="PD5" s="66">
        <f>'P2'!G$34</f>
        <v>0</v>
      </c>
      <c r="PE5" s="66">
        <f>'P2'!H$34</f>
        <v>0</v>
      </c>
      <c r="PF5" s="66">
        <f>'P2'!I$34</f>
        <v>0</v>
      </c>
      <c r="PG5" s="66">
        <f>'P2'!J$34</f>
        <v>0</v>
      </c>
      <c r="PH5" s="66">
        <f>'P2'!K$34</f>
        <v>0</v>
      </c>
      <c r="PI5" s="66">
        <f>'P2'!L$34</f>
        <v>0</v>
      </c>
      <c r="PJ5" s="66">
        <f>'P2'!M$34</f>
        <v>0</v>
      </c>
      <c r="PK5" s="66">
        <f>'P2'!N$34</f>
        <v>0</v>
      </c>
      <c r="PL5" s="66">
        <f>'P2'!O$34</f>
        <v>0</v>
      </c>
      <c r="PM5" s="66">
        <f>'P2'!P$34</f>
        <v>0</v>
      </c>
      <c r="PN5" s="66">
        <f>'P2'!Q$34</f>
        <v>0</v>
      </c>
      <c r="PO5" s="66">
        <f>'P2'!R$34</f>
        <v>0</v>
      </c>
      <c r="PP5" s="66">
        <f>'P2'!S$34</f>
        <v>0</v>
      </c>
      <c r="PQ5" s="66">
        <f>'P2'!T$34</f>
        <v>0</v>
      </c>
      <c r="PR5" s="66">
        <f>'P2'!U$34</f>
        <v>0</v>
      </c>
      <c r="PS5" s="66">
        <f>'P2'!V$34</f>
        <v>0</v>
      </c>
      <c r="PT5" s="66">
        <f>'P2'!W$34</f>
        <v>0</v>
      </c>
      <c r="PU5" s="66">
        <f>'P2'!X$34</f>
        <v>0</v>
      </c>
      <c r="PV5" s="66">
        <f>'P2'!Y$34</f>
        <v>0</v>
      </c>
      <c r="PW5" s="66">
        <f>'P2'!Z$34</f>
        <v>0</v>
      </c>
      <c r="PX5" s="66">
        <f>'P2'!AA$34</f>
        <v>0</v>
      </c>
      <c r="PY5" s="66">
        <f>'P2'!AB$34</f>
        <v>0</v>
      </c>
      <c r="PZ5" s="66">
        <f>'P2'!AC$34</f>
        <v>0</v>
      </c>
      <c r="QA5" s="66">
        <f>'P2'!AD$34</f>
        <v>0</v>
      </c>
      <c r="QB5" s="66">
        <f>'P2'!AE$34</f>
        <v>0</v>
      </c>
      <c r="QC5" s="66">
        <f>'P2'!AF$34</f>
        <v>0</v>
      </c>
      <c r="QD5" s="66">
        <f>'P2'!AG$34</f>
        <v>0</v>
      </c>
      <c r="QE5" s="66">
        <f>'P2'!AH$34</f>
        <v>0</v>
      </c>
      <c r="QF5" s="66">
        <f>'P2'!AI$34</f>
        <v>0</v>
      </c>
      <c r="QG5" s="66">
        <f>'P2'!AJ$34</f>
        <v>0</v>
      </c>
      <c r="QH5" s="66">
        <f>'P2'!AK$34</f>
        <v>0</v>
      </c>
      <c r="QI5" s="66">
        <f>'P2'!AL$34</f>
        <v>0</v>
      </c>
      <c r="QJ5" s="66">
        <f>'P2'!AM$34</f>
        <v>0</v>
      </c>
      <c r="QK5" s="66">
        <f>'P2'!AN$34</f>
        <v>0</v>
      </c>
      <c r="QL5" s="66">
        <f>'P2'!AO$34</f>
        <v>0</v>
      </c>
      <c r="QM5" s="66">
        <f>'P2'!AP$34</f>
        <v>0</v>
      </c>
      <c r="QN5" s="66">
        <f>'P2'!AQ$34</f>
        <v>0</v>
      </c>
      <c r="QO5" s="66">
        <f>'P2'!AR$34</f>
        <v>0</v>
      </c>
      <c r="QP5" s="66">
        <f>'P2'!AS$34</f>
        <v>0</v>
      </c>
      <c r="QQ5" s="66">
        <f>'P2'!AT$34</f>
        <v>0</v>
      </c>
      <c r="QR5" s="66">
        <f>'P2'!AU$34</f>
        <v>0</v>
      </c>
      <c r="QS5" s="66">
        <f>'P2'!AV$34</f>
        <v>0</v>
      </c>
      <c r="QT5" s="66">
        <f>'P2'!AW$34</f>
        <v>0</v>
      </c>
      <c r="QU5" s="66">
        <f>'P2'!AX$34</f>
        <v>0</v>
      </c>
      <c r="QV5" s="66">
        <f>'P2'!AY$34</f>
        <v>0</v>
      </c>
      <c r="QW5" s="66">
        <f>'P2'!AZ$34</f>
        <v>0</v>
      </c>
      <c r="QX5" s="66">
        <f>'P2'!BA$34</f>
        <v>0</v>
      </c>
      <c r="QY5" s="66">
        <f>'P2'!BB$34</f>
        <v>0</v>
      </c>
      <c r="QZ5" s="66">
        <f>'P2'!BC$34</f>
        <v>0</v>
      </c>
      <c r="RA5" s="66">
        <f>'P2'!BD$34</f>
        <v>0</v>
      </c>
      <c r="RB5" s="66">
        <f>'P2'!BE$34</f>
        <v>0</v>
      </c>
      <c r="RC5" s="66">
        <f>'P2'!F$35</f>
        <v>0</v>
      </c>
      <c r="RD5" s="66">
        <f>'P2'!G$35</f>
        <v>0</v>
      </c>
      <c r="RE5" s="66">
        <f>'P2'!H$35</f>
        <v>0</v>
      </c>
      <c r="RF5" s="66">
        <f>'P2'!I$35</f>
        <v>0</v>
      </c>
      <c r="RG5" s="66">
        <f>'P2'!J$35</f>
        <v>0</v>
      </c>
      <c r="RH5" s="66">
        <f>'P2'!K$35</f>
        <v>0</v>
      </c>
      <c r="RI5" s="66">
        <f>'P2'!L$35</f>
        <v>0</v>
      </c>
      <c r="RJ5" s="66">
        <f>'P2'!M$35</f>
        <v>0</v>
      </c>
      <c r="RK5" s="66">
        <f>'P2'!N$35</f>
        <v>0</v>
      </c>
      <c r="RL5" s="66">
        <f>'P2'!O$35</f>
        <v>0</v>
      </c>
      <c r="RM5" s="66">
        <f>'P2'!P$35</f>
        <v>0</v>
      </c>
      <c r="RN5" s="66">
        <f>'P2'!Q$35</f>
        <v>0</v>
      </c>
      <c r="RO5" s="66">
        <f>'P2'!R$35</f>
        <v>0</v>
      </c>
      <c r="RP5" s="66">
        <f>'P2'!S$35</f>
        <v>0</v>
      </c>
      <c r="RQ5" s="66">
        <f>'P2'!T$35</f>
        <v>0</v>
      </c>
      <c r="RR5" s="66">
        <f>'P2'!U$35</f>
        <v>0</v>
      </c>
      <c r="RS5" s="66">
        <f>'P2'!V$35</f>
        <v>0</v>
      </c>
      <c r="RT5" s="66">
        <f>'P2'!W$35</f>
        <v>0</v>
      </c>
      <c r="RU5" s="66">
        <f>'P2'!X$35</f>
        <v>0</v>
      </c>
      <c r="RV5" s="66">
        <f>'P2'!Y$35</f>
        <v>0</v>
      </c>
      <c r="RW5" s="66">
        <f>'P2'!Z$35</f>
        <v>0</v>
      </c>
      <c r="RX5" s="66">
        <f>'P2'!AA$35</f>
        <v>0</v>
      </c>
      <c r="RY5" s="66">
        <f>'P2'!AB$35</f>
        <v>0</v>
      </c>
      <c r="RZ5" s="66">
        <f>'P2'!AC$35</f>
        <v>0</v>
      </c>
      <c r="SA5" s="66">
        <f>'P2'!AD$35</f>
        <v>0</v>
      </c>
      <c r="SB5" s="66">
        <f>'P2'!AE$35</f>
        <v>0</v>
      </c>
      <c r="SC5" s="66">
        <f>'P2'!AF$35</f>
        <v>0</v>
      </c>
      <c r="SD5" s="66">
        <f>'P2'!AG$35</f>
        <v>0</v>
      </c>
      <c r="SE5" s="66">
        <f>'P2'!AH$35</f>
        <v>0</v>
      </c>
      <c r="SF5" s="66">
        <f>'P2'!AI$35</f>
        <v>0</v>
      </c>
      <c r="SG5" s="66">
        <f>'P2'!AJ$35</f>
        <v>0</v>
      </c>
      <c r="SH5" s="66">
        <f>'P2'!AK$35</f>
        <v>0</v>
      </c>
      <c r="SI5" s="66">
        <f>'P2'!AL$35</f>
        <v>0</v>
      </c>
      <c r="SJ5" s="66">
        <f>'P2'!AM$35</f>
        <v>0</v>
      </c>
      <c r="SK5" s="66">
        <f>'P2'!AN$35</f>
        <v>0</v>
      </c>
      <c r="SL5" s="66">
        <f>'P2'!AO$35</f>
        <v>0</v>
      </c>
      <c r="SM5" s="66">
        <f>'P2'!AP$35</f>
        <v>0</v>
      </c>
      <c r="SN5" s="66">
        <f>'P2'!AQ$35</f>
        <v>0</v>
      </c>
      <c r="SO5" s="66">
        <f>'P2'!AR$35</f>
        <v>0</v>
      </c>
      <c r="SP5" s="66">
        <f>'P2'!AS$35</f>
        <v>0</v>
      </c>
      <c r="SQ5" s="66">
        <f>'P2'!AT$35</f>
        <v>0</v>
      </c>
      <c r="SR5" s="66">
        <f>'P2'!AU$35</f>
        <v>0</v>
      </c>
      <c r="SS5" s="66">
        <f>'P2'!AV$35</f>
        <v>0</v>
      </c>
      <c r="ST5" s="66">
        <f>'P2'!AW$35</f>
        <v>0</v>
      </c>
      <c r="SU5" s="66">
        <f>'P2'!AX$35</f>
        <v>0</v>
      </c>
      <c r="SV5" s="66">
        <f>'P2'!AY$35</f>
        <v>0</v>
      </c>
      <c r="SW5" s="66">
        <f>'P2'!AZ$35</f>
        <v>0</v>
      </c>
      <c r="SX5" s="66">
        <f>'P2'!BA$35</f>
        <v>0</v>
      </c>
      <c r="SY5" s="66">
        <f>'P2'!BB$35</f>
        <v>0</v>
      </c>
      <c r="SZ5" s="66">
        <f>'P2'!BC$35</f>
        <v>0</v>
      </c>
      <c r="TA5" s="66">
        <f>'P2'!BD$35</f>
        <v>0</v>
      </c>
      <c r="TB5" s="66">
        <f>'P2'!BE$35</f>
        <v>0</v>
      </c>
    </row>
    <row r="6" spans="2:522">
      <c r="B6" s="66">
        <v>3</v>
      </c>
      <c r="C6" s="66">
        <f>'P3'!$F$3</f>
        <v>0</v>
      </c>
      <c r="D6" s="66">
        <f>'P3'!$F$5</f>
        <v>0</v>
      </c>
      <c r="E6" s="66">
        <f>'P3'!$F$7</f>
        <v>0</v>
      </c>
      <c r="F6" s="66" t="str">
        <f>'P3'!$F$8</f>
        <v/>
      </c>
      <c r="G6" s="66">
        <f>'P3'!$B$13</f>
        <v>0</v>
      </c>
      <c r="H6" s="66">
        <f>'P3'!$C$17</f>
        <v>0</v>
      </c>
      <c r="I6" s="66">
        <f>'P3'!$C$18</f>
        <v>0</v>
      </c>
      <c r="J6" s="66">
        <f>'P3'!$C$19</f>
        <v>0</v>
      </c>
      <c r="K6" s="66">
        <f>'P3'!$C$20</f>
        <v>0</v>
      </c>
      <c r="L6" s="66">
        <f>'P3'!$C$21</f>
        <v>0</v>
      </c>
      <c r="M6" s="66" t="str">
        <f>'P3'!$F$12</f>
        <v/>
      </c>
      <c r="N6" s="66" t="str">
        <f>'P3'!$G$13</f>
        <v>Select the primary KPI (Jonas Library)</v>
      </c>
      <c r="O6" s="66">
        <f>'P3'!$F$15</f>
        <v>0</v>
      </c>
      <c r="P6" s="66">
        <f>'P3'!$F$19</f>
        <v>0</v>
      </c>
      <c r="Q6" s="66" t="str">
        <f>'P3'!$O$12</f>
        <v/>
      </c>
      <c r="R6" s="66" t="str">
        <f>'P3'!$P$13</f>
        <v>Select the primary KPI (Jonas Library)</v>
      </c>
      <c r="S6" s="66">
        <f>'P3'!$O$15</f>
        <v>0</v>
      </c>
      <c r="T6" s="66">
        <f>'P3'!$O$19</f>
        <v>0</v>
      </c>
      <c r="U6" s="66" t="str">
        <f>'P3'!$X$12</f>
        <v/>
      </c>
      <c r="V6" s="66" t="str">
        <f>'P3'!$Y$13</f>
        <v>Select the primary KPI (Jonas Library)</v>
      </c>
      <c r="W6" s="66">
        <f>'P3'!$X$15</f>
        <v>0</v>
      </c>
      <c r="X6" s="66">
        <f>'P3'!$X$19</f>
        <v>0</v>
      </c>
      <c r="Y6" s="66">
        <f>'P3'!$AV$3</f>
        <v>0</v>
      </c>
      <c r="Z6" s="66" t="str">
        <f ca="1">'P3'!$AO$4</f>
        <v>Not Def</v>
      </c>
      <c r="AA6" s="66">
        <f ca="1">'P3'!$AV$4</f>
        <v>0</v>
      </c>
      <c r="AB6" s="66" t="str">
        <f ca="1">'P3'!$AO$5</f>
        <v>Not Def</v>
      </c>
      <c r="AC6" s="66">
        <f ca="1">'P3'!$AV$5</f>
        <v>0</v>
      </c>
      <c r="AD6" s="66">
        <f ca="1">'P3'!$AV$6</f>
        <v>0</v>
      </c>
      <c r="AE6" s="67" t="str">
        <f>IF('P3'!$AV$10="","",'P3'!$AV$10)</f>
        <v/>
      </c>
      <c r="AF6" s="67" t="str">
        <f>IF('P3'!$AV$11="","",'P3'!$AV$11)</f>
        <v/>
      </c>
      <c r="AG6" s="67" t="str">
        <f>IF('P3'!$AV$12="","",'P3'!$AV$12)</f>
        <v/>
      </c>
      <c r="AH6" s="67" t="str">
        <f>IF('P3'!$AV$13="","",'P3'!$AV$13)</f>
        <v/>
      </c>
      <c r="AI6" s="67" t="str">
        <f>IF('P3'!$AV$14="","",'P3'!$AV$14)</f>
        <v/>
      </c>
      <c r="AJ6" s="67" t="str">
        <f>IF('P3'!$AV$15="","",'P3'!$AV$15)</f>
        <v/>
      </c>
      <c r="AK6" s="67" t="str">
        <f>IF('P3'!$AV$16="","",'P3'!$AV$16)</f>
        <v/>
      </c>
      <c r="AL6" s="67" t="str">
        <f>IF('P3'!$AV$17="","",'P3'!$AV$17)</f>
        <v/>
      </c>
      <c r="AM6" s="67" t="str">
        <f>IF('P3'!$AV$18="","",'P3'!AV$18)</f>
        <v/>
      </c>
      <c r="AN6" s="67" t="str">
        <f>IF('P3'!$AV$19="","",'P3'!$AV$19)</f>
        <v/>
      </c>
      <c r="AO6" s="67" t="str">
        <f>IF('P3'!$AV$20="","",'P3'!$AV$20)</f>
        <v/>
      </c>
      <c r="AP6" s="67" t="str">
        <f>IF('P3'!$AV$21="","",'P3'!$AV$21)</f>
        <v/>
      </c>
      <c r="AQ6" s="67" t="str">
        <f>IF('P3'!$AY$10="","",'P3'!$AY$10)</f>
        <v/>
      </c>
      <c r="AR6" s="67" t="str">
        <f>IF('P3'!$AY$11="","",'P3'!$AY$11)</f>
        <v/>
      </c>
      <c r="AS6" s="67" t="str">
        <f>IF('P3'!$AY$12="","",'P3'!$AY$12)</f>
        <v/>
      </c>
      <c r="AT6" s="67" t="str">
        <f>IF('P3'!$AY$13="","",'P3'!$AY$13)</f>
        <v/>
      </c>
      <c r="AU6" s="67" t="str">
        <f>IF('P3'!$AY$14="","",'P3'!$AY$14)</f>
        <v/>
      </c>
      <c r="AV6" s="67" t="str">
        <f>IF('P3'!$AY$15="","",'P3'!$AY$15)</f>
        <v/>
      </c>
      <c r="AW6" s="67" t="str">
        <f>IF('P3'!$AY$16="","",'P3'!$AY$16)</f>
        <v/>
      </c>
      <c r="AX6" s="67" t="str">
        <f>IF('P3'!$AY$17="","",'P3'!$AY$17)</f>
        <v/>
      </c>
      <c r="AY6" s="67" t="str">
        <f>IF('P3'!$AY$18="","",'P3'!$AY$18)</f>
        <v/>
      </c>
      <c r="AZ6" s="67" t="str">
        <f>IF('P3'!$AY$19="","",'P3'!$AY$19)</f>
        <v/>
      </c>
      <c r="BA6" s="67" t="str">
        <f>IF('P3'!$AY$20="","",'P3'!$AY$20)</f>
        <v/>
      </c>
      <c r="BB6" s="67" t="str">
        <f>IF('P3'!$AY$21="","",'P3'!$AY$21)</f>
        <v/>
      </c>
      <c r="BC6" s="66">
        <f>'P3'!F$25</f>
        <v>0</v>
      </c>
      <c r="BD6" s="66">
        <f>'P3'!G$25</f>
        <v>0</v>
      </c>
      <c r="BE6" s="66">
        <f>'P3'!H$25</f>
        <v>0</v>
      </c>
      <c r="BF6" s="66">
        <f>'P3'!I$25</f>
        <v>0</v>
      </c>
      <c r="BG6" s="66">
        <f>'P3'!J$25</f>
        <v>0</v>
      </c>
      <c r="BH6" s="66">
        <f>'P3'!K$25</f>
        <v>0</v>
      </c>
      <c r="BI6" s="66">
        <f>'P3'!L$25</f>
        <v>0</v>
      </c>
      <c r="BJ6" s="66">
        <f>'P3'!M$25</f>
        <v>0</v>
      </c>
      <c r="BK6" s="66">
        <f>'P3'!N$25</f>
        <v>0</v>
      </c>
      <c r="BL6" s="66">
        <f>'P3'!O$25</f>
        <v>0</v>
      </c>
      <c r="BM6" s="66">
        <f>'P3'!P$25</f>
        <v>0</v>
      </c>
      <c r="BN6" s="66">
        <f>'P3'!Q$25</f>
        <v>0</v>
      </c>
      <c r="BO6" s="66">
        <f>'P3'!R$25</f>
        <v>0</v>
      </c>
      <c r="BP6" s="66">
        <f>'P3'!S$25</f>
        <v>0</v>
      </c>
      <c r="BQ6" s="66">
        <f>'P3'!T$25</f>
        <v>0</v>
      </c>
      <c r="BR6" s="66">
        <f>'P3'!U$25</f>
        <v>0</v>
      </c>
      <c r="BS6" s="66">
        <f>'P3'!V$25</f>
        <v>0</v>
      </c>
      <c r="BT6" s="66">
        <f>'P3'!W$25</f>
        <v>0</v>
      </c>
      <c r="BU6" s="66">
        <f>'P3'!X$25</f>
        <v>0</v>
      </c>
      <c r="BV6" s="66">
        <f>'P3'!Y$25</f>
        <v>0</v>
      </c>
      <c r="BW6" s="66">
        <f>'P3'!Z$25</f>
        <v>0</v>
      </c>
      <c r="BX6" s="66">
        <f>'P3'!AA$25</f>
        <v>0</v>
      </c>
      <c r="BY6" s="66">
        <f>'P3'!AB$25</f>
        <v>0</v>
      </c>
      <c r="BZ6" s="66">
        <f>'P3'!AC$25</f>
        <v>0</v>
      </c>
      <c r="CA6" s="66">
        <f>'P3'!AD$25</f>
        <v>0</v>
      </c>
      <c r="CB6" s="66">
        <f>'P3'!AE$25</f>
        <v>0</v>
      </c>
      <c r="CC6" s="66">
        <f>'P3'!AF$25</f>
        <v>0</v>
      </c>
      <c r="CD6" s="66">
        <f>'P3'!AG$25</f>
        <v>0</v>
      </c>
      <c r="CE6" s="66">
        <f>'P3'!AH$25</f>
        <v>0</v>
      </c>
      <c r="CF6" s="66">
        <f>'P3'!AI$25</f>
        <v>0</v>
      </c>
      <c r="CG6" s="66">
        <f>'P3'!AJ$25</f>
        <v>0</v>
      </c>
      <c r="CH6" s="66">
        <f>'P3'!AK$25</f>
        <v>0</v>
      </c>
      <c r="CI6" s="66">
        <f>'P3'!AL$25</f>
        <v>0</v>
      </c>
      <c r="CJ6" s="66">
        <f>'P3'!AM$25</f>
        <v>0</v>
      </c>
      <c r="CK6" s="66">
        <f>'P3'!AN$25</f>
        <v>0</v>
      </c>
      <c r="CL6" s="66">
        <f>'P3'!AO$25</f>
        <v>0</v>
      </c>
      <c r="CM6" s="66">
        <f>'P3'!AP$25</f>
        <v>0</v>
      </c>
      <c r="CN6" s="66">
        <f>'P3'!AQ$25</f>
        <v>0</v>
      </c>
      <c r="CO6" s="66">
        <f>'P3'!AR$25</f>
        <v>0</v>
      </c>
      <c r="CP6" s="66">
        <f>'P3'!AS$25</f>
        <v>0</v>
      </c>
      <c r="CQ6" s="66">
        <f>'P3'!AT$25</f>
        <v>0</v>
      </c>
      <c r="CR6" s="66">
        <f>'P3'!AU$25</f>
        <v>0</v>
      </c>
      <c r="CS6" s="66">
        <f>'P3'!AV$25</f>
        <v>0</v>
      </c>
      <c r="CT6" s="66">
        <f>'P3'!AW$25</f>
        <v>0</v>
      </c>
      <c r="CU6" s="66">
        <f>'P3'!AX$25</f>
        <v>0</v>
      </c>
      <c r="CV6" s="66">
        <f>'P3'!AY$25</f>
        <v>0</v>
      </c>
      <c r="CW6" s="66">
        <f>'P3'!AZ$25</f>
        <v>0</v>
      </c>
      <c r="CX6" s="66">
        <f>'P3'!BA$25</f>
        <v>0</v>
      </c>
      <c r="CY6" s="66">
        <f>'P3'!BB$25</f>
        <v>0</v>
      </c>
      <c r="CZ6" s="66">
        <f>'P3'!BC$25</f>
        <v>0</v>
      </c>
      <c r="DA6" s="66">
        <f>'P3'!BD$25</f>
        <v>0</v>
      </c>
      <c r="DB6" s="66">
        <f>'P3'!BE$25</f>
        <v>0</v>
      </c>
      <c r="DC6" s="66">
        <f>'P3'!F$26</f>
        <v>0</v>
      </c>
      <c r="DD6" s="66">
        <f>'P3'!G$26</f>
        <v>0</v>
      </c>
      <c r="DE6" s="66">
        <f>'P3'!H$26</f>
        <v>0</v>
      </c>
      <c r="DF6" s="66">
        <f>'P3'!I$26</f>
        <v>0</v>
      </c>
      <c r="DG6" s="66">
        <f>'P3'!J$26</f>
        <v>0</v>
      </c>
      <c r="DH6" s="66">
        <f>'P3'!K$26</f>
        <v>0</v>
      </c>
      <c r="DI6" s="66">
        <f>'P3'!L$26</f>
        <v>0</v>
      </c>
      <c r="DJ6" s="66">
        <f>'P3'!M$26</f>
        <v>0</v>
      </c>
      <c r="DK6" s="66">
        <f>'P3'!N$26</f>
        <v>0</v>
      </c>
      <c r="DL6" s="66">
        <f>'P3'!O$26</f>
        <v>0</v>
      </c>
      <c r="DM6" s="66">
        <f>'P3'!P$26</f>
        <v>0</v>
      </c>
      <c r="DN6" s="66">
        <f>'P3'!Q$26</f>
        <v>0</v>
      </c>
      <c r="DO6" s="66">
        <f>'P3'!R$26</f>
        <v>0</v>
      </c>
      <c r="DP6" s="66">
        <f>'P3'!S$26</f>
        <v>0</v>
      </c>
      <c r="DQ6" s="66">
        <f>'P3'!T$26</f>
        <v>0</v>
      </c>
      <c r="DR6" s="66">
        <f>'P3'!U$26</f>
        <v>0</v>
      </c>
      <c r="DS6" s="66">
        <f>'P3'!V$26</f>
        <v>0</v>
      </c>
      <c r="DT6" s="66">
        <f>'P3'!W$26</f>
        <v>0</v>
      </c>
      <c r="DU6" s="66">
        <f>'P3'!X$26</f>
        <v>0</v>
      </c>
      <c r="DV6" s="66">
        <f>'P3'!Y$26</f>
        <v>0</v>
      </c>
      <c r="DW6" s="66">
        <f>'P3'!Z$26</f>
        <v>0</v>
      </c>
      <c r="DX6" s="66">
        <f>'P3'!AA$26</f>
        <v>0</v>
      </c>
      <c r="DY6" s="66">
        <f>'P3'!AB$26</f>
        <v>0</v>
      </c>
      <c r="DZ6" s="66">
        <f>'P3'!AC$26</f>
        <v>0</v>
      </c>
      <c r="EA6" s="66">
        <f>'P3'!AD$26</f>
        <v>0</v>
      </c>
      <c r="EB6" s="66">
        <f>'P3'!AE$26</f>
        <v>0</v>
      </c>
      <c r="EC6" s="66">
        <f>'P3'!AF$26</f>
        <v>0</v>
      </c>
      <c r="ED6" s="66">
        <f>'P3'!AG$26</f>
        <v>0</v>
      </c>
      <c r="EE6" s="66">
        <f>'P3'!AH$26</f>
        <v>0</v>
      </c>
      <c r="EF6" s="66">
        <f>'P3'!AI$26</f>
        <v>0</v>
      </c>
      <c r="EG6" s="66">
        <f>'P3'!AJ$26</f>
        <v>0</v>
      </c>
      <c r="EH6" s="66">
        <f>'P3'!AK$26</f>
        <v>0</v>
      </c>
      <c r="EI6" s="66">
        <f>'P3'!AL$26</f>
        <v>0</v>
      </c>
      <c r="EJ6" s="66">
        <f>'P3'!AM$26</f>
        <v>0</v>
      </c>
      <c r="EK6" s="66">
        <f>'P3'!AN$26</f>
        <v>0</v>
      </c>
      <c r="EL6" s="66">
        <f>'P3'!AO$26</f>
        <v>0</v>
      </c>
      <c r="EM6" s="66">
        <f>'P3'!AP$26</f>
        <v>0</v>
      </c>
      <c r="EN6" s="66">
        <f>'P3'!AQ$26</f>
        <v>0</v>
      </c>
      <c r="EO6" s="66">
        <f>'P3'!AR$26</f>
        <v>0</v>
      </c>
      <c r="EP6" s="66">
        <f>'P3'!AS$26</f>
        <v>0</v>
      </c>
      <c r="EQ6" s="66">
        <f>'P3'!AT$26</f>
        <v>0</v>
      </c>
      <c r="ER6" s="66">
        <f>'P3'!AU$26</f>
        <v>0</v>
      </c>
      <c r="ES6" s="66">
        <f>'P3'!AV$26</f>
        <v>0</v>
      </c>
      <c r="ET6" s="66">
        <f>'P3'!AW$26</f>
        <v>0</v>
      </c>
      <c r="EU6" s="66">
        <f>'P3'!AX$26</f>
        <v>0</v>
      </c>
      <c r="EV6" s="66">
        <f>'P3'!AY$26</f>
        <v>0</v>
      </c>
      <c r="EW6" s="66">
        <f>'P3'!AZ$26</f>
        <v>0</v>
      </c>
      <c r="EX6" s="66">
        <f>'P3'!BA$26</f>
        <v>0</v>
      </c>
      <c r="EY6" s="66">
        <f>'P3'!BB$26</f>
        <v>0</v>
      </c>
      <c r="EZ6" s="66">
        <f>'P3'!BC$26</f>
        <v>0</v>
      </c>
      <c r="FA6" s="66">
        <f>'P3'!BD$26</f>
        <v>0</v>
      </c>
      <c r="FB6" s="66">
        <f>'P3'!BE$26</f>
        <v>0</v>
      </c>
      <c r="FC6" s="66">
        <f>'P3'!F$27</f>
        <v>0</v>
      </c>
      <c r="FD6" s="66">
        <f>'P3'!G$27</f>
        <v>0</v>
      </c>
      <c r="FE6" s="66">
        <f>'P3'!H$27</f>
        <v>0</v>
      </c>
      <c r="FF6" s="66">
        <f>'P3'!I$27</f>
        <v>0</v>
      </c>
      <c r="FG6" s="66">
        <f>'P3'!J$27</f>
        <v>0</v>
      </c>
      <c r="FH6" s="66">
        <f>'P3'!K$27</f>
        <v>0</v>
      </c>
      <c r="FI6" s="66">
        <f>'P3'!L$27</f>
        <v>0</v>
      </c>
      <c r="FJ6" s="66">
        <f>'P3'!M$27</f>
        <v>0</v>
      </c>
      <c r="FK6" s="66">
        <f>'P3'!N$27</f>
        <v>0</v>
      </c>
      <c r="FL6" s="66">
        <f>'P3'!O$27</f>
        <v>0</v>
      </c>
      <c r="FM6" s="66">
        <f>'P3'!P$27</f>
        <v>0</v>
      </c>
      <c r="FN6" s="66">
        <f>'P3'!Q$27</f>
        <v>0</v>
      </c>
      <c r="FO6" s="66">
        <f>'P3'!R$27</f>
        <v>0</v>
      </c>
      <c r="FP6" s="66">
        <f>'P3'!S$27</f>
        <v>0</v>
      </c>
      <c r="FQ6" s="66">
        <f>'P3'!T$27</f>
        <v>0</v>
      </c>
      <c r="FR6" s="66">
        <f>'P3'!U$27</f>
        <v>0</v>
      </c>
      <c r="FS6" s="66">
        <f>'P3'!V$27</f>
        <v>0</v>
      </c>
      <c r="FT6" s="66">
        <f>'P3'!W$27</f>
        <v>0</v>
      </c>
      <c r="FU6" s="66">
        <f>'P3'!X$27</f>
        <v>0</v>
      </c>
      <c r="FV6" s="66">
        <f>'P3'!Y$27</f>
        <v>0</v>
      </c>
      <c r="FW6" s="66">
        <f>'P3'!Z$27</f>
        <v>0</v>
      </c>
      <c r="FX6" s="66">
        <f>'P3'!AA$27</f>
        <v>0</v>
      </c>
      <c r="FY6" s="66">
        <f>'P3'!AB$27</f>
        <v>0</v>
      </c>
      <c r="FZ6" s="66">
        <f>'P3'!AC$27</f>
        <v>0</v>
      </c>
      <c r="GA6" s="66">
        <f>'P3'!AD$27</f>
        <v>0</v>
      </c>
      <c r="GB6" s="66">
        <f>'P3'!AE$27</f>
        <v>0</v>
      </c>
      <c r="GC6" s="66">
        <f>'P3'!AF$27</f>
        <v>0</v>
      </c>
      <c r="GD6" s="66">
        <f>'P3'!AG$27</f>
        <v>0</v>
      </c>
      <c r="GE6" s="66">
        <f>'P3'!AH$27</f>
        <v>0</v>
      </c>
      <c r="GF6" s="66">
        <f>'P3'!AI$27</f>
        <v>0</v>
      </c>
      <c r="GG6" s="66">
        <f>'P3'!AJ$27</f>
        <v>0</v>
      </c>
      <c r="GH6" s="66">
        <f>'P3'!AK$27</f>
        <v>0</v>
      </c>
      <c r="GI6" s="66">
        <f>'P3'!AL$27</f>
        <v>0</v>
      </c>
      <c r="GJ6" s="66">
        <f>'P3'!AM$27</f>
        <v>0</v>
      </c>
      <c r="GK6" s="66">
        <f>'P3'!AN$27</f>
        <v>0</v>
      </c>
      <c r="GL6" s="66">
        <f>'P3'!AO$27</f>
        <v>0</v>
      </c>
      <c r="GM6" s="66">
        <f>'P3'!AP$27</f>
        <v>0</v>
      </c>
      <c r="GN6" s="66">
        <f>'P3'!AQ$27</f>
        <v>0</v>
      </c>
      <c r="GO6" s="66">
        <f>'P3'!AR$27</f>
        <v>0</v>
      </c>
      <c r="GP6" s="66">
        <f>'P3'!AS$27</f>
        <v>0</v>
      </c>
      <c r="GQ6" s="66">
        <f>'P3'!AT$27</f>
        <v>0</v>
      </c>
      <c r="GR6" s="66">
        <f>'P3'!AU$27</f>
        <v>0</v>
      </c>
      <c r="GS6" s="66">
        <f>'P3'!AV$27</f>
        <v>0</v>
      </c>
      <c r="GT6" s="66">
        <f>'P3'!AW$27</f>
        <v>0</v>
      </c>
      <c r="GU6" s="66">
        <f>'P3'!AX$27</f>
        <v>0</v>
      </c>
      <c r="GV6" s="66">
        <f>'P3'!AY$27</f>
        <v>0</v>
      </c>
      <c r="GW6" s="66">
        <f>'P3'!AZ$27</f>
        <v>0</v>
      </c>
      <c r="GX6" s="66">
        <f>'P3'!BA$27</f>
        <v>0</v>
      </c>
      <c r="GY6" s="66">
        <f>'P3'!BB$27</f>
        <v>0</v>
      </c>
      <c r="GZ6" s="66">
        <f>'P3'!BC$27</f>
        <v>0</v>
      </c>
      <c r="HA6" s="66">
        <f>'P3'!BD$27</f>
        <v>0</v>
      </c>
      <c r="HB6" s="66">
        <f>'P3'!BE$27</f>
        <v>0</v>
      </c>
      <c r="HC6" s="66">
        <f>'P3'!F$29</f>
        <v>0</v>
      </c>
      <c r="HD6" s="66">
        <f>'P3'!G$29</f>
        <v>0</v>
      </c>
      <c r="HE6" s="66">
        <f>'P3'!H$29</f>
        <v>0</v>
      </c>
      <c r="HF6" s="66">
        <f>'P3'!I$29</f>
        <v>0</v>
      </c>
      <c r="HG6" s="66">
        <f>'P3'!J$29</f>
        <v>0</v>
      </c>
      <c r="HH6" s="66">
        <f>'P3'!K$29</f>
        <v>0</v>
      </c>
      <c r="HI6" s="66">
        <f>'P3'!L$29</f>
        <v>0</v>
      </c>
      <c r="HJ6" s="66">
        <f>'P3'!M$29</f>
        <v>0</v>
      </c>
      <c r="HK6" s="66">
        <f>'P3'!N$29</f>
        <v>0</v>
      </c>
      <c r="HL6" s="66">
        <f>'P3'!O$29</f>
        <v>0</v>
      </c>
      <c r="HM6" s="66">
        <f>'P3'!P$29</f>
        <v>0</v>
      </c>
      <c r="HN6" s="66">
        <f>'P3'!Q$29</f>
        <v>0</v>
      </c>
      <c r="HO6" s="66">
        <f>'P3'!R$29</f>
        <v>0</v>
      </c>
      <c r="HP6" s="66">
        <f>'P3'!S$29</f>
        <v>0</v>
      </c>
      <c r="HQ6" s="66">
        <f>'P3'!T$29</f>
        <v>0</v>
      </c>
      <c r="HR6" s="66">
        <f>'P3'!U$29</f>
        <v>0</v>
      </c>
      <c r="HS6" s="66">
        <f>'P3'!V$29</f>
        <v>0</v>
      </c>
      <c r="HT6" s="66">
        <f>'P3'!W$29</f>
        <v>0</v>
      </c>
      <c r="HU6" s="66">
        <f>'P3'!X$29</f>
        <v>0</v>
      </c>
      <c r="HV6" s="66">
        <f>'P3'!Y$29</f>
        <v>0</v>
      </c>
      <c r="HW6" s="66">
        <f>'P3'!Z$29</f>
        <v>0</v>
      </c>
      <c r="HX6" s="66">
        <f>'P3'!AA$29</f>
        <v>0</v>
      </c>
      <c r="HY6" s="66">
        <f>'P3'!AB$29</f>
        <v>0</v>
      </c>
      <c r="HZ6" s="66">
        <f>'P3'!AC$29</f>
        <v>0</v>
      </c>
      <c r="IA6" s="66">
        <f>'P3'!AD$29</f>
        <v>0</v>
      </c>
      <c r="IB6" s="66">
        <f>'P3'!AE$29</f>
        <v>0</v>
      </c>
      <c r="IC6" s="66">
        <f>'P3'!AF$29</f>
        <v>0</v>
      </c>
      <c r="ID6" s="66">
        <f>'P3'!AG$29</f>
        <v>0</v>
      </c>
      <c r="IE6" s="66">
        <f>'P3'!AH$29</f>
        <v>0</v>
      </c>
      <c r="IF6" s="66">
        <f>'P3'!AI$29</f>
        <v>0</v>
      </c>
      <c r="IG6" s="66">
        <f>'P3'!AJ$29</f>
        <v>0</v>
      </c>
      <c r="IH6" s="66">
        <f>'P3'!AK$29</f>
        <v>0</v>
      </c>
      <c r="II6" s="66">
        <f>'P3'!AL$29</f>
        <v>0</v>
      </c>
      <c r="IJ6" s="66">
        <f>'P3'!AM$29</f>
        <v>0</v>
      </c>
      <c r="IK6" s="66">
        <f>'P3'!AN$29</f>
        <v>0</v>
      </c>
      <c r="IL6" s="66">
        <f>'P3'!AO$29</f>
        <v>0</v>
      </c>
      <c r="IM6" s="66">
        <f>'P3'!AP$29</f>
        <v>0</v>
      </c>
      <c r="IN6" s="66">
        <f>'P3'!AQ$29</f>
        <v>0</v>
      </c>
      <c r="IO6" s="66">
        <f>'P3'!AR$29</f>
        <v>0</v>
      </c>
      <c r="IP6" s="66">
        <f>'P3'!AS$29</f>
        <v>0</v>
      </c>
      <c r="IQ6" s="66">
        <f>'P3'!AT$29</f>
        <v>0</v>
      </c>
      <c r="IR6" s="66">
        <f>'P3'!AU$29</f>
        <v>0</v>
      </c>
      <c r="IS6" s="66">
        <f>'P3'!AV$29</f>
        <v>0</v>
      </c>
      <c r="IT6" s="66">
        <f>'P3'!AW$29</f>
        <v>0</v>
      </c>
      <c r="IU6" s="66">
        <f>'P3'!AX$29</f>
        <v>0</v>
      </c>
      <c r="IV6" s="66">
        <f>'P3'!AY$29</f>
        <v>0</v>
      </c>
      <c r="IW6" s="66">
        <f>'P3'!AZ$29</f>
        <v>0</v>
      </c>
      <c r="IX6" s="66">
        <f>'P3'!BA$29</f>
        <v>0</v>
      </c>
      <c r="IY6" s="66">
        <f>'P3'!BB$29</f>
        <v>0</v>
      </c>
      <c r="IZ6" s="66">
        <f>'P3'!BC$29</f>
        <v>0</v>
      </c>
      <c r="JA6" s="66">
        <f>'P3'!BD$29</f>
        <v>0</v>
      </c>
      <c r="JB6" s="66">
        <f>'P3'!BE$29</f>
        <v>0</v>
      </c>
      <c r="JC6" s="66">
        <f>'P3'!F$30</f>
        <v>0</v>
      </c>
      <c r="JD6" s="66">
        <f>'P3'!G$30</f>
        <v>0</v>
      </c>
      <c r="JE6" s="66">
        <f>'P3'!H$30</f>
        <v>0</v>
      </c>
      <c r="JF6" s="66">
        <f>'P3'!I$30</f>
        <v>0</v>
      </c>
      <c r="JG6" s="66">
        <f>'P3'!J$30</f>
        <v>0</v>
      </c>
      <c r="JH6" s="66">
        <f>'P3'!K$30</f>
        <v>0</v>
      </c>
      <c r="JI6" s="66">
        <f>'P3'!L$30</f>
        <v>0</v>
      </c>
      <c r="JJ6" s="66">
        <f>'P3'!M$30</f>
        <v>0</v>
      </c>
      <c r="JK6" s="66">
        <f>'P3'!N$30</f>
        <v>0</v>
      </c>
      <c r="JL6" s="66">
        <f>'P3'!O$30</f>
        <v>0</v>
      </c>
      <c r="JM6" s="66">
        <f>'P3'!P$30</f>
        <v>0</v>
      </c>
      <c r="JN6" s="66">
        <f>'P3'!Q$30</f>
        <v>0</v>
      </c>
      <c r="JO6" s="66">
        <f>'P3'!R$30</f>
        <v>0</v>
      </c>
      <c r="JP6" s="66">
        <f>'P3'!S$30</f>
        <v>0</v>
      </c>
      <c r="JQ6" s="66">
        <f>'P3'!T$30</f>
        <v>0</v>
      </c>
      <c r="JR6" s="66">
        <f>'P3'!U$30</f>
        <v>0</v>
      </c>
      <c r="JS6" s="66">
        <f>'P3'!V$30</f>
        <v>0</v>
      </c>
      <c r="JT6" s="66">
        <f>'P3'!W$30</f>
        <v>0</v>
      </c>
      <c r="JU6" s="66">
        <f>'P3'!X$30</f>
        <v>0</v>
      </c>
      <c r="JV6" s="66">
        <f>'P3'!Y$30</f>
        <v>0</v>
      </c>
      <c r="JW6" s="66">
        <f>'P3'!Z$30</f>
        <v>0</v>
      </c>
      <c r="JX6" s="66">
        <f>'P3'!AA$30</f>
        <v>0</v>
      </c>
      <c r="JY6" s="66">
        <f>'P3'!AB$30</f>
        <v>0</v>
      </c>
      <c r="JZ6" s="66">
        <f>'P3'!AC$30</f>
        <v>0</v>
      </c>
      <c r="KA6" s="66">
        <f>'P3'!AD$30</f>
        <v>0</v>
      </c>
      <c r="KB6" s="66">
        <f>'P3'!AE$30</f>
        <v>0</v>
      </c>
      <c r="KC6" s="66">
        <f>'P3'!AF$30</f>
        <v>0</v>
      </c>
      <c r="KD6" s="66">
        <f>'P3'!AG$30</f>
        <v>0</v>
      </c>
      <c r="KE6" s="66">
        <f>'P3'!AH$30</f>
        <v>0</v>
      </c>
      <c r="KF6" s="66">
        <f>'P3'!AI$30</f>
        <v>0</v>
      </c>
      <c r="KG6" s="66">
        <f>'P3'!AJ$30</f>
        <v>0</v>
      </c>
      <c r="KH6" s="66">
        <f>'P3'!AK$30</f>
        <v>0</v>
      </c>
      <c r="KI6" s="66">
        <f>'P3'!AL$30</f>
        <v>0</v>
      </c>
      <c r="KJ6" s="66">
        <f>'P3'!AM$30</f>
        <v>0</v>
      </c>
      <c r="KK6" s="66">
        <f>'P3'!AN$30</f>
        <v>0</v>
      </c>
      <c r="KL6" s="66">
        <f>'P3'!AO$30</f>
        <v>0</v>
      </c>
      <c r="KM6" s="66">
        <f>'P3'!AP$30</f>
        <v>0</v>
      </c>
      <c r="KN6" s="66">
        <f>'P3'!AQ$30</f>
        <v>0</v>
      </c>
      <c r="KO6" s="66">
        <f>'P3'!AR$30</f>
        <v>0</v>
      </c>
      <c r="KP6" s="66">
        <f>'P3'!AS$30</f>
        <v>0</v>
      </c>
      <c r="KQ6" s="66">
        <f>'P3'!AT$30</f>
        <v>0</v>
      </c>
      <c r="KR6" s="66">
        <f>'P3'!AU$30</f>
        <v>0</v>
      </c>
      <c r="KS6" s="66">
        <f>'P3'!AV$30</f>
        <v>0</v>
      </c>
      <c r="KT6" s="66">
        <f>'P3'!AW$30</f>
        <v>0</v>
      </c>
      <c r="KU6" s="66">
        <f>'P3'!AX$30</f>
        <v>0</v>
      </c>
      <c r="KV6" s="66">
        <f>'P3'!AY$30</f>
        <v>0</v>
      </c>
      <c r="KW6" s="66">
        <f>'P3'!AZ$30</f>
        <v>0</v>
      </c>
      <c r="KX6" s="66">
        <f>'P3'!BA$30</f>
        <v>0</v>
      </c>
      <c r="KY6" s="66">
        <f>'P3'!BB$30</f>
        <v>0</v>
      </c>
      <c r="KZ6" s="66">
        <f>'P3'!BC$30</f>
        <v>0</v>
      </c>
      <c r="LA6" s="66">
        <f>'P3'!BD$30</f>
        <v>0</v>
      </c>
      <c r="LB6" s="66">
        <f>'P3'!BE$30</f>
        <v>0</v>
      </c>
      <c r="LC6" s="66">
        <f>'P3'!F$31</f>
        <v>0</v>
      </c>
      <c r="LD6" s="66">
        <f>'P3'!G$31</f>
        <v>0</v>
      </c>
      <c r="LE6" s="66">
        <f>'P3'!H$31</f>
        <v>0</v>
      </c>
      <c r="LF6" s="66">
        <f>'P3'!I$31</f>
        <v>0</v>
      </c>
      <c r="LG6" s="66">
        <f>'P3'!J$31</f>
        <v>0</v>
      </c>
      <c r="LH6" s="66">
        <f>'P3'!K$31</f>
        <v>0</v>
      </c>
      <c r="LI6" s="66">
        <f>'P3'!L$31</f>
        <v>0</v>
      </c>
      <c r="LJ6" s="66">
        <f>'P3'!M$31</f>
        <v>0</v>
      </c>
      <c r="LK6" s="66">
        <f>'P3'!N$31</f>
        <v>0</v>
      </c>
      <c r="LL6" s="66">
        <f>'P3'!O$31</f>
        <v>0</v>
      </c>
      <c r="LM6" s="66">
        <f>'P3'!P$31</f>
        <v>0</v>
      </c>
      <c r="LN6" s="66">
        <f>'P3'!Q$31</f>
        <v>0</v>
      </c>
      <c r="LO6" s="66">
        <f>'P3'!R$31</f>
        <v>0</v>
      </c>
      <c r="LP6" s="66">
        <f>'P3'!S$31</f>
        <v>0</v>
      </c>
      <c r="LQ6" s="66">
        <f>'P3'!T$31</f>
        <v>0</v>
      </c>
      <c r="LR6" s="66">
        <f>'P3'!U$31</f>
        <v>0</v>
      </c>
      <c r="LS6" s="66">
        <f>'P3'!V$31</f>
        <v>0</v>
      </c>
      <c r="LT6" s="66">
        <f>'P3'!W$31</f>
        <v>0</v>
      </c>
      <c r="LU6" s="66">
        <f>'P3'!X$31</f>
        <v>0</v>
      </c>
      <c r="LV6" s="66">
        <f>'P3'!Y$31</f>
        <v>0</v>
      </c>
      <c r="LW6" s="66">
        <f>'P3'!Z$31</f>
        <v>0</v>
      </c>
      <c r="LX6" s="66">
        <f>'P3'!AA$31</f>
        <v>0</v>
      </c>
      <c r="LY6" s="66">
        <f>'P3'!AB$31</f>
        <v>0</v>
      </c>
      <c r="LZ6" s="66">
        <f>'P3'!AC$31</f>
        <v>0</v>
      </c>
      <c r="MA6" s="66">
        <f>'P3'!AD$31</f>
        <v>0</v>
      </c>
      <c r="MB6" s="66">
        <f>'P3'!AE$31</f>
        <v>0</v>
      </c>
      <c r="MC6" s="66">
        <f>'P3'!AF$31</f>
        <v>0</v>
      </c>
      <c r="MD6" s="66">
        <f>'P3'!AG$31</f>
        <v>0</v>
      </c>
      <c r="ME6" s="66">
        <f>'P3'!AH$31</f>
        <v>0</v>
      </c>
      <c r="MF6" s="66">
        <f>'P3'!AI$31</f>
        <v>0</v>
      </c>
      <c r="MG6" s="66">
        <f>'P3'!AJ$31</f>
        <v>0</v>
      </c>
      <c r="MH6" s="66">
        <f>'P3'!AK$31</f>
        <v>0</v>
      </c>
      <c r="MI6" s="66">
        <f>'P3'!AL$31</f>
        <v>0</v>
      </c>
      <c r="MJ6" s="66">
        <f>'P3'!AM$31</f>
        <v>0</v>
      </c>
      <c r="MK6" s="66">
        <f>'P3'!AN$31</f>
        <v>0</v>
      </c>
      <c r="ML6" s="66">
        <f>'P3'!AO$31</f>
        <v>0</v>
      </c>
      <c r="MM6" s="66">
        <f>'P3'!AP$31</f>
        <v>0</v>
      </c>
      <c r="MN6" s="66">
        <f>'P3'!AQ$31</f>
        <v>0</v>
      </c>
      <c r="MO6" s="66">
        <f>'P3'!AR$31</f>
        <v>0</v>
      </c>
      <c r="MP6" s="66">
        <f>'P3'!AS$31</f>
        <v>0</v>
      </c>
      <c r="MQ6" s="66">
        <f>'P3'!AT$31</f>
        <v>0</v>
      </c>
      <c r="MR6" s="66">
        <f>'P3'!AU$31</f>
        <v>0</v>
      </c>
      <c r="MS6" s="66">
        <f>'P3'!AV$31</f>
        <v>0</v>
      </c>
      <c r="MT6" s="66">
        <f>'P3'!AW$31</f>
        <v>0</v>
      </c>
      <c r="MU6" s="66">
        <f>'P3'!AX$31</f>
        <v>0</v>
      </c>
      <c r="MV6" s="66">
        <f>'P3'!AY$31</f>
        <v>0</v>
      </c>
      <c r="MW6" s="66">
        <f>'P3'!AZ$31</f>
        <v>0</v>
      </c>
      <c r="MX6" s="66">
        <f>'P3'!BA$31</f>
        <v>0</v>
      </c>
      <c r="MY6" s="66">
        <f>'P3'!BB$31</f>
        <v>0</v>
      </c>
      <c r="MZ6" s="66">
        <f>'P3'!BC$31</f>
        <v>0</v>
      </c>
      <c r="NA6" s="66">
        <f>'P3'!BD$31</f>
        <v>0</v>
      </c>
      <c r="NB6" s="66">
        <f>'P3'!BE$31</f>
        <v>0</v>
      </c>
      <c r="NC6" s="66">
        <f>'P3'!F$33</f>
        <v>0</v>
      </c>
      <c r="ND6" s="66">
        <f>'P3'!G$33</f>
        <v>0</v>
      </c>
      <c r="NE6" s="66">
        <f>'P3'!H$33</f>
        <v>0</v>
      </c>
      <c r="NF6" s="66">
        <f>'P3'!I$33</f>
        <v>0</v>
      </c>
      <c r="NG6" s="66">
        <f>'P3'!J$33</f>
        <v>0</v>
      </c>
      <c r="NH6" s="66">
        <f>'P3'!K$33</f>
        <v>0</v>
      </c>
      <c r="NI6" s="66">
        <f>'P3'!L$33</f>
        <v>0</v>
      </c>
      <c r="NJ6" s="66">
        <f>'P3'!M$33</f>
        <v>0</v>
      </c>
      <c r="NK6" s="66">
        <f>'P3'!N$33</f>
        <v>0</v>
      </c>
      <c r="NL6" s="66">
        <f>'P3'!O$33</f>
        <v>0</v>
      </c>
      <c r="NM6" s="66">
        <f>'P3'!P$33</f>
        <v>0</v>
      </c>
      <c r="NN6" s="66">
        <f>'P3'!Q$33</f>
        <v>0</v>
      </c>
      <c r="NO6" s="66">
        <f>'P3'!R$33</f>
        <v>0</v>
      </c>
      <c r="NP6" s="66">
        <f>'P3'!S$33</f>
        <v>0</v>
      </c>
      <c r="NQ6" s="66">
        <f>'P3'!T$33</f>
        <v>0</v>
      </c>
      <c r="NR6" s="66">
        <f>'P3'!U$33</f>
        <v>0</v>
      </c>
      <c r="NS6" s="66">
        <f>'P3'!V$33</f>
        <v>0</v>
      </c>
      <c r="NT6" s="66">
        <f>'P3'!W$33</f>
        <v>0</v>
      </c>
      <c r="NU6" s="66">
        <f>'P3'!X$33</f>
        <v>0</v>
      </c>
      <c r="NV6" s="66">
        <f>'P3'!Y$33</f>
        <v>0</v>
      </c>
      <c r="NW6" s="66">
        <f>'P3'!Z$33</f>
        <v>0</v>
      </c>
      <c r="NX6" s="66">
        <f>'P3'!AA$33</f>
        <v>0</v>
      </c>
      <c r="NY6" s="66">
        <f>'P3'!AB$33</f>
        <v>0</v>
      </c>
      <c r="NZ6" s="66">
        <f>'P3'!AC$33</f>
        <v>0</v>
      </c>
      <c r="OA6" s="66">
        <f>'P3'!AD$33</f>
        <v>0</v>
      </c>
      <c r="OB6" s="66">
        <f>'P3'!AE$33</f>
        <v>0</v>
      </c>
      <c r="OC6" s="66">
        <f>'P3'!AF$33</f>
        <v>0</v>
      </c>
      <c r="OD6" s="66">
        <f>'P3'!AG$33</f>
        <v>0</v>
      </c>
      <c r="OE6" s="66">
        <f>'P3'!AH$33</f>
        <v>0</v>
      </c>
      <c r="OF6" s="66">
        <f>'P3'!AI$33</f>
        <v>0</v>
      </c>
      <c r="OG6" s="66">
        <f>'P3'!AJ$33</f>
        <v>0</v>
      </c>
      <c r="OH6" s="66">
        <f>'P3'!AK$33</f>
        <v>0</v>
      </c>
      <c r="OI6" s="66">
        <f>'P3'!AL$33</f>
        <v>0</v>
      </c>
      <c r="OJ6" s="66">
        <f>'P3'!AM$33</f>
        <v>0</v>
      </c>
      <c r="OK6" s="66">
        <f>'P3'!AN$33</f>
        <v>0</v>
      </c>
      <c r="OL6" s="66">
        <f>'P3'!AO$33</f>
        <v>0</v>
      </c>
      <c r="OM6" s="66">
        <f>'P3'!AP$33</f>
        <v>0</v>
      </c>
      <c r="ON6" s="66">
        <f>'P3'!AQ$33</f>
        <v>0</v>
      </c>
      <c r="OO6" s="66">
        <f>'P3'!AR$33</f>
        <v>0</v>
      </c>
      <c r="OP6" s="66">
        <f>'P3'!AS$33</f>
        <v>0</v>
      </c>
      <c r="OQ6" s="66">
        <f>'P3'!AT$33</f>
        <v>0</v>
      </c>
      <c r="OR6" s="66">
        <f>'P3'!AU$33</f>
        <v>0</v>
      </c>
      <c r="OS6" s="66">
        <f>'P3'!AV$33</f>
        <v>0</v>
      </c>
      <c r="OT6" s="66">
        <f>'P3'!AW$33</f>
        <v>0</v>
      </c>
      <c r="OU6" s="66">
        <f>'P3'!AX$33</f>
        <v>0</v>
      </c>
      <c r="OV6" s="66">
        <f>'P3'!AY$33</f>
        <v>0</v>
      </c>
      <c r="OW6" s="66">
        <f>'P3'!AZ$33</f>
        <v>0</v>
      </c>
      <c r="OX6" s="66">
        <f>'P3'!BA$33</f>
        <v>0</v>
      </c>
      <c r="OY6" s="66">
        <f>'P3'!BB$33</f>
        <v>0</v>
      </c>
      <c r="OZ6" s="66">
        <f>'P3'!BC$33</f>
        <v>0</v>
      </c>
      <c r="PA6" s="66">
        <f>'P3'!BD$33</f>
        <v>0</v>
      </c>
      <c r="PB6" s="66">
        <f>'P3'!BE$33</f>
        <v>0</v>
      </c>
      <c r="PC6" s="66">
        <f>'P3'!F$34</f>
        <v>0</v>
      </c>
      <c r="PD6" s="66">
        <f>'P3'!G$34</f>
        <v>0</v>
      </c>
      <c r="PE6" s="66">
        <f>'P3'!H$34</f>
        <v>0</v>
      </c>
      <c r="PF6" s="66">
        <f>'P3'!I$34</f>
        <v>0</v>
      </c>
      <c r="PG6" s="66">
        <f>'P3'!J$34</f>
        <v>0</v>
      </c>
      <c r="PH6" s="66">
        <f>'P3'!K$34</f>
        <v>0</v>
      </c>
      <c r="PI6" s="66">
        <f>'P3'!L$34</f>
        <v>0</v>
      </c>
      <c r="PJ6" s="66">
        <f>'P3'!M$34</f>
        <v>0</v>
      </c>
      <c r="PK6" s="66">
        <f>'P3'!N$34</f>
        <v>0</v>
      </c>
      <c r="PL6" s="66">
        <f>'P3'!O$34</f>
        <v>0</v>
      </c>
      <c r="PM6" s="66">
        <f>'P3'!P$34</f>
        <v>0</v>
      </c>
      <c r="PN6" s="66">
        <f>'P3'!Q$34</f>
        <v>0</v>
      </c>
      <c r="PO6" s="66">
        <f>'P3'!R$34</f>
        <v>0</v>
      </c>
      <c r="PP6" s="66">
        <f>'P3'!S$34</f>
        <v>0</v>
      </c>
      <c r="PQ6" s="66">
        <f>'P3'!T$34</f>
        <v>0</v>
      </c>
      <c r="PR6" s="66">
        <f>'P3'!U$34</f>
        <v>0</v>
      </c>
      <c r="PS6" s="66">
        <f>'P3'!V$34</f>
        <v>0</v>
      </c>
      <c r="PT6" s="66">
        <f>'P3'!W$34</f>
        <v>0</v>
      </c>
      <c r="PU6" s="66">
        <f>'P3'!X$34</f>
        <v>0</v>
      </c>
      <c r="PV6" s="66">
        <f>'P3'!Y$34</f>
        <v>0</v>
      </c>
      <c r="PW6" s="66">
        <f>'P3'!Z$34</f>
        <v>0</v>
      </c>
      <c r="PX6" s="66">
        <f>'P3'!AA$34</f>
        <v>0</v>
      </c>
      <c r="PY6" s="66">
        <f>'P3'!AB$34</f>
        <v>0</v>
      </c>
      <c r="PZ6" s="66">
        <f>'P3'!AC$34</f>
        <v>0</v>
      </c>
      <c r="QA6" s="66">
        <f>'P3'!AD$34</f>
        <v>0</v>
      </c>
      <c r="QB6" s="66">
        <f>'P3'!AE$34</f>
        <v>0</v>
      </c>
      <c r="QC6" s="66">
        <f>'P3'!AF$34</f>
        <v>0</v>
      </c>
      <c r="QD6" s="66">
        <f>'P3'!AG$34</f>
        <v>0</v>
      </c>
      <c r="QE6" s="66">
        <f>'P3'!AH$34</f>
        <v>0</v>
      </c>
      <c r="QF6" s="66">
        <f>'P3'!AI$34</f>
        <v>0</v>
      </c>
      <c r="QG6" s="66">
        <f>'P3'!AJ$34</f>
        <v>0</v>
      </c>
      <c r="QH6" s="66">
        <f>'P3'!AK$34</f>
        <v>0</v>
      </c>
      <c r="QI6" s="66">
        <f>'P3'!AL$34</f>
        <v>0</v>
      </c>
      <c r="QJ6" s="66">
        <f>'P3'!AM$34</f>
        <v>0</v>
      </c>
      <c r="QK6" s="66">
        <f>'P3'!AN$34</f>
        <v>0</v>
      </c>
      <c r="QL6" s="66">
        <f>'P3'!AO$34</f>
        <v>0</v>
      </c>
      <c r="QM6" s="66">
        <f>'P3'!AP$34</f>
        <v>0</v>
      </c>
      <c r="QN6" s="66">
        <f>'P3'!AQ$34</f>
        <v>0</v>
      </c>
      <c r="QO6" s="66">
        <f>'P3'!AR$34</f>
        <v>0</v>
      </c>
      <c r="QP6" s="66">
        <f>'P3'!AS$34</f>
        <v>0</v>
      </c>
      <c r="QQ6" s="66">
        <f>'P3'!AT$34</f>
        <v>0</v>
      </c>
      <c r="QR6" s="66">
        <f>'P3'!AU$34</f>
        <v>0</v>
      </c>
      <c r="QS6" s="66">
        <f>'P3'!AV$34</f>
        <v>0</v>
      </c>
      <c r="QT6" s="66">
        <f>'P3'!AW$34</f>
        <v>0</v>
      </c>
      <c r="QU6" s="66">
        <f>'P3'!AX$34</f>
        <v>0</v>
      </c>
      <c r="QV6" s="66">
        <f>'P3'!AY$34</f>
        <v>0</v>
      </c>
      <c r="QW6" s="66">
        <f>'P3'!AZ$34</f>
        <v>0</v>
      </c>
      <c r="QX6" s="66">
        <f>'P3'!BA$34</f>
        <v>0</v>
      </c>
      <c r="QY6" s="66">
        <f>'P3'!BB$34</f>
        <v>0</v>
      </c>
      <c r="QZ6" s="66">
        <f>'P3'!BC$34</f>
        <v>0</v>
      </c>
      <c r="RA6" s="66">
        <f>'P3'!BD$34</f>
        <v>0</v>
      </c>
      <c r="RB6" s="66">
        <f>'P3'!BE$34</f>
        <v>0</v>
      </c>
      <c r="RC6" s="66">
        <f>'P3'!F$35</f>
        <v>0</v>
      </c>
      <c r="RD6" s="66">
        <f>'P3'!G$35</f>
        <v>0</v>
      </c>
      <c r="RE6" s="66">
        <f>'P3'!H$35</f>
        <v>0</v>
      </c>
      <c r="RF6" s="66">
        <f>'P3'!I$35</f>
        <v>0</v>
      </c>
      <c r="RG6" s="66">
        <f>'P3'!J$35</f>
        <v>0</v>
      </c>
      <c r="RH6" s="66">
        <f>'P3'!K$35</f>
        <v>0</v>
      </c>
      <c r="RI6" s="66">
        <f>'P3'!L$35</f>
        <v>0</v>
      </c>
      <c r="RJ6" s="66">
        <f>'P3'!M$35</f>
        <v>0</v>
      </c>
      <c r="RK6" s="66">
        <f>'P3'!N$35</f>
        <v>0</v>
      </c>
      <c r="RL6" s="66">
        <f>'P3'!O$35</f>
        <v>0</v>
      </c>
      <c r="RM6" s="66">
        <f>'P3'!P$35</f>
        <v>0</v>
      </c>
      <c r="RN6" s="66">
        <f>'P3'!Q$35</f>
        <v>0</v>
      </c>
      <c r="RO6" s="66">
        <f>'P3'!R$35</f>
        <v>0</v>
      </c>
      <c r="RP6" s="66">
        <f>'P3'!S$35</f>
        <v>0</v>
      </c>
      <c r="RQ6" s="66">
        <f>'P3'!T$35</f>
        <v>0</v>
      </c>
      <c r="RR6" s="66">
        <f>'P3'!U$35</f>
        <v>0</v>
      </c>
      <c r="RS6" s="66">
        <f>'P3'!V$35</f>
        <v>0</v>
      </c>
      <c r="RT6" s="66">
        <f>'P3'!W$35</f>
        <v>0</v>
      </c>
      <c r="RU6" s="66">
        <f>'P3'!X$35</f>
        <v>0</v>
      </c>
      <c r="RV6" s="66">
        <f>'P3'!Y$35</f>
        <v>0</v>
      </c>
      <c r="RW6" s="66">
        <f>'P3'!Z$35</f>
        <v>0</v>
      </c>
      <c r="RX6" s="66">
        <f>'P3'!AA$35</f>
        <v>0</v>
      </c>
      <c r="RY6" s="66">
        <f>'P3'!AB$35</f>
        <v>0</v>
      </c>
      <c r="RZ6" s="66">
        <f>'P3'!AC$35</f>
        <v>0</v>
      </c>
      <c r="SA6" s="66">
        <f>'P3'!AD$35</f>
        <v>0</v>
      </c>
      <c r="SB6" s="66">
        <f>'P3'!AE$35</f>
        <v>0</v>
      </c>
      <c r="SC6" s="66">
        <f>'P3'!AF$35</f>
        <v>0</v>
      </c>
      <c r="SD6" s="66">
        <f>'P3'!AG$35</f>
        <v>0</v>
      </c>
      <c r="SE6" s="66">
        <f>'P3'!AH$35</f>
        <v>0</v>
      </c>
      <c r="SF6" s="66">
        <f>'P3'!AI$35</f>
        <v>0</v>
      </c>
      <c r="SG6" s="66">
        <f>'P3'!AJ$35</f>
        <v>0</v>
      </c>
      <c r="SH6" s="66">
        <f>'P3'!AK$35</f>
        <v>0</v>
      </c>
      <c r="SI6" s="66">
        <f>'P3'!AL$35</f>
        <v>0</v>
      </c>
      <c r="SJ6" s="66">
        <f>'P3'!AM$35</f>
        <v>0</v>
      </c>
      <c r="SK6" s="66">
        <f>'P3'!AN$35</f>
        <v>0</v>
      </c>
      <c r="SL6" s="66">
        <f>'P3'!AO$35</f>
        <v>0</v>
      </c>
      <c r="SM6" s="66">
        <f>'P3'!AP$35</f>
        <v>0</v>
      </c>
      <c r="SN6" s="66">
        <f>'P3'!AQ$35</f>
        <v>0</v>
      </c>
      <c r="SO6" s="66">
        <f>'P3'!AR$35</f>
        <v>0</v>
      </c>
      <c r="SP6" s="66">
        <f>'P3'!AS$35</f>
        <v>0</v>
      </c>
      <c r="SQ6" s="66">
        <f>'P3'!AT$35</f>
        <v>0</v>
      </c>
      <c r="SR6" s="66">
        <f>'P3'!AU$35</f>
        <v>0</v>
      </c>
      <c r="SS6" s="66">
        <f>'P3'!AV$35</f>
        <v>0</v>
      </c>
      <c r="ST6" s="66">
        <f>'P3'!AW$35</f>
        <v>0</v>
      </c>
      <c r="SU6" s="66">
        <f>'P3'!AX$35</f>
        <v>0</v>
      </c>
      <c r="SV6" s="66">
        <f>'P3'!AY$35</f>
        <v>0</v>
      </c>
      <c r="SW6" s="66">
        <f>'P3'!AZ$35</f>
        <v>0</v>
      </c>
      <c r="SX6" s="66">
        <f>'P3'!BA$35</f>
        <v>0</v>
      </c>
      <c r="SY6" s="66">
        <f>'P3'!BB$35</f>
        <v>0</v>
      </c>
      <c r="SZ6" s="66">
        <f>'P3'!BC$35</f>
        <v>0</v>
      </c>
      <c r="TA6" s="66">
        <f>'P3'!BD$35</f>
        <v>0</v>
      </c>
      <c r="TB6" s="66">
        <f>'P3'!BE$35</f>
        <v>0</v>
      </c>
    </row>
    <row r="7" spans="2:522">
      <c r="B7" s="66">
        <v>4</v>
      </c>
      <c r="C7" s="66">
        <f>'P4'!$F$3</f>
        <v>0</v>
      </c>
      <c r="D7" s="66">
        <f>'P4'!$F$5</f>
        <v>0</v>
      </c>
      <c r="E7" s="66">
        <f>'P4'!$F$7</f>
        <v>0</v>
      </c>
      <c r="F7" s="66" t="str">
        <f>'P4'!$F$8</f>
        <v/>
      </c>
      <c r="G7" s="66">
        <f>'P4'!$B$13</f>
        <v>0</v>
      </c>
      <c r="H7" s="66">
        <f>'P4'!$C$17</f>
        <v>0</v>
      </c>
      <c r="I7" s="66">
        <f>'P4'!$C$18</f>
        <v>0</v>
      </c>
      <c r="J7" s="66">
        <f>'P4'!$C$19</f>
        <v>0</v>
      </c>
      <c r="K7" s="66">
        <f>'P4'!$C$20</f>
        <v>0</v>
      </c>
      <c r="L7" s="66">
        <f>'P4'!$C$21</f>
        <v>0</v>
      </c>
      <c r="M7" s="66" t="str">
        <f>'P4'!$F$12</f>
        <v/>
      </c>
      <c r="N7" s="66" t="str">
        <f>'P4'!$G$13</f>
        <v>Select the primary KPI (Jonas Library)</v>
      </c>
      <c r="O7" s="66">
        <f>'P4'!$F$15</f>
        <v>0</v>
      </c>
      <c r="P7" s="66">
        <f>'P4'!$F$19</f>
        <v>0</v>
      </c>
      <c r="Q7" s="66" t="str">
        <f>'P4'!$O$12</f>
        <v/>
      </c>
      <c r="R7" s="66" t="str">
        <f>'P4'!$P$13</f>
        <v>Select the primary KPI (Jonas Library)</v>
      </c>
      <c r="S7" s="66">
        <f>'P4'!$O$15</f>
        <v>0</v>
      </c>
      <c r="T7" s="66">
        <f>'P4'!$O$19</f>
        <v>0</v>
      </c>
      <c r="U7" s="66" t="str">
        <f>'P4'!$X$12</f>
        <v/>
      </c>
      <c r="V7" s="66" t="str">
        <f>'P4'!$Y$13</f>
        <v>Select the primary KPI (Jonas Library)</v>
      </c>
      <c r="W7" s="66">
        <f>'P4'!$X$15</f>
        <v>0</v>
      </c>
      <c r="X7" s="66">
        <f>'P4'!$X$19</f>
        <v>0</v>
      </c>
      <c r="Y7" s="66">
        <f>'P4'!$AV$3</f>
        <v>0</v>
      </c>
      <c r="Z7" s="66" t="str">
        <f ca="1">'P4'!$AO$4</f>
        <v>Not Def</v>
      </c>
      <c r="AA7" s="66">
        <f ca="1">'P4'!$AV$4</f>
        <v>0</v>
      </c>
      <c r="AB7" s="66" t="str">
        <f ca="1">'P4'!$AO$5</f>
        <v>Not Def</v>
      </c>
      <c r="AC7" s="66">
        <f ca="1">'P4'!$AV$5</f>
        <v>0</v>
      </c>
      <c r="AD7" s="66">
        <f ca="1">'P4'!$AV$6</f>
        <v>0</v>
      </c>
      <c r="AE7" s="67" t="str">
        <f>IF('P4'!$AV$10="","",'P4'!$AV$10)</f>
        <v/>
      </c>
      <c r="AF7" s="67" t="str">
        <f>IF('P4'!$AV$11="","",'P4'!$AV$11)</f>
        <v/>
      </c>
      <c r="AG7" s="67" t="str">
        <f>IF('P4'!$AV$12="","",'P4'!$AV$12)</f>
        <v/>
      </c>
      <c r="AH7" s="67" t="str">
        <f>IF('P4'!$AV$13="","",'P4'!$AV$13)</f>
        <v/>
      </c>
      <c r="AI7" s="67" t="str">
        <f>IF('P4'!$AV$14="","",'P4'!$AV$14)</f>
        <v/>
      </c>
      <c r="AJ7" s="67" t="str">
        <f>IF('P4'!$AV$15="","",'P4'!$AV$15)</f>
        <v/>
      </c>
      <c r="AK7" s="67" t="str">
        <f>IF('P4'!$AV$16="","",'P4'!$AV$16)</f>
        <v/>
      </c>
      <c r="AL7" s="67" t="str">
        <f>IF('P4'!$AV$17="","",'P4'!$AV$17)</f>
        <v/>
      </c>
      <c r="AM7" s="67" t="str">
        <f>IF('P4'!$AV$18="","",'P4'!AV$18)</f>
        <v/>
      </c>
      <c r="AN7" s="67" t="str">
        <f>IF('P4'!$AV$19="","",'P4'!$AV$19)</f>
        <v/>
      </c>
      <c r="AO7" s="67" t="str">
        <f>IF('P4'!$AV$20="","",'P4'!$AV$20)</f>
        <v/>
      </c>
      <c r="AP7" s="67" t="str">
        <f>IF('P4'!$AV$21="","",'P4'!$AV$21)</f>
        <v/>
      </c>
      <c r="AQ7" s="67" t="str">
        <f>IF('P4'!$AY$10="","",'P4'!$AY$10)</f>
        <v/>
      </c>
      <c r="AR7" s="67" t="str">
        <f>IF('P4'!$AY$11="","",'P4'!$AY$11)</f>
        <v/>
      </c>
      <c r="AS7" s="67" t="str">
        <f>IF('P4'!$AY$12="","",'P4'!$AY$12)</f>
        <v/>
      </c>
      <c r="AT7" s="67" t="str">
        <f>IF('P4'!$AY$13="","",'P4'!$AY$13)</f>
        <v/>
      </c>
      <c r="AU7" s="67" t="str">
        <f>IF('P4'!$AY$14="","",'P4'!$AY$14)</f>
        <v/>
      </c>
      <c r="AV7" s="67" t="str">
        <f>IF('P4'!$AY$15="","",'P4'!$AY$15)</f>
        <v/>
      </c>
      <c r="AW7" s="67" t="str">
        <f>IF('P4'!$AY$16="","",'P4'!$AY$16)</f>
        <v/>
      </c>
      <c r="AX7" s="67" t="str">
        <f>IF('P4'!$AY$17="","",'P4'!$AY$17)</f>
        <v/>
      </c>
      <c r="AY7" s="67" t="str">
        <f>IF('P4'!$AY$18="","",'P4'!$AY$18)</f>
        <v/>
      </c>
      <c r="AZ7" s="67" t="str">
        <f>IF('P4'!$AY$19="","",'P4'!$AY$19)</f>
        <v/>
      </c>
      <c r="BA7" s="67" t="str">
        <f>IF('P4'!$AY$20="","",'P4'!$AY$20)</f>
        <v/>
      </c>
      <c r="BB7" s="67" t="str">
        <f>IF('P4'!$AY$21="","",'P4'!$AY$21)</f>
        <v/>
      </c>
      <c r="BC7" s="66">
        <f>'P4'!F$25</f>
        <v>0</v>
      </c>
      <c r="BD7" s="66">
        <f>'P4'!G$25</f>
        <v>0</v>
      </c>
      <c r="BE7" s="66">
        <f>'P4'!H$25</f>
        <v>0</v>
      </c>
      <c r="BF7" s="66">
        <f>'P4'!I$25</f>
        <v>0</v>
      </c>
      <c r="BG7" s="66">
        <f>'P4'!J$25</f>
        <v>0</v>
      </c>
      <c r="BH7" s="66">
        <f>'P4'!K$25</f>
        <v>0</v>
      </c>
      <c r="BI7" s="66">
        <f>'P4'!L$25</f>
        <v>0</v>
      </c>
      <c r="BJ7" s="66">
        <f>'P4'!M$25</f>
        <v>0</v>
      </c>
      <c r="BK7" s="66">
        <f>'P4'!N$25</f>
        <v>0</v>
      </c>
      <c r="BL7" s="66">
        <f>'P4'!O$25</f>
        <v>0</v>
      </c>
      <c r="BM7" s="66">
        <f>'P4'!P$25</f>
        <v>0</v>
      </c>
      <c r="BN7" s="66">
        <f>'P4'!Q$25</f>
        <v>0</v>
      </c>
      <c r="BO7" s="66">
        <f>'P4'!R$25</f>
        <v>0</v>
      </c>
      <c r="BP7" s="66">
        <f>'P4'!S$25</f>
        <v>0</v>
      </c>
      <c r="BQ7" s="66">
        <f>'P4'!T$25</f>
        <v>0</v>
      </c>
      <c r="BR7" s="66">
        <f>'P4'!U$25</f>
        <v>0</v>
      </c>
      <c r="BS7" s="66">
        <f>'P4'!V$25</f>
        <v>0</v>
      </c>
      <c r="BT7" s="66">
        <f>'P4'!W$25</f>
        <v>0</v>
      </c>
      <c r="BU7" s="66">
        <f>'P4'!X$25</f>
        <v>0</v>
      </c>
      <c r="BV7" s="66">
        <f>'P4'!Y$25</f>
        <v>0</v>
      </c>
      <c r="BW7" s="66">
        <f>'P4'!Z$25</f>
        <v>0</v>
      </c>
      <c r="BX7" s="66">
        <f>'P4'!AA$25</f>
        <v>0</v>
      </c>
      <c r="BY7" s="66">
        <f>'P4'!AB$25</f>
        <v>0</v>
      </c>
      <c r="BZ7" s="66">
        <f>'P4'!AC$25</f>
        <v>0</v>
      </c>
      <c r="CA7" s="66">
        <f>'P4'!AD$25</f>
        <v>0</v>
      </c>
      <c r="CB7" s="66">
        <f>'P4'!AE$25</f>
        <v>0</v>
      </c>
      <c r="CC7" s="66">
        <f>'P4'!AF$25</f>
        <v>0</v>
      </c>
      <c r="CD7" s="66">
        <f>'P4'!AG$25</f>
        <v>0</v>
      </c>
      <c r="CE7" s="66">
        <f>'P4'!AH$25</f>
        <v>0</v>
      </c>
      <c r="CF7" s="66">
        <f>'P4'!AI$25</f>
        <v>0</v>
      </c>
      <c r="CG7" s="66">
        <f>'P4'!AJ$25</f>
        <v>0</v>
      </c>
      <c r="CH7" s="66">
        <f>'P4'!AK$25</f>
        <v>0</v>
      </c>
      <c r="CI7" s="66">
        <f>'P4'!AL$25</f>
        <v>0</v>
      </c>
      <c r="CJ7" s="66">
        <f>'P4'!AM$25</f>
        <v>0</v>
      </c>
      <c r="CK7" s="66">
        <f>'P4'!AN$25</f>
        <v>0</v>
      </c>
      <c r="CL7" s="66">
        <f>'P4'!AO$25</f>
        <v>0</v>
      </c>
      <c r="CM7" s="66">
        <f>'P4'!AP$25</f>
        <v>0</v>
      </c>
      <c r="CN7" s="66">
        <f>'P4'!AQ$25</f>
        <v>0</v>
      </c>
      <c r="CO7" s="66">
        <f>'P4'!AR$25</f>
        <v>0</v>
      </c>
      <c r="CP7" s="66">
        <f>'P4'!AS$25</f>
        <v>0</v>
      </c>
      <c r="CQ7" s="66">
        <f>'P4'!AT$25</f>
        <v>0</v>
      </c>
      <c r="CR7" s="66">
        <f>'P4'!AU$25</f>
        <v>0</v>
      </c>
      <c r="CS7" s="66">
        <f>'P4'!AV$25</f>
        <v>0</v>
      </c>
      <c r="CT7" s="66">
        <f>'P4'!AW$25</f>
        <v>0</v>
      </c>
      <c r="CU7" s="66">
        <f>'P4'!AX$25</f>
        <v>0</v>
      </c>
      <c r="CV7" s="66">
        <f>'P4'!AY$25</f>
        <v>0</v>
      </c>
      <c r="CW7" s="66">
        <f>'P4'!AZ$25</f>
        <v>0</v>
      </c>
      <c r="CX7" s="66">
        <f>'P4'!BA$25</f>
        <v>0</v>
      </c>
      <c r="CY7" s="66">
        <f>'P4'!BB$25</f>
        <v>0</v>
      </c>
      <c r="CZ7" s="66">
        <f>'P4'!BC$25</f>
        <v>0</v>
      </c>
      <c r="DA7" s="66">
        <f>'P4'!BD$25</f>
        <v>0</v>
      </c>
      <c r="DB7" s="66">
        <f>'P4'!BE$25</f>
        <v>0</v>
      </c>
      <c r="DC7" s="66">
        <f>'P4'!F$26</f>
        <v>0</v>
      </c>
      <c r="DD7" s="66">
        <f>'P4'!G$26</f>
        <v>0</v>
      </c>
      <c r="DE7" s="66">
        <f>'P4'!H$26</f>
        <v>0</v>
      </c>
      <c r="DF7" s="66">
        <f>'P4'!I$26</f>
        <v>0</v>
      </c>
      <c r="DG7" s="66">
        <f>'P4'!J$26</f>
        <v>0</v>
      </c>
      <c r="DH7" s="66">
        <f>'P4'!K$26</f>
        <v>0</v>
      </c>
      <c r="DI7" s="66">
        <f>'P4'!L$26</f>
        <v>0</v>
      </c>
      <c r="DJ7" s="66">
        <f>'P4'!M$26</f>
        <v>0</v>
      </c>
      <c r="DK7" s="66">
        <f>'P4'!N$26</f>
        <v>0</v>
      </c>
      <c r="DL7" s="66">
        <f>'P4'!O$26</f>
        <v>0</v>
      </c>
      <c r="DM7" s="66">
        <f>'P4'!P$26</f>
        <v>0</v>
      </c>
      <c r="DN7" s="66">
        <f>'P4'!Q$26</f>
        <v>0</v>
      </c>
      <c r="DO7" s="66">
        <f>'P4'!R$26</f>
        <v>0</v>
      </c>
      <c r="DP7" s="66">
        <f>'P4'!S$26</f>
        <v>0</v>
      </c>
      <c r="DQ7" s="66">
        <f>'P4'!T$26</f>
        <v>0</v>
      </c>
      <c r="DR7" s="66">
        <f>'P4'!U$26</f>
        <v>0</v>
      </c>
      <c r="DS7" s="66">
        <f>'P4'!V$26</f>
        <v>0</v>
      </c>
      <c r="DT7" s="66">
        <f>'P4'!W$26</f>
        <v>0</v>
      </c>
      <c r="DU7" s="66">
        <f>'P4'!X$26</f>
        <v>0</v>
      </c>
      <c r="DV7" s="66">
        <f>'P4'!Y$26</f>
        <v>0</v>
      </c>
      <c r="DW7" s="66">
        <f>'P4'!Z$26</f>
        <v>0</v>
      </c>
      <c r="DX7" s="66">
        <f>'P4'!AA$26</f>
        <v>0</v>
      </c>
      <c r="DY7" s="66">
        <f>'P4'!AB$26</f>
        <v>0</v>
      </c>
      <c r="DZ7" s="66">
        <f>'P4'!AC$26</f>
        <v>0</v>
      </c>
      <c r="EA7" s="66">
        <f>'P4'!AD$26</f>
        <v>0</v>
      </c>
      <c r="EB7" s="66">
        <f>'P4'!AE$26</f>
        <v>0</v>
      </c>
      <c r="EC7" s="66">
        <f>'P4'!AF$26</f>
        <v>0</v>
      </c>
      <c r="ED7" s="66">
        <f>'P4'!AG$26</f>
        <v>0</v>
      </c>
      <c r="EE7" s="66">
        <f>'P4'!AH$26</f>
        <v>0</v>
      </c>
      <c r="EF7" s="66">
        <f>'P4'!AI$26</f>
        <v>0</v>
      </c>
      <c r="EG7" s="66">
        <f>'P4'!AJ$26</f>
        <v>0</v>
      </c>
      <c r="EH7" s="66">
        <f>'P4'!AK$26</f>
        <v>0</v>
      </c>
      <c r="EI7" s="66">
        <f>'P4'!AL$26</f>
        <v>0</v>
      </c>
      <c r="EJ7" s="66">
        <f>'P4'!AM$26</f>
        <v>0</v>
      </c>
      <c r="EK7" s="66">
        <f>'P4'!AN$26</f>
        <v>0</v>
      </c>
      <c r="EL7" s="66">
        <f>'P4'!AO$26</f>
        <v>0</v>
      </c>
      <c r="EM7" s="66">
        <f>'P4'!AP$26</f>
        <v>0</v>
      </c>
      <c r="EN7" s="66">
        <f>'P4'!AQ$26</f>
        <v>0</v>
      </c>
      <c r="EO7" s="66">
        <f>'P4'!AR$26</f>
        <v>0</v>
      </c>
      <c r="EP7" s="66">
        <f>'P4'!AS$26</f>
        <v>0</v>
      </c>
      <c r="EQ7" s="66">
        <f>'P4'!AT$26</f>
        <v>0</v>
      </c>
      <c r="ER7" s="66">
        <f>'P4'!AU$26</f>
        <v>0</v>
      </c>
      <c r="ES7" s="66">
        <f>'P4'!AV$26</f>
        <v>0</v>
      </c>
      <c r="ET7" s="66">
        <f>'P4'!AW$26</f>
        <v>0</v>
      </c>
      <c r="EU7" s="66">
        <f>'P4'!AX$26</f>
        <v>0</v>
      </c>
      <c r="EV7" s="66">
        <f>'P4'!AY$26</f>
        <v>0</v>
      </c>
      <c r="EW7" s="66">
        <f>'P4'!AZ$26</f>
        <v>0</v>
      </c>
      <c r="EX7" s="66">
        <f>'P4'!BA$26</f>
        <v>0</v>
      </c>
      <c r="EY7" s="66">
        <f>'P4'!BB$26</f>
        <v>0</v>
      </c>
      <c r="EZ7" s="66">
        <f>'P4'!BC$26</f>
        <v>0</v>
      </c>
      <c r="FA7" s="66">
        <f>'P4'!BD$26</f>
        <v>0</v>
      </c>
      <c r="FB7" s="66">
        <f>'P4'!BE$26</f>
        <v>0</v>
      </c>
      <c r="FC7" s="66">
        <f>'P4'!F$27</f>
        <v>0</v>
      </c>
      <c r="FD7" s="66">
        <f>'P4'!G$27</f>
        <v>0</v>
      </c>
      <c r="FE7" s="66">
        <f>'P4'!H$27</f>
        <v>0</v>
      </c>
      <c r="FF7" s="66">
        <f>'P4'!I$27</f>
        <v>0</v>
      </c>
      <c r="FG7" s="66">
        <f>'P4'!J$27</f>
        <v>0</v>
      </c>
      <c r="FH7" s="66">
        <f>'P4'!K$27</f>
        <v>0</v>
      </c>
      <c r="FI7" s="66">
        <f>'P4'!L$27</f>
        <v>0</v>
      </c>
      <c r="FJ7" s="66">
        <f>'P4'!M$27</f>
        <v>0</v>
      </c>
      <c r="FK7" s="66">
        <f>'P4'!N$27</f>
        <v>0</v>
      </c>
      <c r="FL7" s="66">
        <f>'P4'!O$27</f>
        <v>0</v>
      </c>
      <c r="FM7" s="66">
        <f>'P4'!P$27</f>
        <v>0</v>
      </c>
      <c r="FN7" s="66">
        <f>'P4'!Q$27</f>
        <v>0</v>
      </c>
      <c r="FO7" s="66">
        <f>'P4'!R$27</f>
        <v>0</v>
      </c>
      <c r="FP7" s="66">
        <f>'P4'!S$27</f>
        <v>0</v>
      </c>
      <c r="FQ7" s="66">
        <f>'P4'!T$27</f>
        <v>0</v>
      </c>
      <c r="FR7" s="66">
        <f>'P4'!U$27</f>
        <v>0</v>
      </c>
      <c r="FS7" s="66">
        <f>'P4'!V$27</f>
        <v>0</v>
      </c>
      <c r="FT7" s="66">
        <f>'P4'!W$27</f>
        <v>0</v>
      </c>
      <c r="FU7" s="66">
        <f>'P4'!X$27</f>
        <v>0</v>
      </c>
      <c r="FV7" s="66">
        <f>'P4'!Y$27</f>
        <v>0</v>
      </c>
      <c r="FW7" s="66">
        <f>'P4'!Z$27</f>
        <v>0</v>
      </c>
      <c r="FX7" s="66">
        <f>'P4'!AA$27</f>
        <v>0</v>
      </c>
      <c r="FY7" s="66">
        <f>'P4'!AB$27</f>
        <v>0</v>
      </c>
      <c r="FZ7" s="66">
        <f>'P4'!AC$27</f>
        <v>0</v>
      </c>
      <c r="GA7" s="66">
        <f>'P4'!AD$27</f>
        <v>0</v>
      </c>
      <c r="GB7" s="66">
        <f>'P4'!AE$27</f>
        <v>0</v>
      </c>
      <c r="GC7" s="66">
        <f>'P4'!AF$27</f>
        <v>0</v>
      </c>
      <c r="GD7" s="66">
        <f>'P4'!AG$27</f>
        <v>0</v>
      </c>
      <c r="GE7" s="66">
        <f>'P4'!AH$27</f>
        <v>0</v>
      </c>
      <c r="GF7" s="66">
        <f>'P4'!AI$27</f>
        <v>0</v>
      </c>
      <c r="GG7" s="66">
        <f>'P4'!AJ$27</f>
        <v>0</v>
      </c>
      <c r="GH7" s="66">
        <f>'P4'!AK$27</f>
        <v>0</v>
      </c>
      <c r="GI7" s="66">
        <f>'P4'!AL$27</f>
        <v>0</v>
      </c>
      <c r="GJ7" s="66">
        <f>'P4'!AM$27</f>
        <v>0</v>
      </c>
      <c r="GK7" s="66">
        <f>'P4'!AN$27</f>
        <v>0</v>
      </c>
      <c r="GL7" s="66">
        <f>'P4'!AO$27</f>
        <v>0</v>
      </c>
      <c r="GM7" s="66">
        <f>'P4'!AP$27</f>
        <v>0</v>
      </c>
      <c r="GN7" s="66">
        <f>'P4'!AQ$27</f>
        <v>0</v>
      </c>
      <c r="GO7" s="66">
        <f>'P4'!AR$27</f>
        <v>0</v>
      </c>
      <c r="GP7" s="66">
        <f>'P4'!AS$27</f>
        <v>0</v>
      </c>
      <c r="GQ7" s="66">
        <f>'P4'!AT$27</f>
        <v>0</v>
      </c>
      <c r="GR7" s="66">
        <f>'P4'!AU$27</f>
        <v>0</v>
      </c>
      <c r="GS7" s="66">
        <f>'P4'!AV$27</f>
        <v>0</v>
      </c>
      <c r="GT7" s="66">
        <f>'P4'!AW$27</f>
        <v>0</v>
      </c>
      <c r="GU7" s="66">
        <f>'P4'!AX$27</f>
        <v>0</v>
      </c>
      <c r="GV7" s="66">
        <f>'P4'!AY$27</f>
        <v>0</v>
      </c>
      <c r="GW7" s="66">
        <f>'P4'!AZ$27</f>
        <v>0</v>
      </c>
      <c r="GX7" s="66">
        <f>'P4'!BA$27</f>
        <v>0</v>
      </c>
      <c r="GY7" s="66">
        <f>'P4'!BB$27</f>
        <v>0</v>
      </c>
      <c r="GZ7" s="66">
        <f>'P4'!BC$27</f>
        <v>0</v>
      </c>
      <c r="HA7" s="66">
        <f>'P4'!BD$27</f>
        <v>0</v>
      </c>
      <c r="HB7" s="66">
        <f>'P4'!BE$27</f>
        <v>0</v>
      </c>
      <c r="HC7" s="66">
        <f>'P4'!F$29</f>
        <v>0</v>
      </c>
      <c r="HD7" s="66">
        <f>'P4'!G$29</f>
        <v>0</v>
      </c>
      <c r="HE7" s="66">
        <f>'P4'!H$29</f>
        <v>0</v>
      </c>
      <c r="HF7" s="66">
        <f>'P4'!I$29</f>
        <v>0</v>
      </c>
      <c r="HG7" s="66">
        <f>'P4'!J$29</f>
        <v>0</v>
      </c>
      <c r="HH7" s="66">
        <f>'P4'!K$29</f>
        <v>0</v>
      </c>
      <c r="HI7" s="66">
        <f>'P4'!L$29</f>
        <v>0</v>
      </c>
      <c r="HJ7" s="66">
        <f>'P4'!M$29</f>
        <v>0</v>
      </c>
      <c r="HK7" s="66">
        <f>'P4'!N$29</f>
        <v>0</v>
      </c>
      <c r="HL7" s="66">
        <f>'P4'!O$29</f>
        <v>0</v>
      </c>
      <c r="HM7" s="66">
        <f>'P4'!P$29</f>
        <v>0</v>
      </c>
      <c r="HN7" s="66">
        <f>'P4'!Q$29</f>
        <v>0</v>
      </c>
      <c r="HO7" s="66">
        <f>'P4'!R$29</f>
        <v>0</v>
      </c>
      <c r="HP7" s="66">
        <f>'P4'!S$29</f>
        <v>0</v>
      </c>
      <c r="HQ7" s="66">
        <f>'P4'!T$29</f>
        <v>0</v>
      </c>
      <c r="HR7" s="66">
        <f>'P4'!U$29</f>
        <v>0</v>
      </c>
      <c r="HS7" s="66">
        <f>'P4'!V$29</f>
        <v>0</v>
      </c>
      <c r="HT7" s="66">
        <f>'P4'!W$29</f>
        <v>0</v>
      </c>
      <c r="HU7" s="66">
        <f>'P4'!X$29</f>
        <v>0</v>
      </c>
      <c r="HV7" s="66">
        <f>'P4'!Y$29</f>
        <v>0</v>
      </c>
      <c r="HW7" s="66">
        <f>'P4'!Z$29</f>
        <v>0</v>
      </c>
      <c r="HX7" s="66">
        <f>'P4'!AA$29</f>
        <v>0</v>
      </c>
      <c r="HY7" s="66">
        <f>'P4'!AB$29</f>
        <v>0</v>
      </c>
      <c r="HZ7" s="66">
        <f>'P4'!AC$29</f>
        <v>0</v>
      </c>
      <c r="IA7" s="66">
        <f>'P4'!AD$29</f>
        <v>0</v>
      </c>
      <c r="IB7" s="66">
        <f>'P4'!AE$29</f>
        <v>0</v>
      </c>
      <c r="IC7" s="66">
        <f>'P4'!AF$29</f>
        <v>0</v>
      </c>
      <c r="ID7" s="66">
        <f>'P4'!AG$29</f>
        <v>0</v>
      </c>
      <c r="IE7" s="66">
        <f>'P4'!AH$29</f>
        <v>0</v>
      </c>
      <c r="IF7" s="66">
        <f>'P4'!AI$29</f>
        <v>0</v>
      </c>
      <c r="IG7" s="66">
        <f>'P4'!AJ$29</f>
        <v>0</v>
      </c>
      <c r="IH7" s="66">
        <f>'P4'!AK$29</f>
        <v>0</v>
      </c>
      <c r="II7" s="66">
        <f>'P4'!AL$29</f>
        <v>0</v>
      </c>
      <c r="IJ7" s="66">
        <f>'P4'!AM$29</f>
        <v>0</v>
      </c>
      <c r="IK7" s="66">
        <f>'P4'!AN$29</f>
        <v>0</v>
      </c>
      <c r="IL7" s="66">
        <f>'P4'!AO$29</f>
        <v>0</v>
      </c>
      <c r="IM7" s="66">
        <f>'P4'!AP$29</f>
        <v>0</v>
      </c>
      <c r="IN7" s="66">
        <f>'P4'!AQ$29</f>
        <v>0</v>
      </c>
      <c r="IO7" s="66">
        <f>'P4'!AR$29</f>
        <v>0</v>
      </c>
      <c r="IP7" s="66">
        <f>'P4'!AS$29</f>
        <v>0</v>
      </c>
      <c r="IQ7" s="66">
        <f>'P4'!AT$29</f>
        <v>0</v>
      </c>
      <c r="IR7" s="66">
        <f>'P4'!AU$29</f>
        <v>0</v>
      </c>
      <c r="IS7" s="66">
        <f>'P4'!AV$29</f>
        <v>0</v>
      </c>
      <c r="IT7" s="66">
        <f>'P4'!AW$29</f>
        <v>0</v>
      </c>
      <c r="IU7" s="66">
        <f>'P4'!AX$29</f>
        <v>0</v>
      </c>
      <c r="IV7" s="66">
        <f>'P4'!AY$29</f>
        <v>0</v>
      </c>
      <c r="IW7" s="66">
        <f>'P4'!AZ$29</f>
        <v>0</v>
      </c>
      <c r="IX7" s="66">
        <f>'P4'!BA$29</f>
        <v>0</v>
      </c>
      <c r="IY7" s="66">
        <f>'P4'!BB$29</f>
        <v>0</v>
      </c>
      <c r="IZ7" s="66">
        <f>'P4'!BC$29</f>
        <v>0</v>
      </c>
      <c r="JA7" s="66">
        <f>'P4'!BD$29</f>
        <v>0</v>
      </c>
      <c r="JB7" s="66">
        <f>'P4'!BE$29</f>
        <v>0</v>
      </c>
      <c r="JC7" s="66">
        <f>'P4'!F$30</f>
        <v>0</v>
      </c>
      <c r="JD7" s="66">
        <f>'P4'!G$30</f>
        <v>0</v>
      </c>
      <c r="JE7" s="66">
        <f>'P4'!H$30</f>
        <v>0</v>
      </c>
      <c r="JF7" s="66">
        <f>'P4'!I$30</f>
        <v>0</v>
      </c>
      <c r="JG7" s="66">
        <f>'P4'!J$30</f>
        <v>0</v>
      </c>
      <c r="JH7" s="66">
        <f>'P4'!K$30</f>
        <v>0</v>
      </c>
      <c r="JI7" s="66">
        <f>'P4'!L$30</f>
        <v>0</v>
      </c>
      <c r="JJ7" s="66">
        <f>'P4'!M$30</f>
        <v>0</v>
      </c>
      <c r="JK7" s="66">
        <f>'P4'!N$30</f>
        <v>0</v>
      </c>
      <c r="JL7" s="66">
        <f>'P4'!O$30</f>
        <v>0</v>
      </c>
      <c r="JM7" s="66">
        <f>'P4'!P$30</f>
        <v>0</v>
      </c>
      <c r="JN7" s="66">
        <f>'P4'!Q$30</f>
        <v>0</v>
      </c>
      <c r="JO7" s="66">
        <f>'P4'!R$30</f>
        <v>0</v>
      </c>
      <c r="JP7" s="66">
        <f>'P4'!S$30</f>
        <v>0</v>
      </c>
      <c r="JQ7" s="66">
        <f>'P4'!T$30</f>
        <v>0</v>
      </c>
      <c r="JR7" s="66">
        <f>'P4'!U$30</f>
        <v>0</v>
      </c>
      <c r="JS7" s="66">
        <f>'P4'!V$30</f>
        <v>0</v>
      </c>
      <c r="JT7" s="66">
        <f>'P4'!W$30</f>
        <v>0</v>
      </c>
      <c r="JU7" s="66">
        <f>'P4'!X$30</f>
        <v>0</v>
      </c>
      <c r="JV7" s="66">
        <f>'P4'!Y$30</f>
        <v>0</v>
      </c>
      <c r="JW7" s="66">
        <f>'P4'!Z$30</f>
        <v>0</v>
      </c>
      <c r="JX7" s="66">
        <f>'P4'!AA$30</f>
        <v>0</v>
      </c>
      <c r="JY7" s="66">
        <f>'P4'!AB$30</f>
        <v>0</v>
      </c>
      <c r="JZ7" s="66">
        <f>'P4'!AC$30</f>
        <v>0</v>
      </c>
      <c r="KA7" s="66">
        <f>'P4'!AD$30</f>
        <v>0</v>
      </c>
      <c r="KB7" s="66">
        <f>'P4'!AE$30</f>
        <v>0</v>
      </c>
      <c r="KC7" s="66">
        <f>'P4'!AF$30</f>
        <v>0</v>
      </c>
      <c r="KD7" s="66">
        <f>'P4'!AG$30</f>
        <v>0</v>
      </c>
      <c r="KE7" s="66">
        <f>'P4'!AH$30</f>
        <v>0</v>
      </c>
      <c r="KF7" s="66">
        <f>'P4'!AI$30</f>
        <v>0</v>
      </c>
      <c r="KG7" s="66">
        <f>'P4'!AJ$30</f>
        <v>0</v>
      </c>
      <c r="KH7" s="66">
        <f>'P4'!AK$30</f>
        <v>0</v>
      </c>
      <c r="KI7" s="66">
        <f>'P4'!AL$30</f>
        <v>0</v>
      </c>
      <c r="KJ7" s="66">
        <f>'P4'!AM$30</f>
        <v>0</v>
      </c>
      <c r="KK7" s="66">
        <f>'P4'!AN$30</f>
        <v>0</v>
      </c>
      <c r="KL7" s="66">
        <f>'P4'!AO$30</f>
        <v>0</v>
      </c>
      <c r="KM7" s="66">
        <f>'P4'!AP$30</f>
        <v>0</v>
      </c>
      <c r="KN7" s="66">
        <f>'P4'!AQ$30</f>
        <v>0</v>
      </c>
      <c r="KO7" s="66">
        <f>'P4'!AR$30</f>
        <v>0</v>
      </c>
      <c r="KP7" s="66">
        <f>'P4'!AS$30</f>
        <v>0</v>
      </c>
      <c r="KQ7" s="66">
        <f>'P4'!AT$30</f>
        <v>0</v>
      </c>
      <c r="KR7" s="66">
        <f>'P4'!AU$30</f>
        <v>0</v>
      </c>
      <c r="KS7" s="66">
        <f>'P4'!AV$30</f>
        <v>0</v>
      </c>
      <c r="KT7" s="66">
        <f>'P4'!AW$30</f>
        <v>0</v>
      </c>
      <c r="KU7" s="66">
        <f>'P4'!AX$30</f>
        <v>0</v>
      </c>
      <c r="KV7" s="66">
        <f>'P4'!AY$30</f>
        <v>0</v>
      </c>
      <c r="KW7" s="66">
        <f>'P4'!AZ$30</f>
        <v>0</v>
      </c>
      <c r="KX7" s="66">
        <f>'P4'!BA$30</f>
        <v>0</v>
      </c>
      <c r="KY7" s="66">
        <f>'P4'!BB$30</f>
        <v>0</v>
      </c>
      <c r="KZ7" s="66">
        <f>'P4'!BC$30</f>
        <v>0</v>
      </c>
      <c r="LA7" s="66">
        <f>'P4'!BD$30</f>
        <v>0</v>
      </c>
      <c r="LB7" s="66">
        <f>'P4'!BE$30</f>
        <v>0</v>
      </c>
      <c r="LC7" s="66">
        <f>'P4'!F$31</f>
        <v>0</v>
      </c>
      <c r="LD7" s="66">
        <f>'P4'!G$31</f>
        <v>0</v>
      </c>
      <c r="LE7" s="66">
        <f>'P4'!H$31</f>
        <v>0</v>
      </c>
      <c r="LF7" s="66">
        <f>'P4'!I$31</f>
        <v>0</v>
      </c>
      <c r="LG7" s="66">
        <f>'P4'!J$31</f>
        <v>0</v>
      </c>
      <c r="LH7" s="66">
        <f>'P4'!K$31</f>
        <v>0</v>
      </c>
      <c r="LI7" s="66">
        <f>'P4'!L$31</f>
        <v>0</v>
      </c>
      <c r="LJ7" s="66">
        <f>'P4'!M$31</f>
        <v>0</v>
      </c>
      <c r="LK7" s="66">
        <f>'P4'!N$31</f>
        <v>0</v>
      </c>
      <c r="LL7" s="66">
        <f>'P4'!O$31</f>
        <v>0</v>
      </c>
      <c r="LM7" s="66">
        <f>'P4'!P$31</f>
        <v>0</v>
      </c>
      <c r="LN7" s="66">
        <f>'P4'!Q$31</f>
        <v>0</v>
      </c>
      <c r="LO7" s="66">
        <f>'P4'!R$31</f>
        <v>0</v>
      </c>
      <c r="LP7" s="66">
        <f>'P4'!S$31</f>
        <v>0</v>
      </c>
      <c r="LQ7" s="66">
        <f>'P4'!T$31</f>
        <v>0</v>
      </c>
      <c r="LR7" s="66">
        <f>'P4'!U$31</f>
        <v>0</v>
      </c>
      <c r="LS7" s="66">
        <f>'P4'!V$31</f>
        <v>0</v>
      </c>
      <c r="LT7" s="66">
        <f>'P4'!W$31</f>
        <v>0</v>
      </c>
      <c r="LU7" s="66">
        <f>'P4'!X$31</f>
        <v>0</v>
      </c>
      <c r="LV7" s="66">
        <f>'P4'!Y$31</f>
        <v>0</v>
      </c>
      <c r="LW7" s="66">
        <f>'P4'!Z$31</f>
        <v>0</v>
      </c>
      <c r="LX7" s="66">
        <f>'P4'!AA$31</f>
        <v>0</v>
      </c>
      <c r="LY7" s="66">
        <f>'P4'!AB$31</f>
        <v>0</v>
      </c>
      <c r="LZ7" s="66">
        <f>'P4'!AC$31</f>
        <v>0</v>
      </c>
      <c r="MA7" s="66">
        <f>'P4'!AD$31</f>
        <v>0</v>
      </c>
      <c r="MB7" s="66">
        <f>'P4'!AE$31</f>
        <v>0</v>
      </c>
      <c r="MC7" s="66">
        <f>'P4'!AF$31</f>
        <v>0</v>
      </c>
      <c r="MD7" s="66">
        <f>'P4'!AG$31</f>
        <v>0</v>
      </c>
      <c r="ME7" s="66">
        <f>'P4'!AH$31</f>
        <v>0</v>
      </c>
      <c r="MF7" s="66">
        <f>'P4'!AI$31</f>
        <v>0</v>
      </c>
      <c r="MG7" s="66">
        <f>'P4'!AJ$31</f>
        <v>0</v>
      </c>
      <c r="MH7" s="66">
        <f>'P4'!AK$31</f>
        <v>0</v>
      </c>
      <c r="MI7" s="66">
        <f>'P4'!AL$31</f>
        <v>0</v>
      </c>
      <c r="MJ7" s="66">
        <f>'P4'!AM$31</f>
        <v>0</v>
      </c>
      <c r="MK7" s="66">
        <f>'P4'!AN$31</f>
        <v>0</v>
      </c>
      <c r="ML7" s="66">
        <f>'P4'!AO$31</f>
        <v>0</v>
      </c>
      <c r="MM7" s="66">
        <f>'P4'!AP$31</f>
        <v>0</v>
      </c>
      <c r="MN7" s="66">
        <f>'P4'!AQ$31</f>
        <v>0</v>
      </c>
      <c r="MO7" s="66">
        <f>'P4'!AR$31</f>
        <v>0</v>
      </c>
      <c r="MP7" s="66">
        <f>'P4'!AS$31</f>
        <v>0</v>
      </c>
      <c r="MQ7" s="66">
        <f>'P4'!AT$31</f>
        <v>0</v>
      </c>
      <c r="MR7" s="66">
        <f>'P4'!AU$31</f>
        <v>0</v>
      </c>
      <c r="MS7" s="66">
        <f>'P4'!AV$31</f>
        <v>0</v>
      </c>
      <c r="MT7" s="66">
        <f>'P4'!AW$31</f>
        <v>0</v>
      </c>
      <c r="MU7" s="66">
        <f>'P4'!AX$31</f>
        <v>0</v>
      </c>
      <c r="MV7" s="66">
        <f>'P4'!AY$31</f>
        <v>0</v>
      </c>
      <c r="MW7" s="66">
        <f>'P4'!AZ$31</f>
        <v>0</v>
      </c>
      <c r="MX7" s="66">
        <f>'P4'!BA$31</f>
        <v>0</v>
      </c>
      <c r="MY7" s="66">
        <f>'P4'!BB$31</f>
        <v>0</v>
      </c>
      <c r="MZ7" s="66">
        <f>'P4'!BC$31</f>
        <v>0</v>
      </c>
      <c r="NA7" s="66">
        <f>'P4'!BD$31</f>
        <v>0</v>
      </c>
      <c r="NB7" s="66">
        <f>'P4'!BE$31</f>
        <v>0</v>
      </c>
      <c r="NC7" s="66">
        <f>'P4'!F$33</f>
        <v>0</v>
      </c>
      <c r="ND7" s="66">
        <f>'P4'!G$33</f>
        <v>0</v>
      </c>
      <c r="NE7" s="66">
        <f>'P4'!H$33</f>
        <v>0</v>
      </c>
      <c r="NF7" s="66">
        <f>'P4'!I$33</f>
        <v>0</v>
      </c>
      <c r="NG7" s="66">
        <f>'P4'!J$33</f>
        <v>0</v>
      </c>
      <c r="NH7" s="66">
        <f>'P4'!K$33</f>
        <v>0</v>
      </c>
      <c r="NI7" s="66">
        <f>'P4'!L$33</f>
        <v>0</v>
      </c>
      <c r="NJ7" s="66">
        <f>'P4'!M$33</f>
        <v>0</v>
      </c>
      <c r="NK7" s="66">
        <f>'P4'!N$33</f>
        <v>0</v>
      </c>
      <c r="NL7" s="66">
        <f>'P4'!O$33</f>
        <v>0</v>
      </c>
      <c r="NM7" s="66">
        <f>'P4'!P$33</f>
        <v>0</v>
      </c>
      <c r="NN7" s="66">
        <f>'P4'!Q$33</f>
        <v>0</v>
      </c>
      <c r="NO7" s="66">
        <f>'P4'!R$33</f>
        <v>0</v>
      </c>
      <c r="NP7" s="66">
        <f>'P4'!S$33</f>
        <v>0</v>
      </c>
      <c r="NQ7" s="66">
        <f>'P4'!T$33</f>
        <v>0</v>
      </c>
      <c r="NR7" s="66">
        <f>'P4'!U$33</f>
        <v>0</v>
      </c>
      <c r="NS7" s="66">
        <f>'P4'!V$33</f>
        <v>0</v>
      </c>
      <c r="NT7" s="66">
        <f>'P4'!W$33</f>
        <v>0</v>
      </c>
      <c r="NU7" s="66">
        <f>'P4'!X$33</f>
        <v>0</v>
      </c>
      <c r="NV7" s="66">
        <f>'P4'!Y$33</f>
        <v>0</v>
      </c>
      <c r="NW7" s="66">
        <f>'P4'!Z$33</f>
        <v>0</v>
      </c>
      <c r="NX7" s="66">
        <f>'P4'!AA$33</f>
        <v>0</v>
      </c>
      <c r="NY7" s="66">
        <f>'P4'!AB$33</f>
        <v>0</v>
      </c>
      <c r="NZ7" s="66">
        <f>'P4'!AC$33</f>
        <v>0</v>
      </c>
      <c r="OA7" s="66">
        <f>'P4'!AD$33</f>
        <v>0</v>
      </c>
      <c r="OB7" s="66">
        <f>'P4'!AE$33</f>
        <v>0</v>
      </c>
      <c r="OC7" s="66">
        <f>'P4'!AF$33</f>
        <v>0</v>
      </c>
      <c r="OD7" s="66">
        <f>'P4'!AG$33</f>
        <v>0</v>
      </c>
      <c r="OE7" s="66">
        <f>'P4'!AH$33</f>
        <v>0</v>
      </c>
      <c r="OF7" s="66">
        <f>'P4'!AI$33</f>
        <v>0</v>
      </c>
      <c r="OG7" s="66">
        <f>'P4'!AJ$33</f>
        <v>0</v>
      </c>
      <c r="OH7" s="66">
        <f>'P4'!AK$33</f>
        <v>0</v>
      </c>
      <c r="OI7" s="66">
        <f>'P4'!AL$33</f>
        <v>0</v>
      </c>
      <c r="OJ7" s="66">
        <f>'P4'!AM$33</f>
        <v>0</v>
      </c>
      <c r="OK7" s="66">
        <f>'P4'!AN$33</f>
        <v>0</v>
      </c>
      <c r="OL7" s="66">
        <f>'P4'!AO$33</f>
        <v>0</v>
      </c>
      <c r="OM7" s="66">
        <f>'P4'!AP$33</f>
        <v>0</v>
      </c>
      <c r="ON7" s="66">
        <f>'P4'!AQ$33</f>
        <v>0</v>
      </c>
      <c r="OO7" s="66">
        <f>'P4'!AR$33</f>
        <v>0</v>
      </c>
      <c r="OP7" s="66">
        <f>'P4'!AS$33</f>
        <v>0</v>
      </c>
      <c r="OQ7" s="66">
        <f>'P4'!AT$33</f>
        <v>0</v>
      </c>
      <c r="OR7" s="66">
        <f>'P4'!AU$33</f>
        <v>0</v>
      </c>
      <c r="OS7" s="66">
        <f>'P4'!AV$33</f>
        <v>0</v>
      </c>
      <c r="OT7" s="66">
        <f>'P4'!AW$33</f>
        <v>0</v>
      </c>
      <c r="OU7" s="66">
        <f>'P4'!AX$33</f>
        <v>0</v>
      </c>
      <c r="OV7" s="66">
        <f>'P4'!AY$33</f>
        <v>0</v>
      </c>
      <c r="OW7" s="66">
        <f>'P4'!AZ$33</f>
        <v>0</v>
      </c>
      <c r="OX7" s="66">
        <f>'P4'!BA$33</f>
        <v>0</v>
      </c>
      <c r="OY7" s="66">
        <f>'P4'!BB$33</f>
        <v>0</v>
      </c>
      <c r="OZ7" s="66">
        <f>'P4'!BC$33</f>
        <v>0</v>
      </c>
      <c r="PA7" s="66">
        <f>'P4'!BD$33</f>
        <v>0</v>
      </c>
      <c r="PB7" s="66">
        <f>'P4'!BE$33</f>
        <v>0</v>
      </c>
      <c r="PC7" s="66">
        <f>'P4'!F$34</f>
        <v>0</v>
      </c>
      <c r="PD7" s="66">
        <f>'P4'!G$34</f>
        <v>0</v>
      </c>
      <c r="PE7" s="66">
        <f>'P4'!H$34</f>
        <v>0</v>
      </c>
      <c r="PF7" s="66">
        <f>'P4'!I$34</f>
        <v>0</v>
      </c>
      <c r="PG7" s="66">
        <f>'P4'!J$34</f>
        <v>0</v>
      </c>
      <c r="PH7" s="66">
        <f>'P4'!K$34</f>
        <v>0</v>
      </c>
      <c r="PI7" s="66">
        <f>'P4'!L$34</f>
        <v>0</v>
      </c>
      <c r="PJ7" s="66">
        <f>'P4'!M$34</f>
        <v>0</v>
      </c>
      <c r="PK7" s="66">
        <f>'P4'!N$34</f>
        <v>0</v>
      </c>
      <c r="PL7" s="66">
        <f>'P4'!O$34</f>
        <v>0</v>
      </c>
      <c r="PM7" s="66">
        <f>'P4'!P$34</f>
        <v>0</v>
      </c>
      <c r="PN7" s="66">
        <f>'P4'!Q$34</f>
        <v>0</v>
      </c>
      <c r="PO7" s="66">
        <f>'P4'!R$34</f>
        <v>0</v>
      </c>
      <c r="PP7" s="66">
        <f>'P4'!S$34</f>
        <v>0</v>
      </c>
      <c r="PQ7" s="66">
        <f>'P4'!T$34</f>
        <v>0</v>
      </c>
      <c r="PR7" s="66">
        <f>'P4'!U$34</f>
        <v>0</v>
      </c>
      <c r="PS7" s="66">
        <f>'P4'!V$34</f>
        <v>0</v>
      </c>
      <c r="PT7" s="66">
        <f>'P4'!W$34</f>
        <v>0</v>
      </c>
      <c r="PU7" s="66">
        <f>'P4'!X$34</f>
        <v>0</v>
      </c>
      <c r="PV7" s="66">
        <f>'P4'!Y$34</f>
        <v>0</v>
      </c>
      <c r="PW7" s="66">
        <f>'P4'!Z$34</f>
        <v>0</v>
      </c>
      <c r="PX7" s="66">
        <f>'P4'!AA$34</f>
        <v>0</v>
      </c>
      <c r="PY7" s="66">
        <f>'P4'!AB$34</f>
        <v>0</v>
      </c>
      <c r="PZ7" s="66">
        <f>'P4'!AC$34</f>
        <v>0</v>
      </c>
      <c r="QA7" s="66">
        <f>'P4'!AD$34</f>
        <v>0</v>
      </c>
      <c r="QB7" s="66">
        <f>'P4'!AE$34</f>
        <v>0</v>
      </c>
      <c r="QC7" s="66">
        <f>'P4'!AF$34</f>
        <v>0</v>
      </c>
      <c r="QD7" s="66">
        <f>'P4'!AG$34</f>
        <v>0</v>
      </c>
      <c r="QE7" s="66">
        <f>'P4'!AH$34</f>
        <v>0</v>
      </c>
      <c r="QF7" s="66">
        <f>'P4'!AI$34</f>
        <v>0</v>
      </c>
      <c r="QG7" s="66">
        <f>'P4'!AJ$34</f>
        <v>0</v>
      </c>
      <c r="QH7" s="66">
        <f>'P4'!AK$34</f>
        <v>0</v>
      </c>
      <c r="QI7" s="66">
        <f>'P4'!AL$34</f>
        <v>0</v>
      </c>
      <c r="QJ7" s="66">
        <f>'P4'!AM$34</f>
        <v>0</v>
      </c>
      <c r="QK7" s="66">
        <f>'P4'!AN$34</f>
        <v>0</v>
      </c>
      <c r="QL7" s="66">
        <f>'P4'!AO$34</f>
        <v>0</v>
      </c>
      <c r="QM7" s="66">
        <f>'P4'!AP$34</f>
        <v>0</v>
      </c>
      <c r="QN7" s="66">
        <f>'P4'!AQ$34</f>
        <v>0</v>
      </c>
      <c r="QO7" s="66">
        <f>'P4'!AR$34</f>
        <v>0</v>
      </c>
      <c r="QP7" s="66">
        <f>'P4'!AS$34</f>
        <v>0</v>
      </c>
      <c r="QQ7" s="66">
        <f>'P4'!AT$34</f>
        <v>0</v>
      </c>
      <c r="QR7" s="66">
        <f>'P4'!AU$34</f>
        <v>0</v>
      </c>
      <c r="QS7" s="66">
        <f>'P4'!AV$34</f>
        <v>0</v>
      </c>
      <c r="QT7" s="66">
        <f>'P4'!AW$34</f>
        <v>0</v>
      </c>
      <c r="QU7" s="66">
        <f>'P4'!AX$34</f>
        <v>0</v>
      </c>
      <c r="QV7" s="66">
        <f>'P4'!AY$34</f>
        <v>0</v>
      </c>
      <c r="QW7" s="66">
        <f>'P4'!AZ$34</f>
        <v>0</v>
      </c>
      <c r="QX7" s="66">
        <f>'P4'!BA$34</f>
        <v>0</v>
      </c>
      <c r="QY7" s="66">
        <f>'P4'!BB$34</f>
        <v>0</v>
      </c>
      <c r="QZ7" s="66">
        <f>'P4'!BC$34</f>
        <v>0</v>
      </c>
      <c r="RA7" s="66">
        <f>'P4'!BD$34</f>
        <v>0</v>
      </c>
      <c r="RB7" s="66">
        <f>'P4'!BE$34</f>
        <v>0</v>
      </c>
      <c r="RC7" s="66">
        <f>'P4'!F$35</f>
        <v>0</v>
      </c>
      <c r="RD7" s="66">
        <f>'P4'!G$35</f>
        <v>0</v>
      </c>
      <c r="RE7" s="66">
        <f>'P4'!H$35</f>
        <v>0</v>
      </c>
      <c r="RF7" s="66">
        <f>'P4'!I$35</f>
        <v>0</v>
      </c>
      <c r="RG7" s="66">
        <f>'P4'!J$35</f>
        <v>0</v>
      </c>
      <c r="RH7" s="66">
        <f>'P4'!K$35</f>
        <v>0</v>
      </c>
      <c r="RI7" s="66">
        <f>'P4'!L$35</f>
        <v>0</v>
      </c>
      <c r="RJ7" s="66">
        <f>'P4'!M$35</f>
        <v>0</v>
      </c>
      <c r="RK7" s="66">
        <f>'P4'!N$35</f>
        <v>0</v>
      </c>
      <c r="RL7" s="66">
        <f>'P4'!O$35</f>
        <v>0</v>
      </c>
      <c r="RM7" s="66">
        <f>'P4'!P$35</f>
        <v>0</v>
      </c>
      <c r="RN7" s="66">
        <f>'P4'!Q$35</f>
        <v>0</v>
      </c>
      <c r="RO7" s="66">
        <f>'P4'!R$35</f>
        <v>0</v>
      </c>
      <c r="RP7" s="66">
        <f>'P4'!S$35</f>
        <v>0</v>
      </c>
      <c r="RQ7" s="66">
        <f>'P4'!T$35</f>
        <v>0</v>
      </c>
      <c r="RR7" s="66">
        <f>'P4'!U$35</f>
        <v>0</v>
      </c>
      <c r="RS7" s="66">
        <f>'P4'!V$35</f>
        <v>0</v>
      </c>
      <c r="RT7" s="66">
        <f>'P4'!W$35</f>
        <v>0</v>
      </c>
      <c r="RU7" s="66">
        <f>'P4'!X$35</f>
        <v>0</v>
      </c>
      <c r="RV7" s="66">
        <f>'P4'!Y$35</f>
        <v>0</v>
      </c>
      <c r="RW7" s="66">
        <f>'P4'!Z$35</f>
        <v>0</v>
      </c>
      <c r="RX7" s="66">
        <f>'P4'!AA$35</f>
        <v>0</v>
      </c>
      <c r="RY7" s="66">
        <f>'P4'!AB$35</f>
        <v>0</v>
      </c>
      <c r="RZ7" s="66">
        <f>'P4'!AC$35</f>
        <v>0</v>
      </c>
      <c r="SA7" s="66">
        <f>'P4'!AD$35</f>
        <v>0</v>
      </c>
      <c r="SB7" s="66">
        <f>'P4'!AE$35</f>
        <v>0</v>
      </c>
      <c r="SC7" s="66">
        <f>'P4'!AF$35</f>
        <v>0</v>
      </c>
      <c r="SD7" s="66">
        <f>'P4'!AG$35</f>
        <v>0</v>
      </c>
      <c r="SE7" s="66">
        <f>'P4'!AH$35</f>
        <v>0</v>
      </c>
      <c r="SF7" s="66">
        <f>'P4'!AI$35</f>
        <v>0</v>
      </c>
      <c r="SG7" s="66">
        <f>'P4'!AJ$35</f>
        <v>0</v>
      </c>
      <c r="SH7" s="66">
        <f>'P4'!AK$35</f>
        <v>0</v>
      </c>
      <c r="SI7" s="66">
        <f>'P4'!AL$35</f>
        <v>0</v>
      </c>
      <c r="SJ7" s="66">
        <f>'P4'!AM$35</f>
        <v>0</v>
      </c>
      <c r="SK7" s="66">
        <f>'P4'!AN$35</f>
        <v>0</v>
      </c>
      <c r="SL7" s="66">
        <f>'P4'!AO$35</f>
        <v>0</v>
      </c>
      <c r="SM7" s="66">
        <f>'P4'!AP$35</f>
        <v>0</v>
      </c>
      <c r="SN7" s="66">
        <f>'P4'!AQ$35</f>
        <v>0</v>
      </c>
      <c r="SO7" s="66">
        <f>'P4'!AR$35</f>
        <v>0</v>
      </c>
      <c r="SP7" s="66">
        <f>'P4'!AS$35</f>
        <v>0</v>
      </c>
      <c r="SQ7" s="66">
        <f>'P4'!AT$35</f>
        <v>0</v>
      </c>
      <c r="SR7" s="66">
        <f>'P4'!AU$35</f>
        <v>0</v>
      </c>
      <c r="SS7" s="66">
        <f>'P4'!AV$35</f>
        <v>0</v>
      </c>
      <c r="ST7" s="66">
        <f>'P4'!AW$35</f>
        <v>0</v>
      </c>
      <c r="SU7" s="66">
        <f>'P4'!AX$35</f>
        <v>0</v>
      </c>
      <c r="SV7" s="66">
        <f>'P4'!AY$35</f>
        <v>0</v>
      </c>
      <c r="SW7" s="66">
        <f>'P4'!AZ$35</f>
        <v>0</v>
      </c>
      <c r="SX7" s="66">
        <f>'P4'!BA$35</f>
        <v>0</v>
      </c>
      <c r="SY7" s="66">
        <f>'P4'!BB$35</f>
        <v>0</v>
      </c>
      <c r="SZ7" s="66">
        <f>'P4'!BC$35</f>
        <v>0</v>
      </c>
      <c r="TA7" s="66">
        <f>'P4'!BD$35</f>
        <v>0</v>
      </c>
      <c r="TB7" s="66">
        <f>'P4'!BE$35</f>
        <v>0</v>
      </c>
    </row>
    <row r="8" spans="2:522">
      <c r="B8" s="66">
        <v>5</v>
      </c>
      <c r="C8" s="66">
        <f>'P5'!$F$3</f>
        <v>0</v>
      </c>
      <c r="D8" s="66">
        <f>'P5'!$F$5</f>
        <v>0</v>
      </c>
      <c r="E8" s="66">
        <f>'P5'!$F$7</f>
        <v>0</v>
      </c>
      <c r="F8" s="66" t="str">
        <f>'P5'!$F$8</f>
        <v/>
      </c>
      <c r="G8" s="66">
        <f>'P5'!$B$13</f>
        <v>0</v>
      </c>
      <c r="H8" s="66">
        <f>'P5'!$C$17</f>
        <v>0</v>
      </c>
      <c r="I8" s="66">
        <f>'P5'!$C$18</f>
        <v>0</v>
      </c>
      <c r="J8" s="66">
        <f>'P5'!$C$19</f>
        <v>0</v>
      </c>
      <c r="K8" s="66">
        <f>'P5'!$C$20</f>
        <v>0</v>
      </c>
      <c r="L8" s="66">
        <f>'P5'!$C$21</f>
        <v>0</v>
      </c>
      <c r="M8" s="66" t="str">
        <f>'P5'!$F$12</f>
        <v/>
      </c>
      <c r="N8" s="66" t="str">
        <f>'P5'!$G$13</f>
        <v>Select the primary KPI (Jonas Library)</v>
      </c>
      <c r="O8" s="66">
        <f>'P5'!$F$15</f>
        <v>0</v>
      </c>
      <c r="P8" s="66">
        <f>'P5'!$F$19</f>
        <v>0</v>
      </c>
      <c r="Q8" s="66" t="str">
        <f>'P5'!$O$12</f>
        <v/>
      </c>
      <c r="R8" s="66" t="str">
        <f>'P5'!$P$13</f>
        <v>Select the primary KPI (Jonas Library)</v>
      </c>
      <c r="S8" s="66">
        <f>'P5'!$O$15</f>
        <v>0</v>
      </c>
      <c r="T8" s="66">
        <f>'P5'!$O$19</f>
        <v>0</v>
      </c>
      <c r="U8" s="66" t="str">
        <f>'P5'!$X$12</f>
        <v/>
      </c>
      <c r="V8" s="66" t="str">
        <f>'P5'!$Y$13</f>
        <v>Select the primary KPI (Jonas Library)</v>
      </c>
      <c r="W8" s="66">
        <f>'P5'!$X$15</f>
        <v>0</v>
      </c>
      <c r="X8" s="66">
        <f>'P5'!$X$19</f>
        <v>0</v>
      </c>
      <c r="Y8" s="66">
        <f>'P5'!$AV$3</f>
        <v>0</v>
      </c>
      <c r="Z8" s="66" t="str">
        <f ca="1">'P5'!$AO$4</f>
        <v>Not Def</v>
      </c>
      <c r="AA8" s="66">
        <f ca="1">'P5'!$AV$4</f>
        <v>0</v>
      </c>
      <c r="AB8" s="66" t="str">
        <f ca="1">'P5'!$AO$5</f>
        <v>Not Def</v>
      </c>
      <c r="AC8" s="66">
        <f ca="1">'P5'!$AV$5</f>
        <v>0</v>
      </c>
      <c r="AD8" s="66">
        <f ca="1">'P5'!$AV$6</f>
        <v>0</v>
      </c>
      <c r="AE8" s="67" t="str">
        <f>IF('P5'!$AV$10="","",'P5'!$AV$10)</f>
        <v/>
      </c>
      <c r="AF8" s="67" t="str">
        <f>IF('P5'!$AV$11="","",'P5'!$AV$11)</f>
        <v/>
      </c>
      <c r="AG8" s="67" t="str">
        <f>IF('P5'!$AV$12="","",'P5'!$AV$12)</f>
        <v/>
      </c>
      <c r="AH8" s="67" t="str">
        <f>IF('P5'!$AV$13="","",'P5'!$AV$13)</f>
        <v/>
      </c>
      <c r="AI8" s="67" t="str">
        <f>IF('P5'!$AV$14="","",'P5'!$AV$14)</f>
        <v/>
      </c>
      <c r="AJ8" s="67" t="str">
        <f>IF('P5'!$AV$15="","",'P5'!$AV$15)</f>
        <v/>
      </c>
      <c r="AK8" s="67" t="str">
        <f>IF('P5'!$AV$16="","",'P5'!$AV$16)</f>
        <v/>
      </c>
      <c r="AL8" s="67" t="str">
        <f>IF('P5'!$AV$17="","",'P5'!$AV$17)</f>
        <v/>
      </c>
      <c r="AM8" s="67" t="str">
        <f>IF('P5'!$AV$18="","",'P5'!AV$18)</f>
        <v/>
      </c>
      <c r="AN8" s="67" t="str">
        <f>IF('P5'!$AV$19="","",'P5'!$AV$19)</f>
        <v/>
      </c>
      <c r="AO8" s="67" t="str">
        <f>IF('P5'!$AV$20="","",'P5'!$AV$20)</f>
        <v/>
      </c>
      <c r="AP8" s="67" t="str">
        <f>IF('P5'!$AV$21="","",'P5'!$AV$21)</f>
        <v/>
      </c>
      <c r="AQ8" s="67" t="str">
        <f>IF('P5'!$AY$10="","",'P5'!$AY$10)</f>
        <v/>
      </c>
      <c r="AR8" s="67" t="str">
        <f>IF('P5'!$AY$11="","",'P5'!$AY$11)</f>
        <v/>
      </c>
      <c r="AS8" s="67" t="str">
        <f>IF('P5'!$AY$12="","",'P5'!$AY$12)</f>
        <v/>
      </c>
      <c r="AT8" s="67" t="str">
        <f>IF('P5'!$AY$13="","",'P5'!$AY$13)</f>
        <v/>
      </c>
      <c r="AU8" s="67" t="str">
        <f>IF('P5'!$AY$14="","",'P5'!$AY$14)</f>
        <v/>
      </c>
      <c r="AV8" s="67" t="str">
        <f>IF('P5'!$AY$15="","",'P5'!$AY$15)</f>
        <v/>
      </c>
      <c r="AW8" s="67" t="str">
        <f>IF('P5'!$AY$16="","",'P5'!$AY$16)</f>
        <v/>
      </c>
      <c r="AX8" s="67" t="str">
        <f>IF('P5'!$AY$17="","",'P5'!$AY$17)</f>
        <v/>
      </c>
      <c r="AY8" s="67" t="str">
        <f>IF('P5'!$AY$18="","",'P5'!$AY$18)</f>
        <v/>
      </c>
      <c r="AZ8" s="67" t="str">
        <f>IF('P5'!$AY$19="","",'P5'!$AY$19)</f>
        <v/>
      </c>
      <c r="BA8" s="67" t="str">
        <f>IF('P5'!$AY$20="","",'P5'!$AY$20)</f>
        <v/>
      </c>
      <c r="BB8" s="67" t="str">
        <f>IF('P5'!$AY$21="","",'P5'!$AY$21)</f>
        <v/>
      </c>
      <c r="BC8" s="66">
        <f>'P5'!F$25</f>
        <v>0</v>
      </c>
      <c r="BD8" s="66">
        <f>'P5'!G$25</f>
        <v>0</v>
      </c>
      <c r="BE8" s="66">
        <f>'P5'!H$25</f>
        <v>0</v>
      </c>
      <c r="BF8" s="66">
        <f>'P5'!I$25</f>
        <v>0</v>
      </c>
      <c r="BG8" s="66">
        <f>'P5'!J$25</f>
        <v>0</v>
      </c>
      <c r="BH8" s="66">
        <f>'P5'!K$25</f>
        <v>0</v>
      </c>
      <c r="BI8" s="66">
        <f>'P5'!L$25</f>
        <v>0</v>
      </c>
      <c r="BJ8" s="66">
        <f>'P5'!M$25</f>
        <v>0</v>
      </c>
      <c r="BK8" s="66">
        <f>'P5'!N$25</f>
        <v>0</v>
      </c>
      <c r="BL8" s="66">
        <f>'P5'!O$25</f>
        <v>0</v>
      </c>
      <c r="BM8" s="66">
        <f>'P5'!P$25</f>
        <v>0</v>
      </c>
      <c r="BN8" s="66">
        <f>'P5'!Q$25</f>
        <v>0</v>
      </c>
      <c r="BO8" s="66">
        <f>'P5'!R$25</f>
        <v>0</v>
      </c>
      <c r="BP8" s="66">
        <f>'P5'!S$25</f>
        <v>0</v>
      </c>
      <c r="BQ8" s="66">
        <f>'P5'!T$25</f>
        <v>0</v>
      </c>
      <c r="BR8" s="66">
        <f>'P5'!U$25</f>
        <v>0</v>
      </c>
      <c r="BS8" s="66">
        <f>'P5'!V$25</f>
        <v>0</v>
      </c>
      <c r="BT8" s="66">
        <f>'P5'!W$25</f>
        <v>0</v>
      </c>
      <c r="BU8" s="66">
        <f>'P5'!X$25</f>
        <v>0</v>
      </c>
      <c r="BV8" s="66">
        <f>'P5'!Y$25</f>
        <v>0</v>
      </c>
      <c r="BW8" s="66">
        <f>'P5'!Z$25</f>
        <v>0</v>
      </c>
      <c r="BX8" s="66">
        <f>'P5'!AA$25</f>
        <v>0</v>
      </c>
      <c r="BY8" s="66">
        <f>'P5'!AB$25</f>
        <v>0</v>
      </c>
      <c r="BZ8" s="66">
        <f>'P5'!AC$25</f>
        <v>0</v>
      </c>
      <c r="CA8" s="66">
        <f>'P5'!AD$25</f>
        <v>0</v>
      </c>
      <c r="CB8" s="66">
        <f>'P5'!AE$25</f>
        <v>0</v>
      </c>
      <c r="CC8" s="66">
        <f>'P5'!AF$25</f>
        <v>0</v>
      </c>
      <c r="CD8" s="66">
        <f>'P5'!AG$25</f>
        <v>0</v>
      </c>
      <c r="CE8" s="66">
        <f>'P5'!AH$25</f>
        <v>0</v>
      </c>
      <c r="CF8" s="66">
        <f>'P5'!AI$25</f>
        <v>0</v>
      </c>
      <c r="CG8" s="66">
        <f>'P5'!AJ$25</f>
        <v>0</v>
      </c>
      <c r="CH8" s="66">
        <f>'P5'!AK$25</f>
        <v>0</v>
      </c>
      <c r="CI8" s="66">
        <f>'P5'!AL$25</f>
        <v>0</v>
      </c>
      <c r="CJ8" s="66">
        <f>'P5'!AM$25</f>
        <v>0</v>
      </c>
      <c r="CK8" s="66">
        <f>'P5'!AN$25</f>
        <v>0</v>
      </c>
      <c r="CL8" s="66">
        <f>'P5'!AO$25</f>
        <v>0</v>
      </c>
      <c r="CM8" s="66">
        <f>'P5'!AP$25</f>
        <v>0</v>
      </c>
      <c r="CN8" s="66">
        <f>'P5'!AQ$25</f>
        <v>0</v>
      </c>
      <c r="CO8" s="66">
        <f>'P5'!AR$25</f>
        <v>0</v>
      </c>
      <c r="CP8" s="66">
        <f>'P5'!AS$25</f>
        <v>0</v>
      </c>
      <c r="CQ8" s="66">
        <f>'P5'!AT$25</f>
        <v>0</v>
      </c>
      <c r="CR8" s="66">
        <f>'P5'!AU$25</f>
        <v>0</v>
      </c>
      <c r="CS8" s="66">
        <f>'P5'!AV$25</f>
        <v>0</v>
      </c>
      <c r="CT8" s="66">
        <f>'P5'!AW$25</f>
        <v>0</v>
      </c>
      <c r="CU8" s="66">
        <f>'P5'!AX$25</f>
        <v>0</v>
      </c>
      <c r="CV8" s="66">
        <f>'P5'!AY$25</f>
        <v>0</v>
      </c>
      <c r="CW8" s="66">
        <f>'P5'!AZ$25</f>
        <v>0</v>
      </c>
      <c r="CX8" s="66">
        <f>'P5'!BA$25</f>
        <v>0</v>
      </c>
      <c r="CY8" s="66">
        <f>'P5'!BB$25</f>
        <v>0</v>
      </c>
      <c r="CZ8" s="66">
        <f>'P5'!BC$25</f>
        <v>0</v>
      </c>
      <c r="DA8" s="66">
        <f>'P5'!BD$25</f>
        <v>0</v>
      </c>
      <c r="DB8" s="66">
        <f>'P5'!BE$25</f>
        <v>0</v>
      </c>
      <c r="DC8" s="66">
        <f>'P5'!F$26</f>
        <v>0</v>
      </c>
      <c r="DD8" s="66">
        <f>'P5'!G$26</f>
        <v>0</v>
      </c>
      <c r="DE8" s="66">
        <f>'P5'!H$26</f>
        <v>0</v>
      </c>
      <c r="DF8" s="66">
        <f>'P5'!I$26</f>
        <v>0</v>
      </c>
      <c r="DG8" s="66">
        <f>'P5'!J$26</f>
        <v>0</v>
      </c>
      <c r="DH8" s="66">
        <f>'P5'!K$26</f>
        <v>0</v>
      </c>
      <c r="DI8" s="66">
        <f>'P5'!L$26</f>
        <v>0</v>
      </c>
      <c r="DJ8" s="66">
        <f>'P5'!M$26</f>
        <v>0</v>
      </c>
      <c r="DK8" s="66">
        <f>'P5'!N$26</f>
        <v>0</v>
      </c>
      <c r="DL8" s="66">
        <f>'P5'!O$26</f>
        <v>0</v>
      </c>
      <c r="DM8" s="66">
        <f>'P5'!P$26</f>
        <v>0</v>
      </c>
      <c r="DN8" s="66">
        <f>'P5'!Q$26</f>
        <v>0</v>
      </c>
      <c r="DO8" s="66">
        <f>'P5'!R$26</f>
        <v>0</v>
      </c>
      <c r="DP8" s="66">
        <f>'P5'!S$26</f>
        <v>0</v>
      </c>
      <c r="DQ8" s="66">
        <f>'P5'!T$26</f>
        <v>0</v>
      </c>
      <c r="DR8" s="66">
        <f>'P5'!U$26</f>
        <v>0</v>
      </c>
      <c r="DS8" s="66">
        <f>'P5'!V$26</f>
        <v>0</v>
      </c>
      <c r="DT8" s="66">
        <f>'P5'!W$26</f>
        <v>0</v>
      </c>
      <c r="DU8" s="66">
        <f>'P5'!X$26</f>
        <v>0</v>
      </c>
      <c r="DV8" s="66">
        <f>'P5'!Y$26</f>
        <v>0</v>
      </c>
      <c r="DW8" s="66">
        <f>'P5'!Z$26</f>
        <v>0</v>
      </c>
      <c r="DX8" s="66">
        <f>'P5'!AA$26</f>
        <v>0</v>
      </c>
      <c r="DY8" s="66">
        <f>'P5'!AB$26</f>
        <v>0</v>
      </c>
      <c r="DZ8" s="66">
        <f>'P5'!AC$26</f>
        <v>0</v>
      </c>
      <c r="EA8" s="66">
        <f>'P5'!AD$26</f>
        <v>0</v>
      </c>
      <c r="EB8" s="66">
        <f>'P5'!AE$26</f>
        <v>0</v>
      </c>
      <c r="EC8" s="66">
        <f>'P5'!AF$26</f>
        <v>0</v>
      </c>
      <c r="ED8" s="66">
        <f>'P5'!AG$26</f>
        <v>0</v>
      </c>
      <c r="EE8" s="66">
        <f>'P5'!AH$26</f>
        <v>0</v>
      </c>
      <c r="EF8" s="66">
        <f>'P5'!AI$26</f>
        <v>0</v>
      </c>
      <c r="EG8" s="66">
        <f>'P5'!AJ$26</f>
        <v>0</v>
      </c>
      <c r="EH8" s="66">
        <f>'P5'!AK$26</f>
        <v>0</v>
      </c>
      <c r="EI8" s="66">
        <f>'P5'!AL$26</f>
        <v>0</v>
      </c>
      <c r="EJ8" s="66">
        <f>'P5'!AM$26</f>
        <v>0</v>
      </c>
      <c r="EK8" s="66">
        <f>'P5'!AN$26</f>
        <v>0</v>
      </c>
      <c r="EL8" s="66">
        <f>'P5'!AO$26</f>
        <v>0</v>
      </c>
      <c r="EM8" s="66">
        <f>'P5'!AP$26</f>
        <v>0</v>
      </c>
      <c r="EN8" s="66">
        <f>'P5'!AQ$26</f>
        <v>0</v>
      </c>
      <c r="EO8" s="66">
        <f>'P5'!AR$26</f>
        <v>0</v>
      </c>
      <c r="EP8" s="66">
        <f>'P5'!AS$26</f>
        <v>0</v>
      </c>
      <c r="EQ8" s="66">
        <f>'P5'!AT$26</f>
        <v>0</v>
      </c>
      <c r="ER8" s="66">
        <f>'P5'!AU$26</f>
        <v>0</v>
      </c>
      <c r="ES8" s="66">
        <f>'P5'!AV$26</f>
        <v>0</v>
      </c>
      <c r="ET8" s="66">
        <f>'P5'!AW$26</f>
        <v>0</v>
      </c>
      <c r="EU8" s="66">
        <f>'P5'!AX$26</f>
        <v>0</v>
      </c>
      <c r="EV8" s="66">
        <f>'P5'!AY$26</f>
        <v>0</v>
      </c>
      <c r="EW8" s="66">
        <f>'P5'!AZ$26</f>
        <v>0</v>
      </c>
      <c r="EX8" s="66">
        <f>'P5'!BA$26</f>
        <v>0</v>
      </c>
      <c r="EY8" s="66">
        <f>'P5'!BB$26</f>
        <v>0</v>
      </c>
      <c r="EZ8" s="66">
        <f>'P5'!BC$26</f>
        <v>0</v>
      </c>
      <c r="FA8" s="66">
        <f>'P5'!BD$26</f>
        <v>0</v>
      </c>
      <c r="FB8" s="66">
        <f>'P5'!BE$26</f>
        <v>0</v>
      </c>
      <c r="FC8" s="66">
        <f>'P5'!F$27</f>
        <v>0</v>
      </c>
      <c r="FD8" s="66">
        <f>'P5'!G$27</f>
        <v>0</v>
      </c>
      <c r="FE8" s="66">
        <f>'P5'!H$27</f>
        <v>0</v>
      </c>
      <c r="FF8" s="66">
        <f>'P5'!I$27</f>
        <v>0</v>
      </c>
      <c r="FG8" s="66">
        <f>'P5'!J$27</f>
        <v>0</v>
      </c>
      <c r="FH8" s="66">
        <f>'P5'!K$27</f>
        <v>0</v>
      </c>
      <c r="FI8" s="66">
        <f>'P5'!L$27</f>
        <v>0</v>
      </c>
      <c r="FJ8" s="66">
        <f>'P5'!M$27</f>
        <v>0</v>
      </c>
      <c r="FK8" s="66">
        <f>'P5'!N$27</f>
        <v>0</v>
      </c>
      <c r="FL8" s="66">
        <f>'P5'!O$27</f>
        <v>0</v>
      </c>
      <c r="FM8" s="66">
        <f>'P5'!P$27</f>
        <v>0</v>
      </c>
      <c r="FN8" s="66">
        <f>'P5'!Q$27</f>
        <v>0</v>
      </c>
      <c r="FO8" s="66">
        <f>'P5'!R$27</f>
        <v>0</v>
      </c>
      <c r="FP8" s="66">
        <f>'P5'!S$27</f>
        <v>0</v>
      </c>
      <c r="FQ8" s="66">
        <f>'P5'!T$27</f>
        <v>0</v>
      </c>
      <c r="FR8" s="66">
        <f>'P5'!U$27</f>
        <v>0</v>
      </c>
      <c r="FS8" s="66">
        <f>'P5'!V$27</f>
        <v>0</v>
      </c>
      <c r="FT8" s="66">
        <f>'P5'!W$27</f>
        <v>0</v>
      </c>
      <c r="FU8" s="66">
        <f>'P5'!X$27</f>
        <v>0</v>
      </c>
      <c r="FV8" s="66">
        <f>'P5'!Y$27</f>
        <v>0</v>
      </c>
      <c r="FW8" s="66">
        <f>'P5'!Z$27</f>
        <v>0</v>
      </c>
      <c r="FX8" s="66">
        <f>'P5'!AA$27</f>
        <v>0</v>
      </c>
      <c r="FY8" s="66">
        <f>'P5'!AB$27</f>
        <v>0</v>
      </c>
      <c r="FZ8" s="66">
        <f>'P5'!AC$27</f>
        <v>0</v>
      </c>
      <c r="GA8" s="66">
        <f>'P5'!AD$27</f>
        <v>0</v>
      </c>
      <c r="GB8" s="66">
        <f>'P5'!AE$27</f>
        <v>0</v>
      </c>
      <c r="GC8" s="66">
        <f>'P5'!AF$27</f>
        <v>0</v>
      </c>
      <c r="GD8" s="66">
        <f>'P5'!AG$27</f>
        <v>0</v>
      </c>
      <c r="GE8" s="66">
        <f>'P5'!AH$27</f>
        <v>0</v>
      </c>
      <c r="GF8" s="66">
        <f>'P5'!AI$27</f>
        <v>0</v>
      </c>
      <c r="GG8" s="66">
        <f>'P5'!AJ$27</f>
        <v>0</v>
      </c>
      <c r="GH8" s="66">
        <f>'P5'!AK$27</f>
        <v>0</v>
      </c>
      <c r="GI8" s="66">
        <f>'P5'!AL$27</f>
        <v>0</v>
      </c>
      <c r="GJ8" s="66">
        <f>'P5'!AM$27</f>
        <v>0</v>
      </c>
      <c r="GK8" s="66">
        <f>'P5'!AN$27</f>
        <v>0</v>
      </c>
      <c r="GL8" s="66">
        <f>'P5'!AO$27</f>
        <v>0</v>
      </c>
      <c r="GM8" s="66">
        <f>'P5'!AP$27</f>
        <v>0</v>
      </c>
      <c r="GN8" s="66">
        <f>'P5'!AQ$27</f>
        <v>0</v>
      </c>
      <c r="GO8" s="66">
        <f>'P5'!AR$27</f>
        <v>0</v>
      </c>
      <c r="GP8" s="66">
        <f>'P5'!AS$27</f>
        <v>0</v>
      </c>
      <c r="GQ8" s="66">
        <f>'P5'!AT$27</f>
        <v>0</v>
      </c>
      <c r="GR8" s="66">
        <f>'P5'!AU$27</f>
        <v>0</v>
      </c>
      <c r="GS8" s="66">
        <f>'P5'!AV$27</f>
        <v>0</v>
      </c>
      <c r="GT8" s="66">
        <f>'P5'!AW$27</f>
        <v>0</v>
      </c>
      <c r="GU8" s="66">
        <f>'P5'!AX$27</f>
        <v>0</v>
      </c>
      <c r="GV8" s="66">
        <f>'P5'!AY$27</f>
        <v>0</v>
      </c>
      <c r="GW8" s="66">
        <f>'P5'!AZ$27</f>
        <v>0</v>
      </c>
      <c r="GX8" s="66">
        <f>'P5'!BA$27</f>
        <v>0</v>
      </c>
      <c r="GY8" s="66">
        <f>'P5'!BB$27</f>
        <v>0</v>
      </c>
      <c r="GZ8" s="66">
        <f>'P5'!BC$27</f>
        <v>0</v>
      </c>
      <c r="HA8" s="66">
        <f>'P5'!BD$27</f>
        <v>0</v>
      </c>
      <c r="HB8" s="66">
        <f>'P5'!BE$27</f>
        <v>0</v>
      </c>
      <c r="HC8" s="66">
        <f>'P5'!F$29</f>
        <v>0</v>
      </c>
      <c r="HD8" s="66">
        <f>'P5'!G$29</f>
        <v>0</v>
      </c>
      <c r="HE8" s="66">
        <f>'P5'!H$29</f>
        <v>0</v>
      </c>
      <c r="HF8" s="66">
        <f>'P5'!I$29</f>
        <v>0</v>
      </c>
      <c r="HG8" s="66">
        <f>'P5'!J$29</f>
        <v>0</v>
      </c>
      <c r="HH8" s="66">
        <f>'P5'!K$29</f>
        <v>0</v>
      </c>
      <c r="HI8" s="66">
        <f>'P5'!L$29</f>
        <v>0</v>
      </c>
      <c r="HJ8" s="66">
        <f>'P5'!M$29</f>
        <v>0</v>
      </c>
      <c r="HK8" s="66">
        <f>'P5'!N$29</f>
        <v>0</v>
      </c>
      <c r="HL8" s="66">
        <f>'P5'!O$29</f>
        <v>0</v>
      </c>
      <c r="HM8" s="66">
        <f>'P5'!P$29</f>
        <v>0</v>
      </c>
      <c r="HN8" s="66">
        <f>'P5'!Q$29</f>
        <v>0</v>
      </c>
      <c r="HO8" s="66">
        <f>'P5'!R$29</f>
        <v>0</v>
      </c>
      <c r="HP8" s="66">
        <f>'P5'!S$29</f>
        <v>0</v>
      </c>
      <c r="HQ8" s="66">
        <f>'P5'!T$29</f>
        <v>0</v>
      </c>
      <c r="HR8" s="66">
        <f>'P5'!U$29</f>
        <v>0</v>
      </c>
      <c r="HS8" s="66">
        <f>'P5'!V$29</f>
        <v>0</v>
      </c>
      <c r="HT8" s="66">
        <f>'P5'!W$29</f>
        <v>0</v>
      </c>
      <c r="HU8" s="66">
        <f>'P5'!X$29</f>
        <v>0</v>
      </c>
      <c r="HV8" s="66">
        <f>'P5'!Y$29</f>
        <v>0</v>
      </c>
      <c r="HW8" s="66">
        <f>'P5'!Z$29</f>
        <v>0</v>
      </c>
      <c r="HX8" s="66">
        <f>'P5'!AA$29</f>
        <v>0</v>
      </c>
      <c r="HY8" s="66">
        <f>'P5'!AB$29</f>
        <v>0</v>
      </c>
      <c r="HZ8" s="66">
        <f>'P5'!AC$29</f>
        <v>0</v>
      </c>
      <c r="IA8" s="66">
        <f>'P5'!AD$29</f>
        <v>0</v>
      </c>
      <c r="IB8" s="66">
        <f>'P5'!AE$29</f>
        <v>0</v>
      </c>
      <c r="IC8" s="66">
        <f>'P5'!AF$29</f>
        <v>0</v>
      </c>
      <c r="ID8" s="66">
        <f>'P5'!AG$29</f>
        <v>0</v>
      </c>
      <c r="IE8" s="66">
        <f>'P5'!AH$29</f>
        <v>0</v>
      </c>
      <c r="IF8" s="66">
        <f>'P5'!AI$29</f>
        <v>0</v>
      </c>
      <c r="IG8" s="66">
        <f>'P5'!AJ$29</f>
        <v>0</v>
      </c>
      <c r="IH8" s="66">
        <f>'P5'!AK$29</f>
        <v>0</v>
      </c>
      <c r="II8" s="66">
        <f>'P5'!AL$29</f>
        <v>0</v>
      </c>
      <c r="IJ8" s="66">
        <f>'P5'!AM$29</f>
        <v>0</v>
      </c>
      <c r="IK8" s="66">
        <f>'P5'!AN$29</f>
        <v>0</v>
      </c>
      <c r="IL8" s="66">
        <f>'P5'!AO$29</f>
        <v>0</v>
      </c>
      <c r="IM8" s="66">
        <f>'P5'!AP$29</f>
        <v>0</v>
      </c>
      <c r="IN8" s="66">
        <f>'P5'!AQ$29</f>
        <v>0</v>
      </c>
      <c r="IO8" s="66">
        <f>'P5'!AR$29</f>
        <v>0</v>
      </c>
      <c r="IP8" s="66">
        <f>'P5'!AS$29</f>
        <v>0</v>
      </c>
      <c r="IQ8" s="66">
        <f>'P5'!AT$29</f>
        <v>0</v>
      </c>
      <c r="IR8" s="66">
        <f>'P5'!AU$29</f>
        <v>0</v>
      </c>
      <c r="IS8" s="66">
        <f>'P5'!AV$29</f>
        <v>0</v>
      </c>
      <c r="IT8" s="66">
        <f>'P5'!AW$29</f>
        <v>0</v>
      </c>
      <c r="IU8" s="66">
        <f>'P5'!AX$29</f>
        <v>0</v>
      </c>
      <c r="IV8" s="66">
        <f>'P5'!AY$29</f>
        <v>0</v>
      </c>
      <c r="IW8" s="66">
        <f>'P5'!AZ$29</f>
        <v>0</v>
      </c>
      <c r="IX8" s="66">
        <f>'P5'!BA$29</f>
        <v>0</v>
      </c>
      <c r="IY8" s="66">
        <f>'P5'!BB$29</f>
        <v>0</v>
      </c>
      <c r="IZ8" s="66">
        <f>'P5'!BC$29</f>
        <v>0</v>
      </c>
      <c r="JA8" s="66">
        <f>'P5'!BD$29</f>
        <v>0</v>
      </c>
      <c r="JB8" s="66">
        <f>'P5'!BE$29</f>
        <v>0</v>
      </c>
      <c r="JC8" s="66">
        <f>'P5'!F$30</f>
        <v>0</v>
      </c>
      <c r="JD8" s="66">
        <f>'P5'!G$30</f>
        <v>0</v>
      </c>
      <c r="JE8" s="66">
        <f>'P5'!H$30</f>
        <v>0</v>
      </c>
      <c r="JF8" s="66">
        <f>'P5'!I$30</f>
        <v>0</v>
      </c>
      <c r="JG8" s="66">
        <f>'P5'!J$30</f>
        <v>0</v>
      </c>
      <c r="JH8" s="66">
        <f>'P5'!K$30</f>
        <v>0</v>
      </c>
      <c r="JI8" s="66">
        <f>'P5'!L$30</f>
        <v>0</v>
      </c>
      <c r="JJ8" s="66">
        <f>'P5'!M$30</f>
        <v>0</v>
      </c>
      <c r="JK8" s="66">
        <f>'P5'!N$30</f>
        <v>0</v>
      </c>
      <c r="JL8" s="66">
        <f>'P5'!O$30</f>
        <v>0</v>
      </c>
      <c r="JM8" s="66">
        <f>'P5'!P$30</f>
        <v>0</v>
      </c>
      <c r="JN8" s="66">
        <f>'P5'!Q$30</f>
        <v>0</v>
      </c>
      <c r="JO8" s="66">
        <f>'P5'!R$30</f>
        <v>0</v>
      </c>
      <c r="JP8" s="66">
        <f>'P5'!S$30</f>
        <v>0</v>
      </c>
      <c r="JQ8" s="66">
        <f>'P5'!T$30</f>
        <v>0</v>
      </c>
      <c r="JR8" s="66">
        <f>'P5'!U$30</f>
        <v>0</v>
      </c>
      <c r="JS8" s="66">
        <f>'P5'!V$30</f>
        <v>0</v>
      </c>
      <c r="JT8" s="66">
        <f>'P5'!W$30</f>
        <v>0</v>
      </c>
      <c r="JU8" s="66">
        <f>'P5'!X$30</f>
        <v>0</v>
      </c>
      <c r="JV8" s="66">
        <f>'P5'!Y$30</f>
        <v>0</v>
      </c>
      <c r="JW8" s="66">
        <f>'P5'!Z$30</f>
        <v>0</v>
      </c>
      <c r="JX8" s="66">
        <f>'P5'!AA$30</f>
        <v>0</v>
      </c>
      <c r="JY8" s="66">
        <f>'P5'!AB$30</f>
        <v>0</v>
      </c>
      <c r="JZ8" s="66">
        <f>'P5'!AC$30</f>
        <v>0</v>
      </c>
      <c r="KA8" s="66">
        <f>'P5'!AD$30</f>
        <v>0</v>
      </c>
      <c r="KB8" s="66">
        <f>'P5'!AE$30</f>
        <v>0</v>
      </c>
      <c r="KC8" s="66">
        <f>'P5'!AF$30</f>
        <v>0</v>
      </c>
      <c r="KD8" s="66">
        <f>'P5'!AG$30</f>
        <v>0</v>
      </c>
      <c r="KE8" s="66">
        <f>'P5'!AH$30</f>
        <v>0</v>
      </c>
      <c r="KF8" s="66">
        <f>'P5'!AI$30</f>
        <v>0</v>
      </c>
      <c r="KG8" s="66">
        <f>'P5'!AJ$30</f>
        <v>0</v>
      </c>
      <c r="KH8" s="66">
        <f>'P5'!AK$30</f>
        <v>0</v>
      </c>
      <c r="KI8" s="66">
        <f>'P5'!AL$30</f>
        <v>0</v>
      </c>
      <c r="KJ8" s="66">
        <f>'P5'!AM$30</f>
        <v>0</v>
      </c>
      <c r="KK8" s="66">
        <f>'P5'!AN$30</f>
        <v>0</v>
      </c>
      <c r="KL8" s="66">
        <f>'P5'!AO$30</f>
        <v>0</v>
      </c>
      <c r="KM8" s="66">
        <f>'P5'!AP$30</f>
        <v>0</v>
      </c>
      <c r="KN8" s="66">
        <f>'P5'!AQ$30</f>
        <v>0</v>
      </c>
      <c r="KO8" s="66">
        <f>'P5'!AR$30</f>
        <v>0</v>
      </c>
      <c r="KP8" s="66">
        <f>'P5'!AS$30</f>
        <v>0</v>
      </c>
      <c r="KQ8" s="66">
        <f>'P5'!AT$30</f>
        <v>0</v>
      </c>
      <c r="KR8" s="66">
        <f>'P5'!AU$30</f>
        <v>0</v>
      </c>
      <c r="KS8" s="66">
        <f>'P5'!AV$30</f>
        <v>0</v>
      </c>
      <c r="KT8" s="66">
        <f>'P5'!AW$30</f>
        <v>0</v>
      </c>
      <c r="KU8" s="66">
        <f>'P5'!AX$30</f>
        <v>0</v>
      </c>
      <c r="KV8" s="66">
        <f>'P5'!AY$30</f>
        <v>0</v>
      </c>
      <c r="KW8" s="66">
        <f>'P5'!AZ$30</f>
        <v>0</v>
      </c>
      <c r="KX8" s="66">
        <f>'P5'!BA$30</f>
        <v>0</v>
      </c>
      <c r="KY8" s="66">
        <f>'P5'!BB$30</f>
        <v>0</v>
      </c>
      <c r="KZ8" s="66">
        <f>'P5'!BC$30</f>
        <v>0</v>
      </c>
      <c r="LA8" s="66">
        <f>'P5'!BD$30</f>
        <v>0</v>
      </c>
      <c r="LB8" s="66">
        <f>'P5'!BE$30</f>
        <v>0</v>
      </c>
      <c r="LC8" s="66">
        <f>'P5'!F$31</f>
        <v>0</v>
      </c>
      <c r="LD8" s="66">
        <f>'P5'!G$31</f>
        <v>0</v>
      </c>
      <c r="LE8" s="66">
        <f>'P5'!H$31</f>
        <v>0</v>
      </c>
      <c r="LF8" s="66">
        <f>'P5'!I$31</f>
        <v>0</v>
      </c>
      <c r="LG8" s="66">
        <f>'P5'!J$31</f>
        <v>0</v>
      </c>
      <c r="LH8" s="66">
        <f>'P5'!K$31</f>
        <v>0</v>
      </c>
      <c r="LI8" s="66">
        <f>'P5'!L$31</f>
        <v>0</v>
      </c>
      <c r="LJ8" s="66">
        <f>'P5'!M$31</f>
        <v>0</v>
      </c>
      <c r="LK8" s="66">
        <f>'P5'!N$31</f>
        <v>0</v>
      </c>
      <c r="LL8" s="66">
        <f>'P5'!O$31</f>
        <v>0</v>
      </c>
      <c r="LM8" s="66">
        <f>'P5'!P$31</f>
        <v>0</v>
      </c>
      <c r="LN8" s="66">
        <f>'P5'!Q$31</f>
        <v>0</v>
      </c>
      <c r="LO8" s="66">
        <f>'P5'!R$31</f>
        <v>0</v>
      </c>
      <c r="LP8" s="66">
        <f>'P5'!S$31</f>
        <v>0</v>
      </c>
      <c r="LQ8" s="66">
        <f>'P5'!T$31</f>
        <v>0</v>
      </c>
      <c r="LR8" s="66">
        <f>'P5'!U$31</f>
        <v>0</v>
      </c>
      <c r="LS8" s="66">
        <f>'P5'!V$31</f>
        <v>0</v>
      </c>
      <c r="LT8" s="66">
        <f>'P5'!W$31</f>
        <v>0</v>
      </c>
      <c r="LU8" s="66">
        <f>'P5'!X$31</f>
        <v>0</v>
      </c>
      <c r="LV8" s="66">
        <f>'P5'!Y$31</f>
        <v>0</v>
      </c>
      <c r="LW8" s="66">
        <f>'P5'!Z$31</f>
        <v>0</v>
      </c>
      <c r="LX8" s="66">
        <f>'P5'!AA$31</f>
        <v>0</v>
      </c>
      <c r="LY8" s="66">
        <f>'P5'!AB$31</f>
        <v>0</v>
      </c>
      <c r="LZ8" s="66">
        <f>'P5'!AC$31</f>
        <v>0</v>
      </c>
      <c r="MA8" s="66">
        <f>'P5'!AD$31</f>
        <v>0</v>
      </c>
      <c r="MB8" s="66">
        <f>'P5'!AE$31</f>
        <v>0</v>
      </c>
      <c r="MC8" s="66">
        <f>'P5'!AF$31</f>
        <v>0</v>
      </c>
      <c r="MD8" s="66">
        <f>'P5'!AG$31</f>
        <v>0</v>
      </c>
      <c r="ME8" s="66">
        <f>'P5'!AH$31</f>
        <v>0</v>
      </c>
      <c r="MF8" s="66">
        <f>'P5'!AI$31</f>
        <v>0</v>
      </c>
      <c r="MG8" s="66">
        <f>'P5'!AJ$31</f>
        <v>0</v>
      </c>
      <c r="MH8" s="66">
        <f>'P5'!AK$31</f>
        <v>0</v>
      </c>
      <c r="MI8" s="66">
        <f>'P5'!AL$31</f>
        <v>0</v>
      </c>
      <c r="MJ8" s="66">
        <f>'P5'!AM$31</f>
        <v>0</v>
      </c>
      <c r="MK8" s="66">
        <f>'P5'!AN$31</f>
        <v>0</v>
      </c>
      <c r="ML8" s="66">
        <f>'P5'!AO$31</f>
        <v>0</v>
      </c>
      <c r="MM8" s="66">
        <f>'P5'!AP$31</f>
        <v>0</v>
      </c>
      <c r="MN8" s="66">
        <f>'P5'!AQ$31</f>
        <v>0</v>
      </c>
      <c r="MO8" s="66">
        <f>'P5'!AR$31</f>
        <v>0</v>
      </c>
      <c r="MP8" s="66">
        <f>'P5'!AS$31</f>
        <v>0</v>
      </c>
      <c r="MQ8" s="66">
        <f>'P5'!AT$31</f>
        <v>0</v>
      </c>
      <c r="MR8" s="66">
        <f>'P5'!AU$31</f>
        <v>0</v>
      </c>
      <c r="MS8" s="66">
        <f>'P5'!AV$31</f>
        <v>0</v>
      </c>
      <c r="MT8" s="66">
        <f>'P5'!AW$31</f>
        <v>0</v>
      </c>
      <c r="MU8" s="66">
        <f>'P5'!AX$31</f>
        <v>0</v>
      </c>
      <c r="MV8" s="66">
        <f>'P5'!AY$31</f>
        <v>0</v>
      </c>
      <c r="MW8" s="66">
        <f>'P5'!AZ$31</f>
        <v>0</v>
      </c>
      <c r="MX8" s="66">
        <f>'P5'!BA$31</f>
        <v>0</v>
      </c>
      <c r="MY8" s="66">
        <f>'P5'!BB$31</f>
        <v>0</v>
      </c>
      <c r="MZ8" s="66">
        <f>'P5'!BC$31</f>
        <v>0</v>
      </c>
      <c r="NA8" s="66">
        <f>'P5'!BD$31</f>
        <v>0</v>
      </c>
      <c r="NB8" s="66">
        <f>'P5'!BE$31</f>
        <v>0</v>
      </c>
      <c r="NC8" s="66">
        <f>'P5'!F$33</f>
        <v>0</v>
      </c>
      <c r="ND8" s="66">
        <f>'P5'!G$33</f>
        <v>0</v>
      </c>
      <c r="NE8" s="66">
        <f>'P5'!H$33</f>
        <v>0</v>
      </c>
      <c r="NF8" s="66">
        <f>'P5'!I$33</f>
        <v>0</v>
      </c>
      <c r="NG8" s="66">
        <f>'P5'!J$33</f>
        <v>0</v>
      </c>
      <c r="NH8" s="66">
        <f>'P5'!K$33</f>
        <v>0</v>
      </c>
      <c r="NI8" s="66">
        <f>'P5'!L$33</f>
        <v>0</v>
      </c>
      <c r="NJ8" s="66">
        <f>'P5'!M$33</f>
        <v>0</v>
      </c>
      <c r="NK8" s="66">
        <f>'P5'!N$33</f>
        <v>0</v>
      </c>
      <c r="NL8" s="66">
        <f>'P5'!O$33</f>
        <v>0</v>
      </c>
      <c r="NM8" s="66">
        <f>'P5'!P$33</f>
        <v>0</v>
      </c>
      <c r="NN8" s="66">
        <f>'P5'!Q$33</f>
        <v>0</v>
      </c>
      <c r="NO8" s="66">
        <f>'P5'!R$33</f>
        <v>0</v>
      </c>
      <c r="NP8" s="66">
        <f>'P5'!S$33</f>
        <v>0</v>
      </c>
      <c r="NQ8" s="66">
        <f>'P5'!T$33</f>
        <v>0</v>
      </c>
      <c r="NR8" s="66">
        <f>'P5'!U$33</f>
        <v>0</v>
      </c>
      <c r="NS8" s="66">
        <f>'P5'!V$33</f>
        <v>0</v>
      </c>
      <c r="NT8" s="66">
        <f>'P5'!W$33</f>
        <v>0</v>
      </c>
      <c r="NU8" s="66">
        <f>'P5'!X$33</f>
        <v>0</v>
      </c>
      <c r="NV8" s="66">
        <f>'P5'!Y$33</f>
        <v>0</v>
      </c>
      <c r="NW8" s="66">
        <f>'P5'!Z$33</f>
        <v>0</v>
      </c>
      <c r="NX8" s="66">
        <f>'P5'!AA$33</f>
        <v>0</v>
      </c>
      <c r="NY8" s="66">
        <f>'P5'!AB$33</f>
        <v>0</v>
      </c>
      <c r="NZ8" s="66">
        <f>'P5'!AC$33</f>
        <v>0</v>
      </c>
      <c r="OA8" s="66">
        <f>'P5'!AD$33</f>
        <v>0</v>
      </c>
      <c r="OB8" s="66">
        <f>'P5'!AE$33</f>
        <v>0</v>
      </c>
      <c r="OC8" s="66">
        <f>'P5'!AF$33</f>
        <v>0</v>
      </c>
      <c r="OD8" s="66">
        <f>'P5'!AG$33</f>
        <v>0</v>
      </c>
      <c r="OE8" s="66">
        <f>'P5'!AH$33</f>
        <v>0</v>
      </c>
      <c r="OF8" s="66">
        <f>'P5'!AI$33</f>
        <v>0</v>
      </c>
      <c r="OG8" s="66">
        <f>'P5'!AJ$33</f>
        <v>0</v>
      </c>
      <c r="OH8" s="66">
        <f>'P5'!AK$33</f>
        <v>0</v>
      </c>
      <c r="OI8" s="66">
        <f>'P5'!AL$33</f>
        <v>0</v>
      </c>
      <c r="OJ8" s="66">
        <f>'P5'!AM$33</f>
        <v>0</v>
      </c>
      <c r="OK8" s="66">
        <f>'P5'!AN$33</f>
        <v>0</v>
      </c>
      <c r="OL8" s="66">
        <f>'P5'!AO$33</f>
        <v>0</v>
      </c>
      <c r="OM8" s="66">
        <f>'P5'!AP$33</f>
        <v>0</v>
      </c>
      <c r="ON8" s="66">
        <f>'P5'!AQ$33</f>
        <v>0</v>
      </c>
      <c r="OO8" s="66">
        <f>'P5'!AR$33</f>
        <v>0</v>
      </c>
      <c r="OP8" s="66">
        <f>'P5'!AS$33</f>
        <v>0</v>
      </c>
      <c r="OQ8" s="66">
        <f>'P5'!AT$33</f>
        <v>0</v>
      </c>
      <c r="OR8" s="66">
        <f>'P5'!AU$33</f>
        <v>0</v>
      </c>
      <c r="OS8" s="66">
        <f>'P5'!AV$33</f>
        <v>0</v>
      </c>
      <c r="OT8" s="66">
        <f>'P5'!AW$33</f>
        <v>0</v>
      </c>
      <c r="OU8" s="66">
        <f>'P5'!AX$33</f>
        <v>0</v>
      </c>
      <c r="OV8" s="66">
        <f>'P5'!AY$33</f>
        <v>0</v>
      </c>
      <c r="OW8" s="66">
        <f>'P5'!AZ$33</f>
        <v>0</v>
      </c>
      <c r="OX8" s="66">
        <f>'P5'!BA$33</f>
        <v>0</v>
      </c>
      <c r="OY8" s="66">
        <f>'P5'!BB$33</f>
        <v>0</v>
      </c>
      <c r="OZ8" s="66">
        <f>'P5'!BC$33</f>
        <v>0</v>
      </c>
      <c r="PA8" s="66">
        <f>'P5'!BD$33</f>
        <v>0</v>
      </c>
      <c r="PB8" s="66">
        <f>'P5'!BE$33</f>
        <v>0</v>
      </c>
      <c r="PC8" s="66">
        <f>'P5'!F$34</f>
        <v>0</v>
      </c>
      <c r="PD8" s="66">
        <f>'P5'!G$34</f>
        <v>0</v>
      </c>
      <c r="PE8" s="66">
        <f>'P5'!H$34</f>
        <v>0</v>
      </c>
      <c r="PF8" s="66">
        <f>'P5'!I$34</f>
        <v>0</v>
      </c>
      <c r="PG8" s="66">
        <f>'P5'!J$34</f>
        <v>0</v>
      </c>
      <c r="PH8" s="66">
        <f>'P5'!K$34</f>
        <v>0</v>
      </c>
      <c r="PI8" s="66">
        <f>'P5'!L$34</f>
        <v>0</v>
      </c>
      <c r="PJ8" s="66">
        <f>'P5'!M$34</f>
        <v>0</v>
      </c>
      <c r="PK8" s="66">
        <f>'P5'!N$34</f>
        <v>0</v>
      </c>
      <c r="PL8" s="66">
        <f>'P5'!O$34</f>
        <v>0</v>
      </c>
      <c r="PM8" s="66">
        <f>'P5'!P$34</f>
        <v>0</v>
      </c>
      <c r="PN8" s="66">
        <f>'P5'!Q$34</f>
        <v>0</v>
      </c>
      <c r="PO8" s="66">
        <f>'P5'!R$34</f>
        <v>0</v>
      </c>
      <c r="PP8" s="66">
        <f>'P5'!S$34</f>
        <v>0</v>
      </c>
      <c r="PQ8" s="66">
        <f>'P5'!T$34</f>
        <v>0</v>
      </c>
      <c r="PR8" s="66">
        <f>'P5'!U$34</f>
        <v>0</v>
      </c>
      <c r="PS8" s="66">
        <f>'P5'!V$34</f>
        <v>0</v>
      </c>
      <c r="PT8" s="66">
        <f>'P5'!W$34</f>
        <v>0</v>
      </c>
      <c r="PU8" s="66">
        <f>'P5'!X$34</f>
        <v>0</v>
      </c>
      <c r="PV8" s="66">
        <f>'P5'!Y$34</f>
        <v>0</v>
      </c>
      <c r="PW8" s="66">
        <f>'P5'!Z$34</f>
        <v>0</v>
      </c>
      <c r="PX8" s="66">
        <f>'P5'!AA$34</f>
        <v>0</v>
      </c>
      <c r="PY8" s="66">
        <f>'P5'!AB$34</f>
        <v>0</v>
      </c>
      <c r="PZ8" s="66">
        <f>'P5'!AC$34</f>
        <v>0</v>
      </c>
      <c r="QA8" s="66">
        <f>'P5'!AD$34</f>
        <v>0</v>
      </c>
      <c r="QB8" s="66">
        <f>'P5'!AE$34</f>
        <v>0</v>
      </c>
      <c r="QC8" s="66">
        <f>'P5'!AF$34</f>
        <v>0</v>
      </c>
      <c r="QD8" s="66">
        <f>'P5'!AG$34</f>
        <v>0</v>
      </c>
      <c r="QE8" s="66">
        <f>'P5'!AH$34</f>
        <v>0</v>
      </c>
      <c r="QF8" s="66">
        <f>'P5'!AI$34</f>
        <v>0</v>
      </c>
      <c r="QG8" s="66">
        <f>'P5'!AJ$34</f>
        <v>0</v>
      </c>
      <c r="QH8" s="66">
        <f>'P5'!AK$34</f>
        <v>0</v>
      </c>
      <c r="QI8" s="66">
        <f>'P5'!AL$34</f>
        <v>0</v>
      </c>
      <c r="QJ8" s="66">
        <f>'P5'!AM$34</f>
        <v>0</v>
      </c>
      <c r="QK8" s="66">
        <f>'P5'!AN$34</f>
        <v>0</v>
      </c>
      <c r="QL8" s="66">
        <f>'P5'!AO$34</f>
        <v>0</v>
      </c>
      <c r="QM8" s="66">
        <f>'P5'!AP$34</f>
        <v>0</v>
      </c>
      <c r="QN8" s="66">
        <f>'P5'!AQ$34</f>
        <v>0</v>
      </c>
      <c r="QO8" s="66">
        <f>'P5'!AR$34</f>
        <v>0</v>
      </c>
      <c r="QP8" s="66">
        <f>'P5'!AS$34</f>
        <v>0</v>
      </c>
      <c r="QQ8" s="66">
        <f>'P5'!AT$34</f>
        <v>0</v>
      </c>
      <c r="QR8" s="66">
        <f>'P5'!AU$34</f>
        <v>0</v>
      </c>
      <c r="QS8" s="66">
        <f>'P5'!AV$34</f>
        <v>0</v>
      </c>
      <c r="QT8" s="66">
        <f>'P5'!AW$34</f>
        <v>0</v>
      </c>
      <c r="QU8" s="66">
        <f>'P5'!AX$34</f>
        <v>0</v>
      </c>
      <c r="QV8" s="66">
        <f>'P5'!AY$34</f>
        <v>0</v>
      </c>
      <c r="QW8" s="66">
        <f>'P5'!AZ$34</f>
        <v>0</v>
      </c>
      <c r="QX8" s="66">
        <f>'P5'!BA$34</f>
        <v>0</v>
      </c>
      <c r="QY8" s="66">
        <f>'P5'!BB$34</f>
        <v>0</v>
      </c>
      <c r="QZ8" s="66">
        <f>'P5'!BC$34</f>
        <v>0</v>
      </c>
      <c r="RA8" s="66">
        <f>'P5'!BD$34</f>
        <v>0</v>
      </c>
      <c r="RB8" s="66">
        <f>'P5'!BE$34</f>
        <v>0</v>
      </c>
      <c r="RC8" s="66">
        <f>'P5'!F$35</f>
        <v>0</v>
      </c>
      <c r="RD8" s="66">
        <f>'P5'!G$35</f>
        <v>0</v>
      </c>
      <c r="RE8" s="66">
        <f>'P5'!H$35</f>
        <v>0</v>
      </c>
      <c r="RF8" s="66">
        <f>'P5'!I$35</f>
        <v>0</v>
      </c>
      <c r="RG8" s="66">
        <f>'P5'!J$35</f>
        <v>0</v>
      </c>
      <c r="RH8" s="66">
        <f>'P5'!K$35</f>
        <v>0</v>
      </c>
      <c r="RI8" s="66">
        <f>'P5'!L$35</f>
        <v>0</v>
      </c>
      <c r="RJ8" s="66">
        <f>'P5'!M$35</f>
        <v>0</v>
      </c>
      <c r="RK8" s="66">
        <f>'P5'!N$35</f>
        <v>0</v>
      </c>
      <c r="RL8" s="66">
        <f>'P5'!O$35</f>
        <v>0</v>
      </c>
      <c r="RM8" s="66">
        <f>'P5'!P$35</f>
        <v>0</v>
      </c>
      <c r="RN8" s="66">
        <f>'P5'!Q$35</f>
        <v>0</v>
      </c>
      <c r="RO8" s="66">
        <f>'P5'!R$35</f>
        <v>0</v>
      </c>
      <c r="RP8" s="66">
        <f>'P5'!S$35</f>
        <v>0</v>
      </c>
      <c r="RQ8" s="66">
        <f>'P5'!T$35</f>
        <v>0</v>
      </c>
      <c r="RR8" s="66">
        <f>'P5'!U$35</f>
        <v>0</v>
      </c>
      <c r="RS8" s="66">
        <f>'P5'!V$35</f>
        <v>0</v>
      </c>
      <c r="RT8" s="66">
        <f>'P5'!W$35</f>
        <v>0</v>
      </c>
      <c r="RU8" s="66">
        <f>'P5'!X$35</f>
        <v>0</v>
      </c>
      <c r="RV8" s="66">
        <f>'P5'!Y$35</f>
        <v>0</v>
      </c>
      <c r="RW8" s="66">
        <f>'P5'!Z$35</f>
        <v>0</v>
      </c>
      <c r="RX8" s="66">
        <f>'P5'!AA$35</f>
        <v>0</v>
      </c>
      <c r="RY8" s="66">
        <f>'P5'!AB$35</f>
        <v>0</v>
      </c>
      <c r="RZ8" s="66">
        <f>'P5'!AC$35</f>
        <v>0</v>
      </c>
      <c r="SA8" s="66">
        <f>'P5'!AD$35</f>
        <v>0</v>
      </c>
      <c r="SB8" s="66">
        <f>'P5'!AE$35</f>
        <v>0</v>
      </c>
      <c r="SC8" s="66">
        <f>'P5'!AF$35</f>
        <v>0</v>
      </c>
      <c r="SD8" s="66">
        <f>'P5'!AG$35</f>
        <v>0</v>
      </c>
      <c r="SE8" s="66">
        <f>'P5'!AH$35</f>
        <v>0</v>
      </c>
      <c r="SF8" s="66">
        <f>'P5'!AI$35</f>
        <v>0</v>
      </c>
      <c r="SG8" s="66">
        <f>'P5'!AJ$35</f>
        <v>0</v>
      </c>
      <c r="SH8" s="66">
        <f>'P5'!AK$35</f>
        <v>0</v>
      </c>
      <c r="SI8" s="66">
        <f>'P5'!AL$35</f>
        <v>0</v>
      </c>
      <c r="SJ8" s="66">
        <f>'P5'!AM$35</f>
        <v>0</v>
      </c>
      <c r="SK8" s="66">
        <f>'P5'!AN$35</f>
        <v>0</v>
      </c>
      <c r="SL8" s="66">
        <f>'P5'!AO$35</f>
        <v>0</v>
      </c>
      <c r="SM8" s="66">
        <f>'P5'!AP$35</f>
        <v>0</v>
      </c>
      <c r="SN8" s="66">
        <f>'P5'!AQ$35</f>
        <v>0</v>
      </c>
      <c r="SO8" s="66">
        <f>'P5'!AR$35</f>
        <v>0</v>
      </c>
      <c r="SP8" s="66">
        <f>'P5'!AS$35</f>
        <v>0</v>
      </c>
      <c r="SQ8" s="66">
        <f>'P5'!AT$35</f>
        <v>0</v>
      </c>
      <c r="SR8" s="66">
        <f>'P5'!AU$35</f>
        <v>0</v>
      </c>
      <c r="SS8" s="66">
        <f>'P5'!AV$35</f>
        <v>0</v>
      </c>
      <c r="ST8" s="66">
        <f>'P5'!AW$35</f>
        <v>0</v>
      </c>
      <c r="SU8" s="66">
        <f>'P5'!AX$35</f>
        <v>0</v>
      </c>
      <c r="SV8" s="66">
        <f>'P5'!AY$35</f>
        <v>0</v>
      </c>
      <c r="SW8" s="66">
        <f>'P5'!AZ$35</f>
        <v>0</v>
      </c>
      <c r="SX8" s="66">
        <f>'P5'!BA$35</f>
        <v>0</v>
      </c>
      <c r="SY8" s="66">
        <f>'P5'!BB$35</f>
        <v>0</v>
      </c>
      <c r="SZ8" s="66">
        <f>'P5'!BC$35</f>
        <v>0</v>
      </c>
      <c r="TA8" s="66">
        <f>'P5'!BD$35</f>
        <v>0</v>
      </c>
      <c r="TB8" s="66">
        <f>'P5'!BE$35</f>
        <v>0</v>
      </c>
    </row>
    <row r="9" spans="2:522">
      <c r="B9" s="66">
        <v>6</v>
      </c>
      <c r="C9" s="66">
        <f>'P6'!$F$3</f>
        <v>0</v>
      </c>
      <c r="D9" s="66">
        <f>'P6'!$F$5</f>
        <v>0</v>
      </c>
      <c r="E9" s="66">
        <f>'P6'!$F$7</f>
        <v>0</v>
      </c>
      <c r="F9" s="66" t="str">
        <f>'P6'!$F$8</f>
        <v/>
      </c>
      <c r="G9" s="66">
        <f>'P6'!$B$13</f>
        <v>0</v>
      </c>
      <c r="H9" s="66">
        <f>'P6'!$C$17</f>
        <v>0</v>
      </c>
      <c r="I9" s="66">
        <f>'P6'!$C$18</f>
        <v>0</v>
      </c>
      <c r="J9" s="66">
        <f>'P6'!$C$19</f>
        <v>0</v>
      </c>
      <c r="K9" s="66">
        <f>'P6'!$C$20</f>
        <v>0</v>
      </c>
      <c r="L9" s="66">
        <f>'P6'!$C$21</f>
        <v>0</v>
      </c>
      <c r="M9" s="66" t="str">
        <f>'P6'!$F$12</f>
        <v/>
      </c>
      <c r="N9" s="66" t="str">
        <f>'P6'!$G$13</f>
        <v>Select the primary KPI (Jonas Library)</v>
      </c>
      <c r="O9" s="66">
        <f>'P6'!$F$15</f>
        <v>0</v>
      </c>
      <c r="P9" s="66">
        <f>'P6'!$F$19</f>
        <v>0</v>
      </c>
      <c r="Q9" s="66" t="str">
        <f>'P6'!$O$12</f>
        <v/>
      </c>
      <c r="R9" s="66" t="str">
        <f>'P6'!$P$13</f>
        <v>Select the primary KPI (Jonas Library)</v>
      </c>
      <c r="S9" s="66">
        <f>'P6'!$O$15</f>
        <v>0</v>
      </c>
      <c r="T9" s="66">
        <f>'P6'!$O$19</f>
        <v>0</v>
      </c>
      <c r="U9" s="66" t="str">
        <f>'P6'!$X$12</f>
        <v/>
      </c>
      <c r="V9" s="66" t="str">
        <f>'P6'!$Y$13</f>
        <v>Select the primary KPI (Jonas Library)</v>
      </c>
      <c r="W9" s="66">
        <f>'P6'!$X$15</f>
        <v>0</v>
      </c>
      <c r="X9" s="66">
        <f>'P6'!$X$19</f>
        <v>0</v>
      </c>
      <c r="Y9" s="66">
        <f>'P6'!$AV$3</f>
        <v>0</v>
      </c>
      <c r="Z9" s="66" t="str">
        <f ca="1">'P6'!$AO$4</f>
        <v>Not Def</v>
      </c>
      <c r="AA9" s="66">
        <f ca="1">'P6'!$AV$4</f>
        <v>0</v>
      </c>
      <c r="AB9" s="66" t="str">
        <f ca="1">'P6'!$AO$5</f>
        <v>Not Def</v>
      </c>
      <c r="AC9" s="66">
        <f ca="1">'P6'!$AV$5</f>
        <v>0</v>
      </c>
      <c r="AD9" s="66">
        <f ca="1">'P6'!$AV$6</f>
        <v>0</v>
      </c>
      <c r="AE9" s="67" t="str">
        <f>IF('P6'!$AV$10="","",'P6'!$AV$10)</f>
        <v/>
      </c>
      <c r="AF9" s="67" t="str">
        <f>IF('P6'!$AV$11="","",'P6'!$AV$11)</f>
        <v/>
      </c>
      <c r="AG9" s="67" t="str">
        <f>IF('P6'!$AV$12="","",'P6'!$AV$12)</f>
        <v/>
      </c>
      <c r="AH9" s="67" t="str">
        <f>IF('P6'!$AV$13="","",'P6'!$AV$13)</f>
        <v/>
      </c>
      <c r="AI9" s="67" t="str">
        <f>IF('P6'!$AV$14="","",'P6'!$AV$14)</f>
        <v/>
      </c>
      <c r="AJ9" s="67" t="str">
        <f>IF('P6'!$AV$15="","",'P6'!$AV$15)</f>
        <v/>
      </c>
      <c r="AK9" s="67" t="str">
        <f>IF('P6'!$AV$16="","",'P6'!$AV$16)</f>
        <v/>
      </c>
      <c r="AL9" s="67" t="str">
        <f>IF('P6'!$AV$17="","",'P6'!$AV$17)</f>
        <v/>
      </c>
      <c r="AM9" s="67" t="str">
        <f>IF('P6'!$AV$18="","",'P6'!AV$18)</f>
        <v/>
      </c>
      <c r="AN9" s="67" t="str">
        <f>IF('P6'!$AV$19="","",'P6'!$AV$19)</f>
        <v/>
      </c>
      <c r="AO9" s="67" t="str">
        <f>IF('P6'!$AV$20="","",'P6'!$AV$20)</f>
        <v/>
      </c>
      <c r="AP9" s="67" t="str">
        <f>IF('P6'!$AV$21="","",'P6'!$AV$21)</f>
        <v/>
      </c>
      <c r="AQ9" s="67" t="str">
        <f>IF('P6'!$AY$10="","",'P6'!$AY$10)</f>
        <v/>
      </c>
      <c r="AR9" s="67" t="str">
        <f>IF('P6'!$AY$11="","",'P6'!$AY$11)</f>
        <v/>
      </c>
      <c r="AS9" s="67" t="str">
        <f>IF('P6'!$AY$12="","",'P6'!$AY$12)</f>
        <v/>
      </c>
      <c r="AT9" s="67" t="str">
        <f>IF('P6'!$AY$13="","",'P6'!$AY$13)</f>
        <v/>
      </c>
      <c r="AU9" s="67" t="str">
        <f>IF('P6'!$AY$14="","",'P6'!$AY$14)</f>
        <v/>
      </c>
      <c r="AV9" s="67" t="str">
        <f>IF('P6'!$AY$15="","",'P6'!$AY$15)</f>
        <v/>
      </c>
      <c r="AW9" s="67" t="str">
        <f>IF('P6'!$AY$16="","",'P6'!$AY$16)</f>
        <v/>
      </c>
      <c r="AX9" s="67" t="str">
        <f>IF('P6'!$AY$17="","",'P6'!$AY$17)</f>
        <v/>
      </c>
      <c r="AY9" s="67" t="str">
        <f>IF('P6'!$AY$18="","",'P6'!$AY$18)</f>
        <v/>
      </c>
      <c r="AZ9" s="67" t="str">
        <f>IF('P6'!$AY$19="","",'P6'!$AY$19)</f>
        <v/>
      </c>
      <c r="BA9" s="67" t="str">
        <f>IF('P6'!$AY$20="","",'P6'!$AY$20)</f>
        <v/>
      </c>
      <c r="BB9" s="67" t="str">
        <f>IF('P6'!$AY$21="","",'P6'!$AY$21)</f>
        <v/>
      </c>
      <c r="BC9" s="66">
        <f>'P6'!F$25</f>
        <v>0</v>
      </c>
      <c r="BD9" s="66">
        <f>'P6'!G$25</f>
        <v>0</v>
      </c>
      <c r="BE9" s="66">
        <f>'P6'!H$25</f>
        <v>0</v>
      </c>
      <c r="BF9" s="66">
        <f>'P6'!I$25</f>
        <v>0</v>
      </c>
      <c r="BG9" s="66">
        <f>'P6'!J$25</f>
        <v>0</v>
      </c>
      <c r="BH9" s="66">
        <f>'P6'!K$25</f>
        <v>0</v>
      </c>
      <c r="BI9" s="66">
        <f>'P6'!L$25</f>
        <v>0</v>
      </c>
      <c r="BJ9" s="66">
        <f>'P6'!M$25</f>
        <v>0</v>
      </c>
      <c r="BK9" s="66">
        <f>'P6'!N$25</f>
        <v>0</v>
      </c>
      <c r="BL9" s="66">
        <f>'P6'!O$25</f>
        <v>0</v>
      </c>
      <c r="BM9" s="66">
        <f>'P6'!P$25</f>
        <v>0</v>
      </c>
      <c r="BN9" s="66">
        <f>'P6'!Q$25</f>
        <v>0</v>
      </c>
      <c r="BO9" s="66">
        <f>'P6'!R$25</f>
        <v>0</v>
      </c>
      <c r="BP9" s="66">
        <f>'P6'!S$25</f>
        <v>0</v>
      </c>
      <c r="BQ9" s="66">
        <f>'P6'!T$25</f>
        <v>0</v>
      </c>
      <c r="BR9" s="66">
        <f>'P6'!U$25</f>
        <v>0</v>
      </c>
      <c r="BS9" s="66">
        <f>'P6'!V$25</f>
        <v>0</v>
      </c>
      <c r="BT9" s="66">
        <f>'P6'!W$25</f>
        <v>0</v>
      </c>
      <c r="BU9" s="66">
        <f>'P6'!X$25</f>
        <v>0</v>
      </c>
      <c r="BV9" s="66">
        <f>'P6'!Y$25</f>
        <v>0</v>
      </c>
      <c r="BW9" s="66">
        <f>'P6'!Z$25</f>
        <v>0</v>
      </c>
      <c r="BX9" s="66">
        <f>'P6'!AA$25</f>
        <v>0</v>
      </c>
      <c r="BY9" s="66">
        <f>'P6'!AB$25</f>
        <v>0</v>
      </c>
      <c r="BZ9" s="66">
        <f>'P6'!AC$25</f>
        <v>0</v>
      </c>
      <c r="CA9" s="66">
        <f>'P6'!AD$25</f>
        <v>0</v>
      </c>
      <c r="CB9" s="66">
        <f>'P6'!AE$25</f>
        <v>0</v>
      </c>
      <c r="CC9" s="66">
        <f>'P6'!AF$25</f>
        <v>0</v>
      </c>
      <c r="CD9" s="66">
        <f>'P6'!AG$25</f>
        <v>0</v>
      </c>
      <c r="CE9" s="66">
        <f>'P6'!AH$25</f>
        <v>0</v>
      </c>
      <c r="CF9" s="66">
        <f>'P6'!AI$25</f>
        <v>0</v>
      </c>
      <c r="CG9" s="66">
        <f>'P6'!AJ$25</f>
        <v>0</v>
      </c>
      <c r="CH9" s="66">
        <f>'P6'!AK$25</f>
        <v>0</v>
      </c>
      <c r="CI9" s="66">
        <f>'P6'!AL$25</f>
        <v>0</v>
      </c>
      <c r="CJ9" s="66">
        <f>'P6'!AM$25</f>
        <v>0</v>
      </c>
      <c r="CK9" s="66">
        <f>'P6'!AN$25</f>
        <v>0</v>
      </c>
      <c r="CL9" s="66">
        <f>'P6'!AO$25</f>
        <v>0</v>
      </c>
      <c r="CM9" s="66">
        <f>'P6'!AP$25</f>
        <v>0</v>
      </c>
      <c r="CN9" s="66">
        <f>'P6'!AQ$25</f>
        <v>0</v>
      </c>
      <c r="CO9" s="66">
        <f>'P6'!AR$25</f>
        <v>0</v>
      </c>
      <c r="CP9" s="66">
        <f>'P6'!AS$25</f>
        <v>0</v>
      </c>
      <c r="CQ9" s="66">
        <f>'P6'!AT$25</f>
        <v>0</v>
      </c>
      <c r="CR9" s="66">
        <f>'P6'!AU$25</f>
        <v>0</v>
      </c>
      <c r="CS9" s="66">
        <f>'P6'!AV$25</f>
        <v>0</v>
      </c>
      <c r="CT9" s="66">
        <f>'P6'!AW$25</f>
        <v>0</v>
      </c>
      <c r="CU9" s="66">
        <f>'P6'!AX$25</f>
        <v>0</v>
      </c>
      <c r="CV9" s="66">
        <f>'P6'!AY$25</f>
        <v>0</v>
      </c>
      <c r="CW9" s="66">
        <f>'P6'!AZ$25</f>
        <v>0</v>
      </c>
      <c r="CX9" s="66">
        <f>'P6'!BA$25</f>
        <v>0</v>
      </c>
      <c r="CY9" s="66">
        <f>'P6'!BB$25</f>
        <v>0</v>
      </c>
      <c r="CZ9" s="66">
        <f>'P6'!BC$25</f>
        <v>0</v>
      </c>
      <c r="DA9" s="66">
        <f>'P6'!BD$25</f>
        <v>0</v>
      </c>
      <c r="DB9" s="66">
        <f>'P6'!BE$25</f>
        <v>0</v>
      </c>
      <c r="DC9" s="66">
        <f>'P6'!F$26</f>
        <v>0</v>
      </c>
      <c r="DD9" s="66">
        <f>'P6'!G$26</f>
        <v>0</v>
      </c>
      <c r="DE9" s="66">
        <f>'P6'!H$26</f>
        <v>0</v>
      </c>
      <c r="DF9" s="66">
        <f>'P6'!I$26</f>
        <v>0</v>
      </c>
      <c r="DG9" s="66">
        <f>'P6'!J$26</f>
        <v>0</v>
      </c>
      <c r="DH9" s="66">
        <f>'P6'!K$26</f>
        <v>0</v>
      </c>
      <c r="DI9" s="66">
        <f>'P6'!L$26</f>
        <v>0</v>
      </c>
      <c r="DJ9" s="66">
        <f>'P6'!M$26</f>
        <v>0</v>
      </c>
      <c r="DK9" s="66">
        <f>'P6'!N$26</f>
        <v>0</v>
      </c>
      <c r="DL9" s="66">
        <f>'P6'!O$26</f>
        <v>0</v>
      </c>
      <c r="DM9" s="66">
        <f>'P6'!P$26</f>
        <v>0</v>
      </c>
      <c r="DN9" s="66">
        <f>'P6'!Q$26</f>
        <v>0</v>
      </c>
      <c r="DO9" s="66">
        <f>'P6'!R$26</f>
        <v>0</v>
      </c>
      <c r="DP9" s="66">
        <f>'P6'!S$26</f>
        <v>0</v>
      </c>
      <c r="DQ9" s="66">
        <f>'P6'!T$26</f>
        <v>0</v>
      </c>
      <c r="DR9" s="66">
        <f>'P6'!U$26</f>
        <v>0</v>
      </c>
      <c r="DS9" s="66">
        <f>'P6'!V$26</f>
        <v>0</v>
      </c>
      <c r="DT9" s="66">
        <f>'P6'!W$26</f>
        <v>0</v>
      </c>
      <c r="DU9" s="66">
        <f>'P6'!X$26</f>
        <v>0</v>
      </c>
      <c r="DV9" s="66">
        <f>'P6'!Y$26</f>
        <v>0</v>
      </c>
      <c r="DW9" s="66">
        <f>'P6'!Z$26</f>
        <v>0</v>
      </c>
      <c r="DX9" s="66">
        <f>'P6'!AA$26</f>
        <v>0</v>
      </c>
      <c r="DY9" s="66">
        <f>'P6'!AB$26</f>
        <v>0</v>
      </c>
      <c r="DZ9" s="66">
        <f>'P6'!AC$26</f>
        <v>0</v>
      </c>
      <c r="EA9" s="66">
        <f>'P6'!AD$26</f>
        <v>0</v>
      </c>
      <c r="EB9" s="66">
        <f>'P6'!AE$26</f>
        <v>0</v>
      </c>
      <c r="EC9" s="66">
        <f>'P6'!AF$26</f>
        <v>0</v>
      </c>
      <c r="ED9" s="66">
        <f>'P6'!AG$26</f>
        <v>0</v>
      </c>
      <c r="EE9" s="66">
        <f>'P6'!AH$26</f>
        <v>0</v>
      </c>
      <c r="EF9" s="66">
        <f>'P6'!AI$26</f>
        <v>0</v>
      </c>
      <c r="EG9" s="66">
        <f>'P6'!AJ$26</f>
        <v>0</v>
      </c>
      <c r="EH9" s="66">
        <f>'P6'!AK$26</f>
        <v>0</v>
      </c>
      <c r="EI9" s="66">
        <f>'P6'!AL$26</f>
        <v>0</v>
      </c>
      <c r="EJ9" s="66">
        <f>'P6'!AM$26</f>
        <v>0</v>
      </c>
      <c r="EK9" s="66">
        <f>'P6'!AN$26</f>
        <v>0</v>
      </c>
      <c r="EL9" s="66">
        <f>'P6'!AO$26</f>
        <v>0</v>
      </c>
      <c r="EM9" s="66">
        <f>'P6'!AP$26</f>
        <v>0</v>
      </c>
      <c r="EN9" s="66">
        <f>'P6'!AQ$26</f>
        <v>0</v>
      </c>
      <c r="EO9" s="66">
        <f>'P6'!AR$26</f>
        <v>0</v>
      </c>
      <c r="EP9" s="66">
        <f>'P6'!AS$26</f>
        <v>0</v>
      </c>
      <c r="EQ9" s="66">
        <f>'P6'!AT$26</f>
        <v>0</v>
      </c>
      <c r="ER9" s="66">
        <f>'P6'!AU$26</f>
        <v>0</v>
      </c>
      <c r="ES9" s="66">
        <f>'P6'!AV$26</f>
        <v>0</v>
      </c>
      <c r="ET9" s="66">
        <f>'P6'!AW$26</f>
        <v>0</v>
      </c>
      <c r="EU9" s="66">
        <f>'P6'!AX$26</f>
        <v>0</v>
      </c>
      <c r="EV9" s="66">
        <f>'P6'!AY$26</f>
        <v>0</v>
      </c>
      <c r="EW9" s="66">
        <f>'P6'!AZ$26</f>
        <v>0</v>
      </c>
      <c r="EX9" s="66">
        <f>'P6'!BA$26</f>
        <v>0</v>
      </c>
      <c r="EY9" s="66">
        <f>'P6'!BB$26</f>
        <v>0</v>
      </c>
      <c r="EZ9" s="66">
        <f>'P6'!BC$26</f>
        <v>0</v>
      </c>
      <c r="FA9" s="66">
        <f>'P6'!BD$26</f>
        <v>0</v>
      </c>
      <c r="FB9" s="66">
        <f>'P6'!BE$26</f>
        <v>0</v>
      </c>
      <c r="FC9" s="66">
        <f>'P6'!F$27</f>
        <v>0</v>
      </c>
      <c r="FD9" s="66">
        <f>'P6'!G$27</f>
        <v>0</v>
      </c>
      <c r="FE9" s="66">
        <f>'P6'!H$27</f>
        <v>0</v>
      </c>
      <c r="FF9" s="66">
        <f>'P6'!I$27</f>
        <v>0</v>
      </c>
      <c r="FG9" s="66">
        <f>'P6'!J$27</f>
        <v>0</v>
      </c>
      <c r="FH9" s="66">
        <f>'P6'!K$27</f>
        <v>0</v>
      </c>
      <c r="FI9" s="66">
        <f>'P6'!L$27</f>
        <v>0</v>
      </c>
      <c r="FJ9" s="66">
        <f>'P6'!M$27</f>
        <v>0</v>
      </c>
      <c r="FK9" s="66">
        <f>'P6'!N$27</f>
        <v>0</v>
      </c>
      <c r="FL9" s="66">
        <f>'P6'!O$27</f>
        <v>0</v>
      </c>
      <c r="FM9" s="66">
        <f>'P6'!P$27</f>
        <v>0</v>
      </c>
      <c r="FN9" s="66">
        <f>'P6'!Q$27</f>
        <v>0</v>
      </c>
      <c r="FO9" s="66">
        <f>'P6'!R$27</f>
        <v>0</v>
      </c>
      <c r="FP9" s="66">
        <f>'P6'!S$27</f>
        <v>0</v>
      </c>
      <c r="FQ9" s="66">
        <f>'P6'!T$27</f>
        <v>0</v>
      </c>
      <c r="FR9" s="66">
        <f>'P6'!U$27</f>
        <v>0</v>
      </c>
      <c r="FS9" s="66">
        <f>'P6'!V$27</f>
        <v>0</v>
      </c>
      <c r="FT9" s="66">
        <f>'P6'!W$27</f>
        <v>0</v>
      </c>
      <c r="FU9" s="66">
        <f>'P6'!X$27</f>
        <v>0</v>
      </c>
      <c r="FV9" s="66">
        <f>'P6'!Y$27</f>
        <v>0</v>
      </c>
      <c r="FW9" s="66">
        <f>'P6'!Z$27</f>
        <v>0</v>
      </c>
      <c r="FX9" s="66">
        <f>'P6'!AA$27</f>
        <v>0</v>
      </c>
      <c r="FY9" s="66">
        <f>'P6'!AB$27</f>
        <v>0</v>
      </c>
      <c r="FZ9" s="66">
        <f>'P6'!AC$27</f>
        <v>0</v>
      </c>
      <c r="GA9" s="66">
        <f>'P6'!AD$27</f>
        <v>0</v>
      </c>
      <c r="GB9" s="66">
        <f>'P6'!AE$27</f>
        <v>0</v>
      </c>
      <c r="GC9" s="66">
        <f>'P6'!AF$27</f>
        <v>0</v>
      </c>
      <c r="GD9" s="66">
        <f>'P6'!AG$27</f>
        <v>0</v>
      </c>
      <c r="GE9" s="66">
        <f>'P6'!AH$27</f>
        <v>0</v>
      </c>
      <c r="GF9" s="66">
        <f>'P6'!AI$27</f>
        <v>0</v>
      </c>
      <c r="GG9" s="66">
        <f>'P6'!AJ$27</f>
        <v>0</v>
      </c>
      <c r="GH9" s="66">
        <f>'P6'!AK$27</f>
        <v>0</v>
      </c>
      <c r="GI9" s="66">
        <f>'P6'!AL$27</f>
        <v>0</v>
      </c>
      <c r="GJ9" s="66">
        <f>'P6'!AM$27</f>
        <v>0</v>
      </c>
      <c r="GK9" s="66">
        <f>'P6'!AN$27</f>
        <v>0</v>
      </c>
      <c r="GL9" s="66">
        <f>'P6'!AO$27</f>
        <v>0</v>
      </c>
      <c r="GM9" s="66">
        <f>'P6'!AP$27</f>
        <v>0</v>
      </c>
      <c r="GN9" s="66">
        <f>'P6'!AQ$27</f>
        <v>0</v>
      </c>
      <c r="GO9" s="66">
        <f>'P6'!AR$27</f>
        <v>0</v>
      </c>
      <c r="GP9" s="66">
        <f>'P6'!AS$27</f>
        <v>0</v>
      </c>
      <c r="GQ9" s="66">
        <f>'P6'!AT$27</f>
        <v>0</v>
      </c>
      <c r="GR9" s="66">
        <f>'P6'!AU$27</f>
        <v>0</v>
      </c>
      <c r="GS9" s="66">
        <f>'P6'!AV$27</f>
        <v>0</v>
      </c>
      <c r="GT9" s="66">
        <f>'P6'!AW$27</f>
        <v>0</v>
      </c>
      <c r="GU9" s="66">
        <f>'P6'!AX$27</f>
        <v>0</v>
      </c>
      <c r="GV9" s="66">
        <f>'P6'!AY$27</f>
        <v>0</v>
      </c>
      <c r="GW9" s="66">
        <f>'P6'!AZ$27</f>
        <v>0</v>
      </c>
      <c r="GX9" s="66">
        <f>'P6'!BA$27</f>
        <v>0</v>
      </c>
      <c r="GY9" s="66">
        <f>'P6'!BB$27</f>
        <v>0</v>
      </c>
      <c r="GZ9" s="66">
        <f>'P6'!BC$27</f>
        <v>0</v>
      </c>
      <c r="HA9" s="66">
        <f>'P6'!BD$27</f>
        <v>0</v>
      </c>
      <c r="HB9" s="66">
        <f>'P6'!BE$27</f>
        <v>0</v>
      </c>
      <c r="HC9" s="66">
        <f>'P6'!F$29</f>
        <v>0</v>
      </c>
      <c r="HD9" s="66">
        <f>'P6'!G$29</f>
        <v>0</v>
      </c>
      <c r="HE9" s="66">
        <f>'P6'!H$29</f>
        <v>0</v>
      </c>
      <c r="HF9" s="66">
        <f>'P6'!I$29</f>
        <v>0</v>
      </c>
      <c r="HG9" s="66">
        <f>'P6'!J$29</f>
        <v>0</v>
      </c>
      <c r="HH9" s="66">
        <f>'P6'!K$29</f>
        <v>0</v>
      </c>
      <c r="HI9" s="66">
        <f>'P6'!L$29</f>
        <v>0</v>
      </c>
      <c r="HJ9" s="66">
        <f>'P6'!M$29</f>
        <v>0</v>
      </c>
      <c r="HK9" s="66">
        <f>'P6'!N$29</f>
        <v>0</v>
      </c>
      <c r="HL9" s="66">
        <f>'P6'!O$29</f>
        <v>0</v>
      </c>
      <c r="HM9" s="66">
        <f>'P6'!P$29</f>
        <v>0</v>
      </c>
      <c r="HN9" s="66">
        <f>'P6'!Q$29</f>
        <v>0</v>
      </c>
      <c r="HO9" s="66">
        <f>'P6'!R$29</f>
        <v>0</v>
      </c>
      <c r="HP9" s="66">
        <f>'P6'!S$29</f>
        <v>0</v>
      </c>
      <c r="HQ9" s="66">
        <f>'P6'!T$29</f>
        <v>0</v>
      </c>
      <c r="HR9" s="66">
        <f>'P6'!U$29</f>
        <v>0</v>
      </c>
      <c r="HS9" s="66">
        <f>'P6'!V$29</f>
        <v>0</v>
      </c>
      <c r="HT9" s="66">
        <f>'P6'!W$29</f>
        <v>0</v>
      </c>
      <c r="HU9" s="66">
        <f>'P6'!X$29</f>
        <v>0</v>
      </c>
      <c r="HV9" s="66">
        <f>'P6'!Y$29</f>
        <v>0</v>
      </c>
      <c r="HW9" s="66">
        <f>'P6'!Z$29</f>
        <v>0</v>
      </c>
      <c r="HX9" s="66">
        <f>'P6'!AA$29</f>
        <v>0</v>
      </c>
      <c r="HY9" s="66">
        <f>'P6'!AB$29</f>
        <v>0</v>
      </c>
      <c r="HZ9" s="66">
        <f>'P6'!AC$29</f>
        <v>0</v>
      </c>
      <c r="IA9" s="66">
        <f>'P6'!AD$29</f>
        <v>0</v>
      </c>
      <c r="IB9" s="66">
        <f>'P6'!AE$29</f>
        <v>0</v>
      </c>
      <c r="IC9" s="66">
        <f>'P6'!AF$29</f>
        <v>0</v>
      </c>
      <c r="ID9" s="66">
        <f>'P6'!AG$29</f>
        <v>0</v>
      </c>
      <c r="IE9" s="66">
        <f>'P6'!AH$29</f>
        <v>0</v>
      </c>
      <c r="IF9" s="66">
        <f>'P6'!AI$29</f>
        <v>0</v>
      </c>
      <c r="IG9" s="66">
        <f>'P6'!AJ$29</f>
        <v>0</v>
      </c>
      <c r="IH9" s="66">
        <f>'P6'!AK$29</f>
        <v>0</v>
      </c>
      <c r="II9" s="66">
        <f>'P6'!AL$29</f>
        <v>0</v>
      </c>
      <c r="IJ9" s="66">
        <f>'P6'!AM$29</f>
        <v>0</v>
      </c>
      <c r="IK9" s="66">
        <f>'P6'!AN$29</f>
        <v>0</v>
      </c>
      <c r="IL9" s="66">
        <f>'P6'!AO$29</f>
        <v>0</v>
      </c>
      <c r="IM9" s="66">
        <f>'P6'!AP$29</f>
        <v>0</v>
      </c>
      <c r="IN9" s="66">
        <f>'P6'!AQ$29</f>
        <v>0</v>
      </c>
      <c r="IO9" s="66">
        <f>'P6'!AR$29</f>
        <v>0</v>
      </c>
      <c r="IP9" s="66">
        <f>'P6'!AS$29</f>
        <v>0</v>
      </c>
      <c r="IQ9" s="66">
        <f>'P6'!AT$29</f>
        <v>0</v>
      </c>
      <c r="IR9" s="66">
        <f>'P6'!AU$29</f>
        <v>0</v>
      </c>
      <c r="IS9" s="66">
        <f>'P6'!AV$29</f>
        <v>0</v>
      </c>
      <c r="IT9" s="66">
        <f>'P6'!AW$29</f>
        <v>0</v>
      </c>
      <c r="IU9" s="66">
        <f>'P6'!AX$29</f>
        <v>0</v>
      </c>
      <c r="IV9" s="66">
        <f>'P6'!AY$29</f>
        <v>0</v>
      </c>
      <c r="IW9" s="66">
        <f>'P6'!AZ$29</f>
        <v>0</v>
      </c>
      <c r="IX9" s="66">
        <f>'P6'!BA$29</f>
        <v>0</v>
      </c>
      <c r="IY9" s="66">
        <f>'P6'!BB$29</f>
        <v>0</v>
      </c>
      <c r="IZ9" s="66">
        <f>'P6'!BC$29</f>
        <v>0</v>
      </c>
      <c r="JA9" s="66">
        <f>'P6'!BD$29</f>
        <v>0</v>
      </c>
      <c r="JB9" s="66">
        <f>'P6'!BE$29</f>
        <v>0</v>
      </c>
      <c r="JC9" s="66">
        <f>'P6'!F$30</f>
        <v>0</v>
      </c>
      <c r="JD9" s="66">
        <f>'P6'!G$30</f>
        <v>0</v>
      </c>
      <c r="JE9" s="66">
        <f>'P6'!H$30</f>
        <v>0</v>
      </c>
      <c r="JF9" s="66">
        <f>'P6'!I$30</f>
        <v>0</v>
      </c>
      <c r="JG9" s="66">
        <f>'P6'!J$30</f>
        <v>0</v>
      </c>
      <c r="JH9" s="66">
        <f>'P6'!K$30</f>
        <v>0</v>
      </c>
      <c r="JI9" s="66">
        <f>'P6'!L$30</f>
        <v>0</v>
      </c>
      <c r="JJ9" s="66">
        <f>'P6'!M$30</f>
        <v>0</v>
      </c>
      <c r="JK9" s="66">
        <f>'P6'!N$30</f>
        <v>0</v>
      </c>
      <c r="JL9" s="66">
        <f>'P6'!O$30</f>
        <v>0</v>
      </c>
      <c r="JM9" s="66">
        <f>'P6'!P$30</f>
        <v>0</v>
      </c>
      <c r="JN9" s="66">
        <f>'P6'!Q$30</f>
        <v>0</v>
      </c>
      <c r="JO9" s="66">
        <f>'P6'!R$30</f>
        <v>0</v>
      </c>
      <c r="JP9" s="66">
        <f>'P6'!S$30</f>
        <v>0</v>
      </c>
      <c r="JQ9" s="66">
        <f>'P6'!T$30</f>
        <v>0</v>
      </c>
      <c r="JR9" s="66">
        <f>'P6'!U$30</f>
        <v>0</v>
      </c>
      <c r="JS9" s="66">
        <f>'P6'!V$30</f>
        <v>0</v>
      </c>
      <c r="JT9" s="66">
        <f>'P6'!W$30</f>
        <v>0</v>
      </c>
      <c r="JU9" s="66">
        <f>'P6'!X$30</f>
        <v>0</v>
      </c>
      <c r="JV9" s="66">
        <f>'P6'!Y$30</f>
        <v>0</v>
      </c>
      <c r="JW9" s="66">
        <f>'P6'!Z$30</f>
        <v>0</v>
      </c>
      <c r="JX9" s="66">
        <f>'P6'!AA$30</f>
        <v>0</v>
      </c>
      <c r="JY9" s="66">
        <f>'P6'!AB$30</f>
        <v>0</v>
      </c>
      <c r="JZ9" s="66">
        <f>'P6'!AC$30</f>
        <v>0</v>
      </c>
      <c r="KA9" s="66">
        <f>'P6'!AD$30</f>
        <v>0</v>
      </c>
      <c r="KB9" s="66">
        <f>'P6'!AE$30</f>
        <v>0</v>
      </c>
      <c r="KC9" s="66">
        <f>'P6'!AF$30</f>
        <v>0</v>
      </c>
      <c r="KD9" s="66">
        <f>'P6'!AG$30</f>
        <v>0</v>
      </c>
      <c r="KE9" s="66">
        <f>'P6'!AH$30</f>
        <v>0</v>
      </c>
      <c r="KF9" s="66">
        <f>'P6'!AI$30</f>
        <v>0</v>
      </c>
      <c r="KG9" s="66">
        <f>'P6'!AJ$30</f>
        <v>0</v>
      </c>
      <c r="KH9" s="66">
        <f>'P6'!AK$30</f>
        <v>0</v>
      </c>
      <c r="KI9" s="66">
        <f>'P6'!AL$30</f>
        <v>0</v>
      </c>
      <c r="KJ9" s="66">
        <f>'P6'!AM$30</f>
        <v>0</v>
      </c>
      <c r="KK9" s="66">
        <f>'P6'!AN$30</f>
        <v>0</v>
      </c>
      <c r="KL9" s="66">
        <f>'P6'!AO$30</f>
        <v>0</v>
      </c>
      <c r="KM9" s="66">
        <f>'P6'!AP$30</f>
        <v>0</v>
      </c>
      <c r="KN9" s="66">
        <f>'P6'!AQ$30</f>
        <v>0</v>
      </c>
      <c r="KO9" s="66">
        <f>'P6'!AR$30</f>
        <v>0</v>
      </c>
      <c r="KP9" s="66">
        <f>'P6'!AS$30</f>
        <v>0</v>
      </c>
      <c r="KQ9" s="66">
        <f>'P6'!AT$30</f>
        <v>0</v>
      </c>
      <c r="KR9" s="66">
        <f>'P6'!AU$30</f>
        <v>0</v>
      </c>
      <c r="KS9" s="66">
        <f>'P6'!AV$30</f>
        <v>0</v>
      </c>
      <c r="KT9" s="66">
        <f>'P6'!AW$30</f>
        <v>0</v>
      </c>
      <c r="KU9" s="66">
        <f>'P6'!AX$30</f>
        <v>0</v>
      </c>
      <c r="KV9" s="66">
        <f>'P6'!AY$30</f>
        <v>0</v>
      </c>
      <c r="KW9" s="66">
        <f>'P6'!AZ$30</f>
        <v>0</v>
      </c>
      <c r="KX9" s="66">
        <f>'P6'!BA$30</f>
        <v>0</v>
      </c>
      <c r="KY9" s="66">
        <f>'P6'!BB$30</f>
        <v>0</v>
      </c>
      <c r="KZ9" s="66">
        <f>'P6'!BC$30</f>
        <v>0</v>
      </c>
      <c r="LA9" s="66">
        <f>'P6'!BD$30</f>
        <v>0</v>
      </c>
      <c r="LB9" s="66">
        <f>'P6'!BE$30</f>
        <v>0</v>
      </c>
      <c r="LC9" s="66">
        <f>'P6'!F$31</f>
        <v>0</v>
      </c>
      <c r="LD9" s="66">
        <f>'P6'!G$31</f>
        <v>0</v>
      </c>
      <c r="LE9" s="66">
        <f>'P6'!H$31</f>
        <v>0</v>
      </c>
      <c r="LF9" s="66">
        <f>'P6'!I$31</f>
        <v>0</v>
      </c>
      <c r="LG9" s="66">
        <f>'P6'!J$31</f>
        <v>0</v>
      </c>
      <c r="LH9" s="66">
        <f>'P6'!K$31</f>
        <v>0</v>
      </c>
      <c r="LI9" s="66">
        <f>'P6'!L$31</f>
        <v>0</v>
      </c>
      <c r="LJ9" s="66">
        <f>'P6'!M$31</f>
        <v>0</v>
      </c>
      <c r="LK9" s="66">
        <f>'P6'!N$31</f>
        <v>0</v>
      </c>
      <c r="LL9" s="66">
        <f>'P6'!O$31</f>
        <v>0</v>
      </c>
      <c r="LM9" s="66">
        <f>'P6'!P$31</f>
        <v>0</v>
      </c>
      <c r="LN9" s="66">
        <f>'P6'!Q$31</f>
        <v>0</v>
      </c>
      <c r="LO9" s="66">
        <f>'P6'!R$31</f>
        <v>0</v>
      </c>
      <c r="LP9" s="66">
        <f>'P6'!S$31</f>
        <v>0</v>
      </c>
      <c r="LQ9" s="66">
        <f>'P6'!T$31</f>
        <v>0</v>
      </c>
      <c r="LR9" s="66">
        <f>'P6'!U$31</f>
        <v>0</v>
      </c>
      <c r="LS9" s="66">
        <f>'P6'!V$31</f>
        <v>0</v>
      </c>
      <c r="LT9" s="66">
        <f>'P6'!W$31</f>
        <v>0</v>
      </c>
      <c r="LU9" s="66">
        <f>'P6'!X$31</f>
        <v>0</v>
      </c>
      <c r="LV9" s="66">
        <f>'P6'!Y$31</f>
        <v>0</v>
      </c>
      <c r="LW9" s="66">
        <f>'P6'!Z$31</f>
        <v>0</v>
      </c>
      <c r="LX9" s="66">
        <f>'P6'!AA$31</f>
        <v>0</v>
      </c>
      <c r="LY9" s="66">
        <f>'P6'!AB$31</f>
        <v>0</v>
      </c>
      <c r="LZ9" s="66">
        <f>'P6'!AC$31</f>
        <v>0</v>
      </c>
      <c r="MA9" s="66">
        <f>'P6'!AD$31</f>
        <v>0</v>
      </c>
      <c r="MB9" s="66">
        <f>'P6'!AE$31</f>
        <v>0</v>
      </c>
      <c r="MC9" s="66">
        <f>'P6'!AF$31</f>
        <v>0</v>
      </c>
      <c r="MD9" s="66">
        <f>'P6'!AG$31</f>
        <v>0</v>
      </c>
      <c r="ME9" s="66">
        <f>'P6'!AH$31</f>
        <v>0</v>
      </c>
      <c r="MF9" s="66">
        <f>'P6'!AI$31</f>
        <v>0</v>
      </c>
      <c r="MG9" s="66">
        <f>'P6'!AJ$31</f>
        <v>0</v>
      </c>
      <c r="MH9" s="66">
        <f>'P6'!AK$31</f>
        <v>0</v>
      </c>
      <c r="MI9" s="66">
        <f>'P6'!AL$31</f>
        <v>0</v>
      </c>
      <c r="MJ9" s="66">
        <f>'P6'!AM$31</f>
        <v>0</v>
      </c>
      <c r="MK9" s="66">
        <f>'P6'!AN$31</f>
        <v>0</v>
      </c>
      <c r="ML9" s="66">
        <f>'P6'!AO$31</f>
        <v>0</v>
      </c>
      <c r="MM9" s="66">
        <f>'P6'!AP$31</f>
        <v>0</v>
      </c>
      <c r="MN9" s="66">
        <f>'P6'!AQ$31</f>
        <v>0</v>
      </c>
      <c r="MO9" s="66">
        <f>'P6'!AR$31</f>
        <v>0</v>
      </c>
      <c r="MP9" s="66">
        <f>'P6'!AS$31</f>
        <v>0</v>
      </c>
      <c r="MQ9" s="66">
        <f>'P6'!AT$31</f>
        <v>0</v>
      </c>
      <c r="MR9" s="66">
        <f>'P6'!AU$31</f>
        <v>0</v>
      </c>
      <c r="MS9" s="66">
        <f>'P6'!AV$31</f>
        <v>0</v>
      </c>
      <c r="MT9" s="66">
        <f>'P6'!AW$31</f>
        <v>0</v>
      </c>
      <c r="MU9" s="66">
        <f>'P6'!AX$31</f>
        <v>0</v>
      </c>
      <c r="MV9" s="66">
        <f>'P6'!AY$31</f>
        <v>0</v>
      </c>
      <c r="MW9" s="66">
        <f>'P6'!AZ$31</f>
        <v>0</v>
      </c>
      <c r="MX9" s="66">
        <f>'P6'!BA$31</f>
        <v>0</v>
      </c>
      <c r="MY9" s="66">
        <f>'P6'!BB$31</f>
        <v>0</v>
      </c>
      <c r="MZ9" s="66">
        <f>'P6'!BC$31</f>
        <v>0</v>
      </c>
      <c r="NA9" s="66">
        <f>'P6'!BD$31</f>
        <v>0</v>
      </c>
      <c r="NB9" s="66">
        <f>'P6'!BE$31</f>
        <v>0</v>
      </c>
      <c r="NC9" s="66">
        <f>'P6'!F$33</f>
        <v>0</v>
      </c>
      <c r="ND9" s="66">
        <f>'P6'!G$33</f>
        <v>0</v>
      </c>
      <c r="NE9" s="66">
        <f>'P6'!H$33</f>
        <v>0</v>
      </c>
      <c r="NF9" s="66">
        <f>'P6'!I$33</f>
        <v>0</v>
      </c>
      <c r="NG9" s="66">
        <f>'P6'!J$33</f>
        <v>0</v>
      </c>
      <c r="NH9" s="66">
        <f>'P6'!K$33</f>
        <v>0</v>
      </c>
      <c r="NI9" s="66">
        <f>'P6'!L$33</f>
        <v>0</v>
      </c>
      <c r="NJ9" s="66">
        <f>'P6'!M$33</f>
        <v>0</v>
      </c>
      <c r="NK9" s="66">
        <f>'P6'!N$33</f>
        <v>0</v>
      </c>
      <c r="NL9" s="66">
        <f>'P6'!O$33</f>
        <v>0</v>
      </c>
      <c r="NM9" s="66">
        <f>'P6'!P$33</f>
        <v>0</v>
      </c>
      <c r="NN9" s="66">
        <f>'P6'!Q$33</f>
        <v>0</v>
      </c>
      <c r="NO9" s="66">
        <f>'P6'!R$33</f>
        <v>0</v>
      </c>
      <c r="NP9" s="66">
        <f>'P6'!S$33</f>
        <v>0</v>
      </c>
      <c r="NQ9" s="66">
        <f>'P6'!T$33</f>
        <v>0</v>
      </c>
      <c r="NR9" s="66">
        <f>'P6'!U$33</f>
        <v>0</v>
      </c>
      <c r="NS9" s="66">
        <f>'P6'!V$33</f>
        <v>0</v>
      </c>
      <c r="NT9" s="66">
        <f>'P6'!W$33</f>
        <v>0</v>
      </c>
      <c r="NU9" s="66">
        <f>'P6'!X$33</f>
        <v>0</v>
      </c>
      <c r="NV9" s="66">
        <f>'P6'!Y$33</f>
        <v>0</v>
      </c>
      <c r="NW9" s="66">
        <f>'P6'!Z$33</f>
        <v>0</v>
      </c>
      <c r="NX9" s="66">
        <f>'P6'!AA$33</f>
        <v>0</v>
      </c>
      <c r="NY9" s="66">
        <f>'P6'!AB$33</f>
        <v>0</v>
      </c>
      <c r="NZ9" s="66">
        <f>'P6'!AC$33</f>
        <v>0</v>
      </c>
      <c r="OA9" s="66">
        <f>'P6'!AD$33</f>
        <v>0</v>
      </c>
      <c r="OB9" s="66">
        <f>'P6'!AE$33</f>
        <v>0</v>
      </c>
      <c r="OC9" s="66">
        <f>'P6'!AF$33</f>
        <v>0</v>
      </c>
      <c r="OD9" s="66">
        <f>'P6'!AG$33</f>
        <v>0</v>
      </c>
      <c r="OE9" s="66">
        <f>'P6'!AH$33</f>
        <v>0</v>
      </c>
      <c r="OF9" s="66">
        <f>'P6'!AI$33</f>
        <v>0</v>
      </c>
      <c r="OG9" s="66">
        <f>'P6'!AJ$33</f>
        <v>0</v>
      </c>
      <c r="OH9" s="66">
        <f>'P6'!AK$33</f>
        <v>0</v>
      </c>
      <c r="OI9" s="66">
        <f>'P6'!AL$33</f>
        <v>0</v>
      </c>
      <c r="OJ9" s="66">
        <f>'P6'!AM$33</f>
        <v>0</v>
      </c>
      <c r="OK9" s="66">
        <f>'P6'!AN$33</f>
        <v>0</v>
      </c>
      <c r="OL9" s="66">
        <f>'P6'!AO$33</f>
        <v>0</v>
      </c>
      <c r="OM9" s="66">
        <f>'P6'!AP$33</f>
        <v>0</v>
      </c>
      <c r="ON9" s="66">
        <f>'P6'!AQ$33</f>
        <v>0</v>
      </c>
      <c r="OO9" s="66">
        <f>'P6'!AR$33</f>
        <v>0</v>
      </c>
      <c r="OP9" s="66">
        <f>'P6'!AS$33</f>
        <v>0</v>
      </c>
      <c r="OQ9" s="66">
        <f>'P6'!AT$33</f>
        <v>0</v>
      </c>
      <c r="OR9" s="66">
        <f>'P6'!AU$33</f>
        <v>0</v>
      </c>
      <c r="OS9" s="66">
        <f>'P6'!AV$33</f>
        <v>0</v>
      </c>
      <c r="OT9" s="66">
        <f>'P6'!AW$33</f>
        <v>0</v>
      </c>
      <c r="OU9" s="66">
        <f>'P6'!AX$33</f>
        <v>0</v>
      </c>
      <c r="OV9" s="66">
        <f>'P6'!AY$33</f>
        <v>0</v>
      </c>
      <c r="OW9" s="66">
        <f>'P6'!AZ$33</f>
        <v>0</v>
      </c>
      <c r="OX9" s="66">
        <f>'P6'!BA$33</f>
        <v>0</v>
      </c>
      <c r="OY9" s="66">
        <f>'P6'!BB$33</f>
        <v>0</v>
      </c>
      <c r="OZ9" s="66">
        <f>'P6'!BC$33</f>
        <v>0</v>
      </c>
      <c r="PA9" s="66">
        <f>'P6'!BD$33</f>
        <v>0</v>
      </c>
      <c r="PB9" s="66">
        <f>'P6'!BE$33</f>
        <v>0</v>
      </c>
      <c r="PC9" s="66">
        <f>'P6'!F$34</f>
        <v>0</v>
      </c>
      <c r="PD9" s="66">
        <f>'P6'!G$34</f>
        <v>0</v>
      </c>
      <c r="PE9" s="66">
        <f>'P6'!H$34</f>
        <v>0</v>
      </c>
      <c r="PF9" s="66">
        <f>'P6'!I$34</f>
        <v>0</v>
      </c>
      <c r="PG9" s="66">
        <f>'P6'!J$34</f>
        <v>0</v>
      </c>
      <c r="PH9" s="66">
        <f>'P6'!K$34</f>
        <v>0</v>
      </c>
      <c r="PI9" s="66">
        <f>'P6'!L$34</f>
        <v>0</v>
      </c>
      <c r="PJ9" s="66">
        <f>'P6'!M$34</f>
        <v>0</v>
      </c>
      <c r="PK9" s="66">
        <f>'P6'!N$34</f>
        <v>0</v>
      </c>
      <c r="PL9" s="66">
        <f>'P6'!O$34</f>
        <v>0</v>
      </c>
      <c r="PM9" s="66">
        <f>'P6'!P$34</f>
        <v>0</v>
      </c>
      <c r="PN9" s="66">
        <f>'P6'!Q$34</f>
        <v>0</v>
      </c>
      <c r="PO9" s="66">
        <f>'P6'!R$34</f>
        <v>0</v>
      </c>
      <c r="PP9" s="66">
        <f>'P6'!S$34</f>
        <v>0</v>
      </c>
      <c r="PQ9" s="66">
        <f>'P6'!T$34</f>
        <v>0</v>
      </c>
      <c r="PR9" s="66">
        <f>'P6'!U$34</f>
        <v>0</v>
      </c>
      <c r="PS9" s="66">
        <f>'P6'!V$34</f>
        <v>0</v>
      </c>
      <c r="PT9" s="66">
        <f>'P6'!W$34</f>
        <v>0</v>
      </c>
      <c r="PU9" s="66">
        <f>'P6'!X$34</f>
        <v>0</v>
      </c>
      <c r="PV9" s="66">
        <f>'P6'!Y$34</f>
        <v>0</v>
      </c>
      <c r="PW9" s="66">
        <f>'P6'!Z$34</f>
        <v>0</v>
      </c>
      <c r="PX9" s="66">
        <f>'P6'!AA$34</f>
        <v>0</v>
      </c>
      <c r="PY9" s="66">
        <f>'P6'!AB$34</f>
        <v>0</v>
      </c>
      <c r="PZ9" s="66">
        <f>'P6'!AC$34</f>
        <v>0</v>
      </c>
      <c r="QA9" s="66">
        <f>'P6'!AD$34</f>
        <v>0</v>
      </c>
      <c r="QB9" s="66">
        <f>'P6'!AE$34</f>
        <v>0</v>
      </c>
      <c r="QC9" s="66">
        <f>'P6'!AF$34</f>
        <v>0</v>
      </c>
      <c r="QD9" s="66">
        <f>'P6'!AG$34</f>
        <v>0</v>
      </c>
      <c r="QE9" s="66">
        <f>'P6'!AH$34</f>
        <v>0</v>
      </c>
      <c r="QF9" s="66">
        <f>'P6'!AI$34</f>
        <v>0</v>
      </c>
      <c r="QG9" s="66">
        <f>'P6'!AJ$34</f>
        <v>0</v>
      </c>
      <c r="QH9" s="66">
        <f>'P6'!AK$34</f>
        <v>0</v>
      </c>
      <c r="QI9" s="66">
        <f>'P6'!AL$34</f>
        <v>0</v>
      </c>
      <c r="QJ9" s="66">
        <f>'P6'!AM$34</f>
        <v>0</v>
      </c>
      <c r="QK9" s="66">
        <f>'P6'!AN$34</f>
        <v>0</v>
      </c>
      <c r="QL9" s="66">
        <f>'P6'!AO$34</f>
        <v>0</v>
      </c>
      <c r="QM9" s="66">
        <f>'P6'!AP$34</f>
        <v>0</v>
      </c>
      <c r="QN9" s="66">
        <f>'P6'!AQ$34</f>
        <v>0</v>
      </c>
      <c r="QO9" s="66">
        <f>'P6'!AR$34</f>
        <v>0</v>
      </c>
      <c r="QP9" s="66">
        <f>'P6'!AS$34</f>
        <v>0</v>
      </c>
      <c r="QQ9" s="66">
        <f>'P6'!AT$34</f>
        <v>0</v>
      </c>
      <c r="QR9" s="66">
        <f>'P6'!AU$34</f>
        <v>0</v>
      </c>
      <c r="QS9" s="66">
        <f>'P6'!AV$34</f>
        <v>0</v>
      </c>
      <c r="QT9" s="66">
        <f>'P6'!AW$34</f>
        <v>0</v>
      </c>
      <c r="QU9" s="66">
        <f>'P6'!AX$34</f>
        <v>0</v>
      </c>
      <c r="QV9" s="66">
        <f>'P6'!AY$34</f>
        <v>0</v>
      </c>
      <c r="QW9" s="66">
        <f>'P6'!AZ$34</f>
        <v>0</v>
      </c>
      <c r="QX9" s="66">
        <f>'P6'!BA$34</f>
        <v>0</v>
      </c>
      <c r="QY9" s="66">
        <f>'P6'!BB$34</f>
        <v>0</v>
      </c>
      <c r="QZ9" s="66">
        <f>'P6'!BC$34</f>
        <v>0</v>
      </c>
      <c r="RA9" s="66">
        <f>'P6'!BD$34</f>
        <v>0</v>
      </c>
      <c r="RB9" s="66">
        <f>'P6'!BE$34</f>
        <v>0</v>
      </c>
      <c r="RC9" s="66">
        <f>'P6'!F$35</f>
        <v>0</v>
      </c>
      <c r="RD9" s="66">
        <f>'P6'!G$35</f>
        <v>0</v>
      </c>
      <c r="RE9" s="66">
        <f>'P6'!H$35</f>
        <v>0</v>
      </c>
      <c r="RF9" s="66">
        <f>'P6'!I$35</f>
        <v>0</v>
      </c>
      <c r="RG9" s="66">
        <f>'P6'!J$35</f>
        <v>0</v>
      </c>
      <c r="RH9" s="66">
        <f>'P6'!K$35</f>
        <v>0</v>
      </c>
      <c r="RI9" s="66">
        <f>'P6'!L$35</f>
        <v>0</v>
      </c>
      <c r="RJ9" s="66">
        <f>'P6'!M$35</f>
        <v>0</v>
      </c>
      <c r="RK9" s="66">
        <f>'P6'!N$35</f>
        <v>0</v>
      </c>
      <c r="RL9" s="66">
        <f>'P6'!O$35</f>
        <v>0</v>
      </c>
      <c r="RM9" s="66">
        <f>'P6'!P$35</f>
        <v>0</v>
      </c>
      <c r="RN9" s="66">
        <f>'P6'!Q$35</f>
        <v>0</v>
      </c>
      <c r="RO9" s="66">
        <f>'P6'!R$35</f>
        <v>0</v>
      </c>
      <c r="RP9" s="66">
        <f>'P6'!S$35</f>
        <v>0</v>
      </c>
      <c r="RQ9" s="66">
        <f>'P6'!T$35</f>
        <v>0</v>
      </c>
      <c r="RR9" s="66">
        <f>'P6'!U$35</f>
        <v>0</v>
      </c>
      <c r="RS9" s="66">
        <f>'P6'!V$35</f>
        <v>0</v>
      </c>
      <c r="RT9" s="66">
        <f>'P6'!W$35</f>
        <v>0</v>
      </c>
      <c r="RU9" s="66">
        <f>'P6'!X$35</f>
        <v>0</v>
      </c>
      <c r="RV9" s="66">
        <f>'P6'!Y$35</f>
        <v>0</v>
      </c>
      <c r="RW9" s="66">
        <f>'P6'!Z$35</f>
        <v>0</v>
      </c>
      <c r="RX9" s="66">
        <f>'P6'!AA$35</f>
        <v>0</v>
      </c>
      <c r="RY9" s="66">
        <f>'P6'!AB$35</f>
        <v>0</v>
      </c>
      <c r="RZ9" s="66">
        <f>'P6'!AC$35</f>
        <v>0</v>
      </c>
      <c r="SA9" s="66">
        <f>'P6'!AD$35</f>
        <v>0</v>
      </c>
      <c r="SB9" s="66">
        <f>'P6'!AE$35</f>
        <v>0</v>
      </c>
      <c r="SC9" s="66">
        <f>'P6'!AF$35</f>
        <v>0</v>
      </c>
      <c r="SD9" s="66">
        <f>'P6'!AG$35</f>
        <v>0</v>
      </c>
      <c r="SE9" s="66">
        <f>'P6'!AH$35</f>
        <v>0</v>
      </c>
      <c r="SF9" s="66">
        <f>'P6'!AI$35</f>
        <v>0</v>
      </c>
      <c r="SG9" s="66">
        <f>'P6'!AJ$35</f>
        <v>0</v>
      </c>
      <c r="SH9" s="66">
        <f>'P6'!AK$35</f>
        <v>0</v>
      </c>
      <c r="SI9" s="66">
        <f>'P6'!AL$35</f>
        <v>0</v>
      </c>
      <c r="SJ9" s="66">
        <f>'P6'!AM$35</f>
        <v>0</v>
      </c>
      <c r="SK9" s="66">
        <f>'P6'!AN$35</f>
        <v>0</v>
      </c>
      <c r="SL9" s="66">
        <f>'P6'!AO$35</f>
        <v>0</v>
      </c>
      <c r="SM9" s="66">
        <f>'P6'!AP$35</f>
        <v>0</v>
      </c>
      <c r="SN9" s="66">
        <f>'P6'!AQ$35</f>
        <v>0</v>
      </c>
      <c r="SO9" s="66">
        <f>'P6'!AR$35</f>
        <v>0</v>
      </c>
      <c r="SP9" s="66">
        <f>'P6'!AS$35</f>
        <v>0</v>
      </c>
      <c r="SQ9" s="66">
        <f>'P6'!AT$35</f>
        <v>0</v>
      </c>
      <c r="SR9" s="66">
        <f>'P6'!AU$35</f>
        <v>0</v>
      </c>
      <c r="SS9" s="66">
        <f>'P6'!AV$35</f>
        <v>0</v>
      </c>
      <c r="ST9" s="66">
        <f>'P6'!AW$35</f>
        <v>0</v>
      </c>
      <c r="SU9" s="66">
        <f>'P6'!AX$35</f>
        <v>0</v>
      </c>
      <c r="SV9" s="66">
        <f>'P6'!AY$35</f>
        <v>0</v>
      </c>
      <c r="SW9" s="66">
        <f>'P6'!AZ$35</f>
        <v>0</v>
      </c>
      <c r="SX9" s="66">
        <f>'P6'!BA$35</f>
        <v>0</v>
      </c>
      <c r="SY9" s="66">
        <f>'P6'!BB$35</f>
        <v>0</v>
      </c>
      <c r="SZ9" s="66">
        <f>'P6'!BC$35</f>
        <v>0</v>
      </c>
      <c r="TA9" s="66">
        <f>'P6'!BD$35</f>
        <v>0</v>
      </c>
      <c r="TB9" s="66">
        <f>'P6'!BE$35</f>
        <v>0</v>
      </c>
    </row>
    <row r="10" spans="2:522">
      <c r="B10" s="66">
        <v>7</v>
      </c>
      <c r="C10" s="66">
        <f>'P7'!$F$3</f>
        <v>0</v>
      </c>
      <c r="D10" s="66">
        <f>'P7'!$F$5</f>
        <v>0</v>
      </c>
      <c r="E10" s="66">
        <f>'P7'!$F$7</f>
        <v>0</v>
      </c>
      <c r="F10" s="66" t="str">
        <f>'P7'!$F$8</f>
        <v/>
      </c>
      <c r="G10" s="66">
        <f>'P7'!$B$13</f>
        <v>0</v>
      </c>
      <c r="H10" s="66">
        <f>'P7'!$C$17</f>
        <v>0</v>
      </c>
      <c r="I10" s="66">
        <f>'P7'!$C$18</f>
        <v>0</v>
      </c>
      <c r="J10" s="66">
        <f>'P7'!$C$19</f>
        <v>0</v>
      </c>
      <c r="K10" s="66">
        <f>'P7'!$C$20</f>
        <v>0</v>
      </c>
      <c r="L10" s="66">
        <f>'P7'!$C$21</f>
        <v>0</v>
      </c>
      <c r="M10" s="66" t="str">
        <f>'P7'!$F$12</f>
        <v/>
      </c>
      <c r="N10" s="66" t="str">
        <f>'P7'!$G$13</f>
        <v>Select the primary KPI (Jonas Library)</v>
      </c>
      <c r="O10" s="66">
        <f>'P7'!$F$15</f>
        <v>0</v>
      </c>
      <c r="P10" s="66">
        <f>'P7'!$F$19</f>
        <v>0</v>
      </c>
      <c r="Q10" s="66" t="str">
        <f>'P7'!$O$12</f>
        <v/>
      </c>
      <c r="R10" s="66" t="str">
        <f>'P7'!$P$13</f>
        <v>Select the primary KPI (Jonas Library)</v>
      </c>
      <c r="S10" s="66">
        <f>'P7'!$O$15</f>
        <v>0</v>
      </c>
      <c r="T10" s="66">
        <f>'P7'!$O$19</f>
        <v>0</v>
      </c>
      <c r="U10" s="66" t="str">
        <f>'P7'!$X$12</f>
        <v/>
      </c>
      <c r="V10" s="66" t="str">
        <f>'P7'!$Y$13</f>
        <v>Select the primary KPI (Jonas Library)</v>
      </c>
      <c r="W10" s="66">
        <f>'P7'!$X$15</f>
        <v>0</v>
      </c>
      <c r="X10" s="66">
        <f>'P7'!$X$19</f>
        <v>0</v>
      </c>
      <c r="Y10" s="66">
        <f>'P7'!$AV$3</f>
        <v>0</v>
      </c>
      <c r="Z10" s="66" t="str">
        <f ca="1">'P7'!$AO$4</f>
        <v>Not Def</v>
      </c>
      <c r="AA10" s="66">
        <f ca="1">'P7'!$AV$4</f>
        <v>0</v>
      </c>
      <c r="AB10" s="66" t="str">
        <f ca="1">'P7'!$AO$5</f>
        <v>Not Def</v>
      </c>
      <c r="AC10" s="66">
        <f ca="1">'P7'!$AV$5</f>
        <v>0</v>
      </c>
      <c r="AD10" s="66">
        <f ca="1">'P7'!$AV$6</f>
        <v>0</v>
      </c>
      <c r="AE10" s="67" t="str">
        <f>IF('P7'!$AV$10="","",'P7'!$AV$10)</f>
        <v/>
      </c>
      <c r="AF10" s="67" t="str">
        <f>IF('P7'!$AV$11="","",'P7'!$AV$11)</f>
        <v/>
      </c>
      <c r="AG10" s="67" t="str">
        <f>IF('P7'!$AV$12="","",'P7'!$AV$12)</f>
        <v/>
      </c>
      <c r="AH10" s="67" t="str">
        <f>IF('P7'!$AV$13="","",'P7'!$AV$13)</f>
        <v/>
      </c>
      <c r="AI10" s="67" t="str">
        <f>IF('P7'!$AV$14="","",'P7'!$AV$14)</f>
        <v/>
      </c>
      <c r="AJ10" s="67" t="str">
        <f>IF('P7'!$AV$15="","",'P7'!$AV$15)</f>
        <v/>
      </c>
      <c r="AK10" s="67" t="str">
        <f>IF('P7'!$AV$16="","",'P7'!$AV$16)</f>
        <v/>
      </c>
      <c r="AL10" s="67" t="str">
        <f>IF('P7'!$AV$17="","",'P7'!$AV$17)</f>
        <v/>
      </c>
      <c r="AM10" s="67" t="str">
        <f>IF('P7'!$AV$18="","",'P7'!AV$18)</f>
        <v/>
      </c>
      <c r="AN10" s="67" t="str">
        <f>IF('P7'!$AV$19="","",'P7'!$AV$19)</f>
        <v/>
      </c>
      <c r="AO10" s="67" t="str">
        <f>IF('P7'!$AV$20="","",'P7'!$AV$20)</f>
        <v/>
      </c>
      <c r="AP10" s="67" t="str">
        <f>IF('P7'!$AV$21="","",'P7'!$AV$21)</f>
        <v/>
      </c>
      <c r="AQ10" s="67" t="str">
        <f>IF('P7'!$AY$10="","",'P7'!$AY$10)</f>
        <v/>
      </c>
      <c r="AR10" s="67" t="str">
        <f>IF('P7'!$AY$11="","",'P7'!$AY$11)</f>
        <v/>
      </c>
      <c r="AS10" s="67" t="str">
        <f>IF('P7'!$AY$12="","",'P7'!$AY$12)</f>
        <v/>
      </c>
      <c r="AT10" s="67" t="str">
        <f>IF('P7'!$AY$13="","",'P7'!$AY$13)</f>
        <v/>
      </c>
      <c r="AU10" s="67" t="str">
        <f>IF('P7'!$AY$14="","",'P7'!$AY$14)</f>
        <v/>
      </c>
      <c r="AV10" s="67" t="str">
        <f>IF('P7'!$AY$15="","",'P7'!$AY$15)</f>
        <v/>
      </c>
      <c r="AW10" s="67" t="str">
        <f>IF('P7'!$AY$16="","",'P7'!$AY$16)</f>
        <v/>
      </c>
      <c r="AX10" s="67" t="str">
        <f>IF('P7'!$AY$17="","",'P7'!$AY$17)</f>
        <v/>
      </c>
      <c r="AY10" s="67" t="str">
        <f>IF('P7'!$AY$18="","",'P7'!$AY$18)</f>
        <v/>
      </c>
      <c r="AZ10" s="67" t="str">
        <f>IF('P7'!$AY$19="","",'P7'!$AY$19)</f>
        <v/>
      </c>
      <c r="BA10" s="67" t="str">
        <f>IF('P7'!$AY$20="","",'P7'!$AY$20)</f>
        <v/>
      </c>
      <c r="BB10" s="67" t="str">
        <f>IF('P7'!$AY$21="","",'P7'!$AY$21)</f>
        <v/>
      </c>
      <c r="BC10" s="66">
        <f>'P7'!F$25</f>
        <v>0</v>
      </c>
      <c r="BD10" s="66">
        <f>'P7'!G$25</f>
        <v>0</v>
      </c>
      <c r="BE10" s="66">
        <f>'P7'!H$25</f>
        <v>0</v>
      </c>
      <c r="BF10" s="66">
        <f>'P7'!I$25</f>
        <v>0</v>
      </c>
      <c r="BG10" s="66">
        <f>'P7'!J$25</f>
        <v>0</v>
      </c>
      <c r="BH10" s="66">
        <f>'P7'!K$25</f>
        <v>0</v>
      </c>
      <c r="BI10" s="66">
        <f>'P7'!L$25</f>
        <v>0</v>
      </c>
      <c r="BJ10" s="66">
        <f>'P7'!M$25</f>
        <v>0</v>
      </c>
      <c r="BK10" s="66">
        <f>'P7'!N$25</f>
        <v>0</v>
      </c>
      <c r="BL10" s="66">
        <f>'P7'!O$25</f>
        <v>0</v>
      </c>
      <c r="BM10" s="66">
        <f>'P7'!P$25</f>
        <v>0</v>
      </c>
      <c r="BN10" s="66">
        <f>'P7'!Q$25</f>
        <v>0</v>
      </c>
      <c r="BO10" s="66">
        <f>'P7'!R$25</f>
        <v>0</v>
      </c>
      <c r="BP10" s="66">
        <f>'P7'!S$25</f>
        <v>0</v>
      </c>
      <c r="BQ10" s="66">
        <f>'P7'!T$25</f>
        <v>0</v>
      </c>
      <c r="BR10" s="66">
        <f>'P7'!U$25</f>
        <v>0</v>
      </c>
      <c r="BS10" s="66">
        <f>'P7'!V$25</f>
        <v>0</v>
      </c>
      <c r="BT10" s="66">
        <f>'P7'!W$25</f>
        <v>0</v>
      </c>
      <c r="BU10" s="66">
        <f>'P7'!X$25</f>
        <v>0</v>
      </c>
      <c r="BV10" s="66">
        <f>'P7'!Y$25</f>
        <v>0</v>
      </c>
      <c r="BW10" s="66">
        <f>'P7'!Z$25</f>
        <v>0</v>
      </c>
      <c r="BX10" s="66">
        <f>'P7'!AA$25</f>
        <v>0</v>
      </c>
      <c r="BY10" s="66">
        <f>'P7'!AB$25</f>
        <v>0</v>
      </c>
      <c r="BZ10" s="66">
        <f>'P7'!AC$25</f>
        <v>0</v>
      </c>
      <c r="CA10" s="66">
        <f>'P7'!AD$25</f>
        <v>0</v>
      </c>
      <c r="CB10" s="66">
        <f>'P7'!AE$25</f>
        <v>0</v>
      </c>
      <c r="CC10" s="66">
        <f>'P7'!AF$25</f>
        <v>0</v>
      </c>
      <c r="CD10" s="66">
        <f>'P7'!AG$25</f>
        <v>0</v>
      </c>
      <c r="CE10" s="66">
        <f>'P7'!AH$25</f>
        <v>0</v>
      </c>
      <c r="CF10" s="66">
        <f>'P7'!AI$25</f>
        <v>0</v>
      </c>
      <c r="CG10" s="66">
        <f>'P7'!AJ$25</f>
        <v>0</v>
      </c>
      <c r="CH10" s="66">
        <f>'P7'!AK$25</f>
        <v>0</v>
      </c>
      <c r="CI10" s="66">
        <f>'P7'!AL$25</f>
        <v>0</v>
      </c>
      <c r="CJ10" s="66">
        <f>'P7'!AM$25</f>
        <v>0</v>
      </c>
      <c r="CK10" s="66">
        <f>'P7'!AN$25</f>
        <v>0</v>
      </c>
      <c r="CL10" s="66">
        <f>'P7'!AO$25</f>
        <v>0</v>
      </c>
      <c r="CM10" s="66">
        <f>'P7'!AP$25</f>
        <v>0</v>
      </c>
      <c r="CN10" s="66">
        <f>'P7'!AQ$25</f>
        <v>0</v>
      </c>
      <c r="CO10" s="66">
        <f>'P7'!AR$25</f>
        <v>0</v>
      </c>
      <c r="CP10" s="66">
        <f>'P7'!AS$25</f>
        <v>0</v>
      </c>
      <c r="CQ10" s="66">
        <f>'P7'!AT$25</f>
        <v>0</v>
      </c>
      <c r="CR10" s="66">
        <f>'P7'!AU$25</f>
        <v>0</v>
      </c>
      <c r="CS10" s="66">
        <f>'P7'!AV$25</f>
        <v>0</v>
      </c>
      <c r="CT10" s="66">
        <f>'P7'!AW$25</f>
        <v>0</v>
      </c>
      <c r="CU10" s="66">
        <f>'P7'!AX$25</f>
        <v>0</v>
      </c>
      <c r="CV10" s="66">
        <f>'P7'!AY$25</f>
        <v>0</v>
      </c>
      <c r="CW10" s="66">
        <f>'P7'!AZ$25</f>
        <v>0</v>
      </c>
      <c r="CX10" s="66">
        <f>'P7'!BA$25</f>
        <v>0</v>
      </c>
      <c r="CY10" s="66">
        <f>'P7'!BB$25</f>
        <v>0</v>
      </c>
      <c r="CZ10" s="66">
        <f>'P7'!BC$25</f>
        <v>0</v>
      </c>
      <c r="DA10" s="66">
        <f>'P7'!BD$25</f>
        <v>0</v>
      </c>
      <c r="DB10" s="66">
        <f>'P7'!BE$25</f>
        <v>0</v>
      </c>
      <c r="DC10" s="66">
        <f>'P7'!F$26</f>
        <v>0</v>
      </c>
      <c r="DD10" s="66">
        <f>'P7'!G$26</f>
        <v>0</v>
      </c>
      <c r="DE10" s="66">
        <f>'P7'!H$26</f>
        <v>0</v>
      </c>
      <c r="DF10" s="66">
        <f>'P7'!I$26</f>
        <v>0</v>
      </c>
      <c r="DG10" s="66">
        <f>'P7'!J$26</f>
        <v>0</v>
      </c>
      <c r="DH10" s="66">
        <f>'P7'!K$26</f>
        <v>0</v>
      </c>
      <c r="DI10" s="66">
        <f>'P7'!L$26</f>
        <v>0</v>
      </c>
      <c r="DJ10" s="66">
        <f>'P7'!M$26</f>
        <v>0</v>
      </c>
      <c r="DK10" s="66">
        <f>'P7'!N$26</f>
        <v>0</v>
      </c>
      <c r="DL10" s="66">
        <f>'P7'!O$26</f>
        <v>0</v>
      </c>
      <c r="DM10" s="66">
        <f>'P7'!P$26</f>
        <v>0</v>
      </c>
      <c r="DN10" s="66">
        <f>'P7'!Q$26</f>
        <v>0</v>
      </c>
      <c r="DO10" s="66">
        <f>'P7'!R$26</f>
        <v>0</v>
      </c>
      <c r="DP10" s="66">
        <f>'P7'!S$26</f>
        <v>0</v>
      </c>
      <c r="DQ10" s="66">
        <f>'P7'!T$26</f>
        <v>0</v>
      </c>
      <c r="DR10" s="66">
        <f>'P7'!U$26</f>
        <v>0</v>
      </c>
      <c r="DS10" s="66">
        <f>'P7'!V$26</f>
        <v>0</v>
      </c>
      <c r="DT10" s="66">
        <f>'P7'!W$26</f>
        <v>0</v>
      </c>
      <c r="DU10" s="66">
        <f>'P7'!X$26</f>
        <v>0</v>
      </c>
      <c r="DV10" s="66">
        <f>'P7'!Y$26</f>
        <v>0</v>
      </c>
      <c r="DW10" s="66">
        <f>'P7'!Z$26</f>
        <v>0</v>
      </c>
      <c r="DX10" s="66">
        <f>'P7'!AA$26</f>
        <v>0</v>
      </c>
      <c r="DY10" s="66">
        <f>'P7'!AB$26</f>
        <v>0</v>
      </c>
      <c r="DZ10" s="66">
        <f>'P7'!AC$26</f>
        <v>0</v>
      </c>
      <c r="EA10" s="66">
        <f>'P7'!AD$26</f>
        <v>0</v>
      </c>
      <c r="EB10" s="66">
        <f>'P7'!AE$26</f>
        <v>0</v>
      </c>
      <c r="EC10" s="66">
        <f>'P7'!AF$26</f>
        <v>0</v>
      </c>
      <c r="ED10" s="66">
        <f>'P7'!AG$26</f>
        <v>0</v>
      </c>
      <c r="EE10" s="66">
        <f>'P7'!AH$26</f>
        <v>0</v>
      </c>
      <c r="EF10" s="66">
        <f>'P7'!AI$26</f>
        <v>0</v>
      </c>
      <c r="EG10" s="66">
        <f>'P7'!AJ$26</f>
        <v>0</v>
      </c>
      <c r="EH10" s="66">
        <f>'P7'!AK$26</f>
        <v>0</v>
      </c>
      <c r="EI10" s="66">
        <f>'P7'!AL$26</f>
        <v>0</v>
      </c>
      <c r="EJ10" s="66">
        <f>'P7'!AM$26</f>
        <v>0</v>
      </c>
      <c r="EK10" s="66">
        <f>'P7'!AN$26</f>
        <v>0</v>
      </c>
      <c r="EL10" s="66">
        <f>'P7'!AO$26</f>
        <v>0</v>
      </c>
      <c r="EM10" s="66">
        <f>'P7'!AP$26</f>
        <v>0</v>
      </c>
      <c r="EN10" s="66">
        <f>'P7'!AQ$26</f>
        <v>0</v>
      </c>
      <c r="EO10" s="66">
        <f>'P7'!AR$26</f>
        <v>0</v>
      </c>
      <c r="EP10" s="66">
        <f>'P7'!AS$26</f>
        <v>0</v>
      </c>
      <c r="EQ10" s="66">
        <f>'P7'!AT$26</f>
        <v>0</v>
      </c>
      <c r="ER10" s="66">
        <f>'P7'!AU$26</f>
        <v>0</v>
      </c>
      <c r="ES10" s="66">
        <f>'P7'!AV$26</f>
        <v>0</v>
      </c>
      <c r="ET10" s="66">
        <f>'P7'!AW$26</f>
        <v>0</v>
      </c>
      <c r="EU10" s="66">
        <f>'P7'!AX$26</f>
        <v>0</v>
      </c>
      <c r="EV10" s="66">
        <f>'P7'!AY$26</f>
        <v>0</v>
      </c>
      <c r="EW10" s="66">
        <f>'P7'!AZ$26</f>
        <v>0</v>
      </c>
      <c r="EX10" s="66">
        <f>'P7'!BA$26</f>
        <v>0</v>
      </c>
      <c r="EY10" s="66">
        <f>'P7'!BB$26</f>
        <v>0</v>
      </c>
      <c r="EZ10" s="66">
        <f>'P7'!BC$26</f>
        <v>0</v>
      </c>
      <c r="FA10" s="66">
        <f>'P7'!BD$26</f>
        <v>0</v>
      </c>
      <c r="FB10" s="66">
        <f>'P7'!BE$26</f>
        <v>0</v>
      </c>
      <c r="FC10" s="66">
        <f>'P7'!F$27</f>
        <v>0</v>
      </c>
      <c r="FD10" s="66">
        <f>'P7'!G$27</f>
        <v>0</v>
      </c>
      <c r="FE10" s="66">
        <f>'P7'!H$27</f>
        <v>0</v>
      </c>
      <c r="FF10" s="66">
        <f>'P7'!I$27</f>
        <v>0</v>
      </c>
      <c r="FG10" s="66">
        <f>'P7'!J$27</f>
        <v>0</v>
      </c>
      <c r="FH10" s="66">
        <f>'P7'!K$27</f>
        <v>0</v>
      </c>
      <c r="FI10" s="66">
        <f>'P7'!L$27</f>
        <v>0</v>
      </c>
      <c r="FJ10" s="66">
        <f>'P7'!M$27</f>
        <v>0</v>
      </c>
      <c r="FK10" s="66">
        <f>'P7'!N$27</f>
        <v>0</v>
      </c>
      <c r="FL10" s="66">
        <f>'P7'!O$27</f>
        <v>0</v>
      </c>
      <c r="FM10" s="66">
        <f>'P7'!P$27</f>
        <v>0</v>
      </c>
      <c r="FN10" s="66">
        <f>'P7'!Q$27</f>
        <v>0</v>
      </c>
      <c r="FO10" s="66">
        <f>'P7'!R$27</f>
        <v>0</v>
      </c>
      <c r="FP10" s="66">
        <f>'P7'!S$27</f>
        <v>0</v>
      </c>
      <c r="FQ10" s="66">
        <f>'P7'!T$27</f>
        <v>0</v>
      </c>
      <c r="FR10" s="66">
        <f>'P7'!U$27</f>
        <v>0</v>
      </c>
      <c r="FS10" s="66">
        <f>'P7'!V$27</f>
        <v>0</v>
      </c>
      <c r="FT10" s="66">
        <f>'P7'!W$27</f>
        <v>0</v>
      </c>
      <c r="FU10" s="66">
        <f>'P7'!X$27</f>
        <v>0</v>
      </c>
      <c r="FV10" s="66">
        <f>'P7'!Y$27</f>
        <v>0</v>
      </c>
      <c r="FW10" s="66">
        <f>'P7'!Z$27</f>
        <v>0</v>
      </c>
      <c r="FX10" s="66">
        <f>'P7'!AA$27</f>
        <v>0</v>
      </c>
      <c r="FY10" s="66">
        <f>'P7'!AB$27</f>
        <v>0</v>
      </c>
      <c r="FZ10" s="66">
        <f>'P7'!AC$27</f>
        <v>0</v>
      </c>
      <c r="GA10" s="66">
        <f>'P7'!AD$27</f>
        <v>0</v>
      </c>
      <c r="GB10" s="66">
        <f>'P7'!AE$27</f>
        <v>0</v>
      </c>
      <c r="GC10" s="66">
        <f>'P7'!AF$27</f>
        <v>0</v>
      </c>
      <c r="GD10" s="66">
        <f>'P7'!AG$27</f>
        <v>0</v>
      </c>
      <c r="GE10" s="66">
        <f>'P7'!AH$27</f>
        <v>0</v>
      </c>
      <c r="GF10" s="66">
        <f>'P7'!AI$27</f>
        <v>0</v>
      </c>
      <c r="GG10" s="66">
        <f>'P7'!AJ$27</f>
        <v>0</v>
      </c>
      <c r="GH10" s="66">
        <f>'P7'!AK$27</f>
        <v>0</v>
      </c>
      <c r="GI10" s="66">
        <f>'P7'!AL$27</f>
        <v>0</v>
      </c>
      <c r="GJ10" s="66">
        <f>'P7'!AM$27</f>
        <v>0</v>
      </c>
      <c r="GK10" s="66">
        <f>'P7'!AN$27</f>
        <v>0</v>
      </c>
      <c r="GL10" s="66">
        <f>'P7'!AO$27</f>
        <v>0</v>
      </c>
      <c r="GM10" s="66">
        <f>'P7'!AP$27</f>
        <v>0</v>
      </c>
      <c r="GN10" s="66">
        <f>'P7'!AQ$27</f>
        <v>0</v>
      </c>
      <c r="GO10" s="66">
        <f>'P7'!AR$27</f>
        <v>0</v>
      </c>
      <c r="GP10" s="66">
        <f>'P7'!AS$27</f>
        <v>0</v>
      </c>
      <c r="GQ10" s="66">
        <f>'P7'!AT$27</f>
        <v>0</v>
      </c>
      <c r="GR10" s="66">
        <f>'P7'!AU$27</f>
        <v>0</v>
      </c>
      <c r="GS10" s="66">
        <f>'P7'!AV$27</f>
        <v>0</v>
      </c>
      <c r="GT10" s="66">
        <f>'P7'!AW$27</f>
        <v>0</v>
      </c>
      <c r="GU10" s="66">
        <f>'P7'!AX$27</f>
        <v>0</v>
      </c>
      <c r="GV10" s="66">
        <f>'P7'!AY$27</f>
        <v>0</v>
      </c>
      <c r="GW10" s="66">
        <f>'P7'!AZ$27</f>
        <v>0</v>
      </c>
      <c r="GX10" s="66">
        <f>'P7'!BA$27</f>
        <v>0</v>
      </c>
      <c r="GY10" s="66">
        <f>'P7'!BB$27</f>
        <v>0</v>
      </c>
      <c r="GZ10" s="66">
        <f>'P7'!BC$27</f>
        <v>0</v>
      </c>
      <c r="HA10" s="66">
        <f>'P7'!BD$27</f>
        <v>0</v>
      </c>
      <c r="HB10" s="66">
        <f>'P7'!BE$27</f>
        <v>0</v>
      </c>
      <c r="HC10" s="66">
        <f>'P7'!F$29</f>
        <v>0</v>
      </c>
      <c r="HD10" s="66">
        <f>'P7'!G$29</f>
        <v>0</v>
      </c>
      <c r="HE10" s="66">
        <f>'P7'!H$29</f>
        <v>0</v>
      </c>
      <c r="HF10" s="66">
        <f>'P7'!I$29</f>
        <v>0</v>
      </c>
      <c r="HG10" s="66">
        <f>'P7'!J$29</f>
        <v>0</v>
      </c>
      <c r="HH10" s="66">
        <f>'P7'!K$29</f>
        <v>0</v>
      </c>
      <c r="HI10" s="66">
        <f>'P7'!L$29</f>
        <v>0</v>
      </c>
      <c r="HJ10" s="66">
        <f>'P7'!M$29</f>
        <v>0</v>
      </c>
      <c r="HK10" s="66">
        <f>'P7'!N$29</f>
        <v>0</v>
      </c>
      <c r="HL10" s="66">
        <f>'P7'!O$29</f>
        <v>0</v>
      </c>
      <c r="HM10" s="66">
        <f>'P7'!P$29</f>
        <v>0</v>
      </c>
      <c r="HN10" s="66">
        <f>'P7'!Q$29</f>
        <v>0</v>
      </c>
      <c r="HO10" s="66">
        <f>'P7'!R$29</f>
        <v>0</v>
      </c>
      <c r="HP10" s="66">
        <f>'P7'!S$29</f>
        <v>0</v>
      </c>
      <c r="HQ10" s="66">
        <f>'P7'!T$29</f>
        <v>0</v>
      </c>
      <c r="HR10" s="66">
        <f>'P7'!U$29</f>
        <v>0</v>
      </c>
      <c r="HS10" s="66">
        <f>'P7'!V$29</f>
        <v>0</v>
      </c>
      <c r="HT10" s="66">
        <f>'P7'!W$29</f>
        <v>0</v>
      </c>
      <c r="HU10" s="66">
        <f>'P7'!X$29</f>
        <v>0</v>
      </c>
      <c r="HV10" s="66">
        <f>'P7'!Y$29</f>
        <v>0</v>
      </c>
      <c r="HW10" s="66">
        <f>'P7'!Z$29</f>
        <v>0</v>
      </c>
      <c r="HX10" s="66">
        <f>'P7'!AA$29</f>
        <v>0</v>
      </c>
      <c r="HY10" s="66">
        <f>'P7'!AB$29</f>
        <v>0</v>
      </c>
      <c r="HZ10" s="66">
        <f>'P7'!AC$29</f>
        <v>0</v>
      </c>
      <c r="IA10" s="66">
        <f>'P7'!AD$29</f>
        <v>0</v>
      </c>
      <c r="IB10" s="66">
        <f>'P7'!AE$29</f>
        <v>0</v>
      </c>
      <c r="IC10" s="66">
        <f>'P7'!AF$29</f>
        <v>0</v>
      </c>
      <c r="ID10" s="66">
        <f>'P7'!AG$29</f>
        <v>0</v>
      </c>
      <c r="IE10" s="66">
        <f>'P7'!AH$29</f>
        <v>0</v>
      </c>
      <c r="IF10" s="66">
        <f>'P7'!AI$29</f>
        <v>0</v>
      </c>
      <c r="IG10" s="66">
        <f>'P7'!AJ$29</f>
        <v>0</v>
      </c>
      <c r="IH10" s="66">
        <f>'P7'!AK$29</f>
        <v>0</v>
      </c>
      <c r="II10" s="66">
        <f>'P7'!AL$29</f>
        <v>0</v>
      </c>
      <c r="IJ10" s="66">
        <f>'P7'!AM$29</f>
        <v>0</v>
      </c>
      <c r="IK10" s="66">
        <f>'P7'!AN$29</f>
        <v>0</v>
      </c>
      <c r="IL10" s="66">
        <f>'P7'!AO$29</f>
        <v>0</v>
      </c>
      <c r="IM10" s="66">
        <f>'P7'!AP$29</f>
        <v>0</v>
      </c>
      <c r="IN10" s="66">
        <f>'P7'!AQ$29</f>
        <v>0</v>
      </c>
      <c r="IO10" s="66">
        <f>'P7'!AR$29</f>
        <v>0</v>
      </c>
      <c r="IP10" s="66">
        <f>'P7'!AS$29</f>
        <v>0</v>
      </c>
      <c r="IQ10" s="66">
        <f>'P7'!AT$29</f>
        <v>0</v>
      </c>
      <c r="IR10" s="66">
        <f>'P7'!AU$29</f>
        <v>0</v>
      </c>
      <c r="IS10" s="66">
        <f>'P7'!AV$29</f>
        <v>0</v>
      </c>
      <c r="IT10" s="66">
        <f>'P7'!AW$29</f>
        <v>0</v>
      </c>
      <c r="IU10" s="66">
        <f>'P7'!AX$29</f>
        <v>0</v>
      </c>
      <c r="IV10" s="66">
        <f>'P7'!AY$29</f>
        <v>0</v>
      </c>
      <c r="IW10" s="66">
        <f>'P7'!AZ$29</f>
        <v>0</v>
      </c>
      <c r="IX10" s="66">
        <f>'P7'!BA$29</f>
        <v>0</v>
      </c>
      <c r="IY10" s="66">
        <f>'P7'!BB$29</f>
        <v>0</v>
      </c>
      <c r="IZ10" s="66">
        <f>'P7'!BC$29</f>
        <v>0</v>
      </c>
      <c r="JA10" s="66">
        <f>'P7'!BD$29</f>
        <v>0</v>
      </c>
      <c r="JB10" s="66">
        <f>'P7'!BE$29</f>
        <v>0</v>
      </c>
      <c r="JC10" s="66">
        <f>'P7'!F$30</f>
        <v>0</v>
      </c>
      <c r="JD10" s="66">
        <f>'P7'!G$30</f>
        <v>0</v>
      </c>
      <c r="JE10" s="66">
        <f>'P7'!H$30</f>
        <v>0</v>
      </c>
      <c r="JF10" s="66">
        <f>'P7'!I$30</f>
        <v>0</v>
      </c>
      <c r="JG10" s="66">
        <f>'P7'!J$30</f>
        <v>0</v>
      </c>
      <c r="JH10" s="66">
        <f>'P7'!K$30</f>
        <v>0</v>
      </c>
      <c r="JI10" s="66">
        <f>'P7'!L$30</f>
        <v>0</v>
      </c>
      <c r="JJ10" s="66">
        <f>'P7'!M$30</f>
        <v>0</v>
      </c>
      <c r="JK10" s="66">
        <f>'P7'!N$30</f>
        <v>0</v>
      </c>
      <c r="JL10" s="66">
        <f>'P7'!O$30</f>
        <v>0</v>
      </c>
      <c r="JM10" s="66">
        <f>'P7'!P$30</f>
        <v>0</v>
      </c>
      <c r="JN10" s="66">
        <f>'P7'!Q$30</f>
        <v>0</v>
      </c>
      <c r="JO10" s="66">
        <f>'P7'!R$30</f>
        <v>0</v>
      </c>
      <c r="JP10" s="66">
        <f>'P7'!S$30</f>
        <v>0</v>
      </c>
      <c r="JQ10" s="66">
        <f>'P7'!T$30</f>
        <v>0</v>
      </c>
      <c r="JR10" s="66">
        <f>'P7'!U$30</f>
        <v>0</v>
      </c>
      <c r="JS10" s="66">
        <f>'P7'!V$30</f>
        <v>0</v>
      </c>
      <c r="JT10" s="66">
        <f>'P7'!W$30</f>
        <v>0</v>
      </c>
      <c r="JU10" s="66">
        <f>'P7'!X$30</f>
        <v>0</v>
      </c>
      <c r="JV10" s="66">
        <f>'P7'!Y$30</f>
        <v>0</v>
      </c>
      <c r="JW10" s="66">
        <f>'P7'!Z$30</f>
        <v>0</v>
      </c>
      <c r="JX10" s="66">
        <f>'P7'!AA$30</f>
        <v>0</v>
      </c>
      <c r="JY10" s="66">
        <f>'P7'!AB$30</f>
        <v>0</v>
      </c>
      <c r="JZ10" s="66">
        <f>'P7'!AC$30</f>
        <v>0</v>
      </c>
      <c r="KA10" s="66">
        <f>'P7'!AD$30</f>
        <v>0</v>
      </c>
      <c r="KB10" s="66">
        <f>'P7'!AE$30</f>
        <v>0</v>
      </c>
      <c r="KC10" s="66">
        <f>'P7'!AF$30</f>
        <v>0</v>
      </c>
      <c r="KD10" s="66">
        <f>'P7'!AG$30</f>
        <v>0</v>
      </c>
      <c r="KE10" s="66">
        <f>'P7'!AH$30</f>
        <v>0</v>
      </c>
      <c r="KF10" s="66">
        <f>'P7'!AI$30</f>
        <v>0</v>
      </c>
      <c r="KG10" s="66">
        <f>'P7'!AJ$30</f>
        <v>0</v>
      </c>
      <c r="KH10" s="66">
        <f>'P7'!AK$30</f>
        <v>0</v>
      </c>
      <c r="KI10" s="66">
        <f>'P7'!AL$30</f>
        <v>0</v>
      </c>
      <c r="KJ10" s="66">
        <f>'P7'!AM$30</f>
        <v>0</v>
      </c>
      <c r="KK10" s="66">
        <f>'P7'!AN$30</f>
        <v>0</v>
      </c>
      <c r="KL10" s="66">
        <f>'P7'!AO$30</f>
        <v>0</v>
      </c>
      <c r="KM10" s="66">
        <f>'P7'!AP$30</f>
        <v>0</v>
      </c>
      <c r="KN10" s="66">
        <f>'P7'!AQ$30</f>
        <v>0</v>
      </c>
      <c r="KO10" s="66">
        <f>'P7'!AR$30</f>
        <v>0</v>
      </c>
      <c r="KP10" s="66">
        <f>'P7'!AS$30</f>
        <v>0</v>
      </c>
      <c r="KQ10" s="66">
        <f>'P7'!AT$30</f>
        <v>0</v>
      </c>
      <c r="KR10" s="66">
        <f>'P7'!AU$30</f>
        <v>0</v>
      </c>
      <c r="KS10" s="66">
        <f>'P7'!AV$30</f>
        <v>0</v>
      </c>
      <c r="KT10" s="66">
        <f>'P7'!AW$30</f>
        <v>0</v>
      </c>
      <c r="KU10" s="66">
        <f>'P7'!AX$30</f>
        <v>0</v>
      </c>
      <c r="KV10" s="66">
        <f>'P7'!AY$30</f>
        <v>0</v>
      </c>
      <c r="KW10" s="66">
        <f>'P7'!AZ$30</f>
        <v>0</v>
      </c>
      <c r="KX10" s="66">
        <f>'P7'!BA$30</f>
        <v>0</v>
      </c>
      <c r="KY10" s="66">
        <f>'P7'!BB$30</f>
        <v>0</v>
      </c>
      <c r="KZ10" s="66">
        <f>'P7'!BC$30</f>
        <v>0</v>
      </c>
      <c r="LA10" s="66">
        <f>'P7'!BD$30</f>
        <v>0</v>
      </c>
      <c r="LB10" s="66">
        <f>'P7'!BE$30</f>
        <v>0</v>
      </c>
      <c r="LC10" s="66">
        <f>'P7'!F$31</f>
        <v>0</v>
      </c>
      <c r="LD10" s="66">
        <f>'P7'!G$31</f>
        <v>0</v>
      </c>
      <c r="LE10" s="66">
        <f>'P7'!H$31</f>
        <v>0</v>
      </c>
      <c r="LF10" s="66">
        <f>'P7'!I$31</f>
        <v>0</v>
      </c>
      <c r="LG10" s="66">
        <f>'P7'!J$31</f>
        <v>0</v>
      </c>
      <c r="LH10" s="66">
        <f>'P7'!K$31</f>
        <v>0</v>
      </c>
      <c r="LI10" s="66">
        <f>'P7'!L$31</f>
        <v>0</v>
      </c>
      <c r="LJ10" s="66">
        <f>'P7'!M$31</f>
        <v>0</v>
      </c>
      <c r="LK10" s="66">
        <f>'P7'!N$31</f>
        <v>0</v>
      </c>
      <c r="LL10" s="66">
        <f>'P7'!O$31</f>
        <v>0</v>
      </c>
      <c r="LM10" s="66">
        <f>'P7'!P$31</f>
        <v>0</v>
      </c>
      <c r="LN10" s="66">
        <f>'P7'!Q$31</f>
        <v>0</v>
      </c>
      <c r="LO10" s="66">
        <f>'P7'!R$31</f>
        <v>0</v>
      </c>
      <c r="LP10" s="66">
        <f>'P7'!S$31</f>
        <v>0</v>
      </c>
      <c r="LQ10" s="66">
        <f>'P7'!T$31</f>
        <v>0</v>
      </c>
      <c r="LR10" s="66">
        <f>'P7'!U$31</f>
        <v>0</v>
      </c>
      <c r="LS10" s="66">
        <f>'P7'!V$31</f>
        <v>0</v>
      </c>
      <c r="LT10" s="66">
        <f>'P7'!W$31</f>
        <v>0</v>
      </c>
      <c r="LU10" s="66">
        <f>'P7'!X$31</f>
        <v>0</v>
      </c>
      <c r="LV10" s="66">
        <f>'P7'!Y$31</f>
        <v>0</v>
      </c>
      <c r="LW10" s="66">
        <f>'P7'!Z$31</f>
        <v>0</v>
      </c>
      <c r="LX10" s="66">
        <f>'P7'!AA$31</f>
        <v>0</v>
      </c>
      <c r="LY10" s="66">
        <f>'P7'!AB$31</f>
        <v>0</v>
      </c>
      <c r="LZ10" s="66">
        <f>'P7'!AC$31</f>
        <v>0</v>
      </c>
      <c r="MA10" s="66">
        <f>'P7'!AD$31</f>
        <v>0</v>
      </c>
      <c r="MB10" s="66">
        <f>'P7'!AE$31</f>
        <v>0</v>
      </c>
      <c r="MC10" s="66">
        <f>'P7'!AF$31</f>
        <v>0</v>
      </c>
      <c r="MD10" s="66">
        <f>'P7'!AG$31</f>
        <v>0</v>
      </c>
      <c r="ME10" s="66">
        <f>'P7'!AH$31</f>
        <v>0</v>
      </c>
      <c r="MF10" s="66">
        <f>'P7'!AI$31</f>
        <v>0</v>
      </c>
      <c r="MG10" s="66">
        <f>'P7'!AJ$31</f>
        <v>0</v>
      </c>
      <c r="MH10" s="66">
        <f>'P7'!AK$31</f>
        <v>0</v>
      </c>
      <c r="MI10" s="66">
        <f>'P7'!AL$31</f>
        <v>0</v>
      </c>
      <c r="MJ10" s="66">
        <f>'P7'!AM$31</f>
        <v>0</v>
      </c>
      <c r="MK10" s="66">
        <f>'P7'!AN$31</f>
        <v>0</v>
      </c>
      <c r="ML10" s="66">
        <f>'P7'!AO$31</f>
        <v>0</v>
      </c>
      <c r="MM10" s="66">
        <f>'P7'!AP$31</f>
        <v>0</v>
      </c>
      <c r="MN10" s="66">
        <f>'P7'!AQ$31</f>
        <v>0</v>
      </c>
      <c r="MO10" s="66">
        <f>'P7'!AR$31</f>
        <v>0</v>
      </c>
      <c r="MP10" s="66">
        <f>'P7'!AS$31</f>
        <v>0</v>
      </c>
      <c r="MQ10" s="66">
        <f>'P7'!AT$31</f>
        <v>0</v>
      </c>
      <c r="MR10" s="66">
        <f>'P7'!AU$31</f>
        <v>0</v>
      </c>
      <c r="MS10" s="66">
        <f>'P7'!AV$31</f>
        <v>0</v>
      </c>
      <c r="MT10" s="66">
        <f>'P7'!AW$31</f>
        <v>0</v>
      </c>
      <c r="MU10" s="66">
        <f>'P7'!AX$31</f>
        <v>0</v>
      </c>
      <c r="MV10" s="66">
        <f>'P7'!AY$31</f>
        <v>0</v>
      </c>
      <c r="MW10" s="66">
        <f>'P7'!AZ$31</f>
        <v>0</v>
      </c>
      <c r="MX10" s="66">
        <f>'P7'!BA$31</f>
        <v>0</v>
      </c>
      <c r="MY10" s="66">
        <f>'P7'!BB$31</f>
        <v>0</v>
      </c>
      <c r="MZ10" s="66">
        <f>'P7'!BC$31</f>
        <v>0</v>
      </c>
      <c r="NA10" s="66">
        <f>'P7'!BD$31</f>
        <v>0</v>
      </c>
      <c r="NB10" s="66">
        <f>'P7'!BE$31</f>
        <v>0</v>
      </c>
      <c r="NC10" s="66">
        <f>'P7'!F$33</f>
        <v>0</v>
      </c>
      <c r="ND10" s="66">
        <f>'P7'!G$33</f>
        <v>0</v>
      </c>
      <c r="NE10" s="66">
        <f>'P7'!H$33</f>
        <v>0</v>
      </c>
      <c r="NF10" s="66">
        <f>'P7'!I$33</f>
        <v>0</v>
      </c>
      <c r="NG10" s="66">
        <f>'P7'!J$33</f>
        <v>0</v>
      </c>
      <c r="NH10" s="66">
        <f>'P7'!K$33</f>
        <v>0</v>
      </c>
      <c r="NI10" s="66">
        <f>'P7'!L$33</f>
        <v>0</v>
      </c>
      <c r="NJ10" s="66">
        <f>'P7'!M$33</f>
        <v>0</v>
      </c>
      <c r="NK10" s="66">
        <f>'P7'!N$33</f>
        <v>0</v>
      </c>
      <c r="NL10" s="66">
        <f>'P7'!O$33</f>
        <v>0</v>
      </c>
      <c r="NM10" s="66">
        <f>'P7'!P$33</f>
        <v>0</v>
      </c>
      <c r="NN10" s="66">
        <f>'P7'!Q$33</f>
        <v>0</v>
      </c>
      <c r="NO10" s="66">
        <f>'P7'!R$33</f>
        <v>0</v>
      </c>
      <c r="NP10" s="66">
        <f>'P7'!S$33</f>
        <v>0</v>
      </c>
      <c r="NQ10" s="66">
        <f>'P7'!T$33</f>
        <v>0</v>
      </c>
      <c r="NR10" s="66">
        <f>'P7'!U$33</f>
        <v>0</v>
      </c>
      <c r="NS10" s="66">
        <f>'P7'!V$33</f>
        <v>0</v>
      </c>
      <c r="NT10" s="66">
        <f>'P7'!W$33</f>
        <v>0</v>
      </c>
      <c r="NU10" s="66">
        <f>'P7'!X$33</f>
        <v>0</v>
      </c>
      <c r="NV10" s="66">
        <f>'P7'!Y$33</f>
        <v>0</v>
      </c>
      <c r="NW10" s="66">
        <f>'P7'!Z$33</f>
        <v>0</v>
      </c>
      <c r="NX10" s="66">
        <f>'P7'!AA$33</f>
        <v>0</v>
      </c>
      <c r="NY10" s="66">
        <f>'P7'!AB$33</f>
        <v>0</v>
      </c>
      <c r="NZ10" s="66">
        <f>'P7'!AC$33</f>
        <v>0</v>
      </c>
      <c r="OA10" s="66">
        <f>'P7'!AD$33</f>
        <v>0</v>
      </c>
      <c r="OB10" s="66">
        <f>'P7'!AE$33</f>
        <v>0</v>
      </c>
      <c r="OC10" s="66">
        <f>'P7'!AF$33</f>
        <v>0</v>
      </c>
      <c r="OD10" s="66">
        <f>'P7'!AG$33</f>
        <v>0</v>
      </c>
      <c r="OE10" s="66">
        <f>'P7'!AH$33</f>
        <v>0</v>
      </c>
      <c r="OF10" s="66">
        <f>'P7'!AI$33</f>
        <v>0</v>
      </c>
      <c r="OG10" s="66">
        <f>'P7'!AJ$33</f>
        <v>0</v>
      </c>
      <c r="OH10" s="66">
        <f>'P7'!AK$33</f>
        <v>0</v>
      </c>
      <c r="OI10" s="66">
        <f>'P7'!AL$33</f>
        <v>0</v>
      </c>
      <c r="OJ10" s="66">
        <f>'P7'!AM$33</f>
        <v>0</v>
      </c>
      <c r="OK10" s="66">
        <f>'P7'!AN$33</f>
        <v>0</v>
      </c>
      <c r="OL10" s="66">
        <f>'P7'!AO$33</f>
        <v>0</v>
      </c>
      <c r="OM10" s="66">
        <f>'P7'!AP$33</f>
        <v>0</v>
      </c>
      <c r="ON10" s="66">
        <f>'P7'!AQ$33</f>
        <v>0</v>
      </c>
      <c r="OO10" s="66">
        <f>'P7'!AR$33</f>
        <v>0</v>
      </c>
      <c r="OP10" s="66">
        <f>'P7'!AS$33</f>
        <v>0</v>
      </c>
      <c r="OQ10" s="66">
        <f>'P7'!AT$33</f>
        <v>0</v>
      </c>
      <c r="OR10" s="66">
        <f>'P7'!AU$33</f>
        <v>0</v>
      </c>
      <c r="OS10" s="66">
        <f>'P7'!AV$33</f>
        <v>0</v>
      </c>
      <c r="OT10" s="66">
        <f>'P7'!AW$33</f>
        <v>0</v>
      </c>
      <c r="OU10" s="66">
        <f>'P7'!AX$33</f>
        <v>0</v>
      </c>
      <c r="OV10" s="66">
        <f>'P7'!AY$33</f>
        <v>0</v>
      </c>
      <c r="OW10" s="66">
        <f>'P7'!AZ$33</f>
        <v>0</v>
      </c>
      <c r="OX10" s="66">
        <f>'P7'!BA$33</f>
        <v>0</v>
      </c>
      <c r="OY10" s="66">
        <f>'P7'!BB$33</f>
        <v>0</v>
      </c>
      <c r="OZ10" s="66">
        <f>'P7'!BC$33</f>
        <v>0</v>
      </c>
      <c r="PA10" s="66">
        <f>'P7'!BD$33</f>
        <v>0</v>
      </c>
      <c r="PB10" s="66">
        <f>'P7'!BE$33</f>
        <v>0</v>
      </c>
      <c r="PC10" s="66">
        <f>'P7'!F$34</f>
        <v>0</v>
      </c>
      <c r="PD10" s="66">
        <f>'P7'!G$34</f>
        <v>0</v>
      </c>
      <c r="PE10" s="66">
        <f>'P7'!H$34</f>
        <v>0</v>
      </c>
      <c r="PF10" s="66">
        <f>'P7'!I$34</f>
        <v>0</v>
      </c>
      <c r="PG10" s="66">
        <f>'P7'!J$34</f>
        <v>0</v>
      </c>
      <c r="PH10" s="66">
        <f>'P7'!K$34</f>
        <v>0</v>
      </c>
      <c r="PI10" s="66">
        <f>'P7'!L$34</f>
        <v>0</v>
      </c>
      <c r="PJ10" s="66">
        <f>'P7'!M$34</f>
        <v>0</v>
      </c>
      <c r="PK10" s="66">
        <f>'P7'!N$34</f>
        <v>0</v>
      </c>
      <c r="PL10" s="66">
        <f>'P7'!O$34</f>
        <v>0</v>
      </c>
      <c r="PM10" s="66">
        <f>'P7'!P$34</f>
        <v>0</v>
      </c>
      <c r="PN10" s="66">
        <f>'P7'!Q$34</f>
        <v>0</v>
      </c>
      <c r="PO10" s="66">
        <f>'P7'!R$34</f>
        <v>0</v>
      </c>
      <c r="PP10" s="66">
        <f>'P7'!S$34</f>
        <v>0</v>
      </c>
      <c r="PQ10" s="66">
        <f>'P7'!T$34</f>
        <v>0</v>
      </c>
      <c r="PR10" s="66">
        <f>'P7'!U$34</f>
        <v>0</v>
      </c>
      <c r="PS10" s="66">
        <f>'P7'!V$34</f>
        <v>0</v>
      </c>
      <c r="PT10" s="66">
        <f>'P7'!W$34</f>
        <v>0</v>
      </c>
      <c r="PU10" s="66">
        <f>'P7'!X$34</f>
        <v>0</v>
      </c>
      <c r="PV10" s="66">
        <f>'P7'!Y$34</f>
        <v>0</v>
      </c>
      <c r="PW10" s="66">
        <f>'P7'!Z$34</f>
        <v>0</v>
      </c>
      <c r="PX10" s="66">
        <f>'P7'!AA$34</f>
        <v>0</v>
      </c>
      <c r="PY10" s="66">
        <f>'P7'!AB$34</f>
        <v>0</v>
      </c>
      <c r="PZ10" s="66">
        <f>'P7'!AC$34</f>
        <v>0</v>
      </c>
      <c r="QA10" s="66">
        <f>'P7'!AD$34</f>
        <v>0</v>
      </c>
      <c r="QB10" s="66">
        <f>'P7'!AE$34</f>
        <v>0</v>
      </c>
      <c r="QC10" s="66">
        <f>'P7'!AF$34</f>
        <v>0</v>
      </c>
      <c r="QD10" s="66">
        <f>'P7'!AG$34</f>
        <v>0</v>
      </c>
      <c r="QE10" s="66">
        <f>'P7'!AH$34</f>
        <v>0</v>
      </c>
      <c r="QF10" s="66">
        <f>'P7'!AI$34</f>
        <v>0</v>
      </c>
      <c r="QG10" s="66">
        <f>'P7'!AJ$34</f>
        <v>0</v>
      </c>
      <c r="QH10" s="66">
        <f>'P7'!AK$34</f>
        <v>0</v>
      </c>
      <c r="QI10" s="66">
        <f>'P7'!AL$34</f>
        <v>0</v>
      </c>
      <c r="QJ10" s="66">
        <f>'P7'!AM$34</f>
        <v>0</v>
      </c>
      <c r="QK10" s="66">
        <f>'P7'!AN$34</f>
        <v>0</v>
      </c>
      <c r="QL10" s="66">
        <f>'P7'!AO$34</f>
        <v>0</v>
      </c>
      <c r="QM10" s="66">
        <f>'P7'!AP$34</f>
        <v>0</v>
      </c>
      <c r="QN10" s="66">
        <f>'P7'!AQ$34</f>
        <v>0</v>
      </c>
      <c r="QO10" s="66">
        <f>'P7'!AR$34</f>
        <v>0</v>
      </c>
      <c r="QP10" s="66">
        <f>'P7'!AS$34</f>
        <v>0</v>
      </c>
      <c r="QQ10" s="66">
        <f>'P7'!AT$34</f>
        <v>0</v>
      </c>
      <c r="QR10" s="66">
        <f>'P7'!AU$34</f>
        <v>0</v>
      </c>
      <c r="QS10" s="66">
        <f>'P7'!AV$34</f>
        <v>0</v>
      </c>
      <c r="QT10" s="66">
        <f>'P7'!AW$34</f>
        <v>0</v>
      </c>
      <c r="QU10" s="66">
        <f>'P7'!AX$34</f>
        <v>0</v>
      </c>
      <c r="QV10" s="66">
        <f>'P7'!AY$34</f>
        <v>0</v>
      </c>
      <c r="QW10" s="66">
        <f>'P7'!AZ$34</f>
        <v>0</v>
      </c>
      <c r="QX10" s="66">
        <f>'P7'!BA$34</f>
        <v>0</v>
      </c>
      <c r="QY10" s="66">
        <f>'P7'!BB$34</f>
        <v>0</v>
      </c>
      <c r="QZ10" s="66">
        <f>'P7'!BC$34</f>
        <v>0</v>
      </c>
      <c r="RA10" s="66">
        <f>'P7'!BD$34</f>
        <v>0</v>
      </c>
      <c r="RB10" s="66">
        <f>'P7'!BE$34</f>
        <v>0</v>
      </c>
      <c r="RC10" s="66">
        <f>'P7'!F$35</f>
        <v>0</v>
      </c>
      <c r="RD10" s="66">
        <f>'P7'!G$35</f>
        <v>0</v>
      </c>
      <c r="RE10" s="66">
        <f>'P7'!H$35</f>
        <v>0</v>
      </c>
      <c r="RF10" s="66">
        <f>'P7'!I$35</f>
        <v>0</v>
      </c>
      <c r="RG10" s="66">
        <f>'P7'!J$35</f>
        <v>0</v>
      </c>
      <c r="RH10" s="66">
        <f>'P7'!K$35</f>
        <v>0</v>
      </c>
      <c r="RI10" s="66">
        <f>'P7'!L$35</f>
        <v>0</v>
      </c>
      <c r="RJ10" s="66">
        <f>'P7'!M$35</f>
        <v>0</v>
      </c>
      <c r="RK10" s="66">
        <f>'P7'!N$35</f>
        <v>0</v>
      </c>
      <c r="RL10" s="66">
        <f>'P7'!O$35</f>
        <v>0</v>
      </c>
      <c r="RM10" s="66">
        <f>'P7'!P$35</f>
        <v>0</v>
      </c>
      <c r="RN10" s="66">
        <f>'P7'!Q$35</f>
        <v>0</v>
      </c>
      <c r="RO10" s="66">
        <f>'P7'!R$35</f>
        <v>0</v>
      </c>
      <c r="RP10" s="66">
        <f>'P7'!S$35</f>
        <v>0</v>
      </c>
      <c r="RQ10" s="66">
        <f>'P7'!T$35</f>
        <v>0</v>
      </c>
      <c r="RR10" s="66">
        <f>'P7'!U$35</f>
        <v>0</v>
      </c>
      <c r="RS10" s="66">
        <f>'P7'!V$35</f>
        <v>0</v>
      </c>
      <c r="RT10" s="66">
        <f>'P7'!W$35</f>
        <v>0</v>
      </c>
      <c r="RU10" s="66">
        <f>'P7'!X$35</f>
        <v>0</v>
      </c>
      <c r="RV10" s="66">
        <f>'P7'!Y$35</f>
        <v>0</v>
      </c>
      <c r="RW10" s="66">
        <f>'P7'!Z$35</f>
        <v>0</v>
      </c>
      <c r="RX10" s="66">
        <f>'P7'!AA$35</f>
        <v>0</v>
      </c>
      <c r="RY10" s="66">
        <f>'P7'!AB$35</f>
        <v>0</v>
      </c>
      <c r="RZ10" s="66">
        <f>'P7'!AC$35</f>
        <v>0</v>
      </c>
      <c r="SA10" s="66">
        <f>'P7'!AD$35</f>
        <v>0</v>
      </c>
      <c r="SB10" s="66">
        <f>'P7'!AE$35</f>
        <v>0</v>
      </c>
      <c r="SC10" s="66">
        <f>'P7'!AF$35</f>
        <v>0</v>
      </c>
      <c r="SD10" s="66">
        <f>'P7'!AG$35</f>
        <v>0</v>
      </c>
      <c r="SE10" s="66">
        <f>'P7'!AH$35</f>
        <v>0</v>
      </c>
      <c r="SF10" s="66">
        <f>'P7'!AI$35</f>
        <v>0</v>
      </c>
      <c r="SG10" s="66">
        <f>'P7'!AJ$35</f>
        <v>0</v>
      </c>
      <c r="SH10" s="66">
        <f>'P7'!AK$35</f>
        <v>0</v>
      </c>
      <c r="SI10" s="66">
        <f>'P7'!AL$35</f>
        <v>0</v>
      </c>
      <c r="SJ10" s="66">
        <f>'P7'!AM$35</f>
        <v>0</v>
      </c>
      <c r="SK10" s="66">
        <f>'P7'!AN$35</f>
        <v>0</v>
      </c>
      <c r="SL10" s="66">
        <f>'P7'!AO$35</f>
        <v>0</v>
      </c>
      <c r="SM10" s="66">
        <f>'P7'!AP$35</f>
        <v>0</v>
      </c>
      <c r="SN10" s="66">
        <f>'P7'!AQ$35</f>
        <v>0</v>
      </c>
      <c r="SO10" s="66">
        <f>'P7'!AR$35</f>
        <v>0</v>
      </c>
      <c r="SP10" s="66">
        <f>'P7'!AS$35</f>
        <v>0</v>
      </c>
      <c r="SQ10" s="66">
        <f>'P7'!AT$35</f>
        <v>0</v>
      </c>
      <c r="SR10" s="66">
        <f>'P7'!AU$35</f>
        <v>0</v>
      </c>
      <c r="SS10" s="66">
        <f>'P7'!AV$35</f>
        <v>0</v>
      </c>
      <c r="ST10" s="66">
        <f>'P7'!AW$35</f>
        <v>0</v>
      </c>
      <c r="SU10" s="66">
        <f>'P7'!AX$35</f>
        <v>0</v>
      </c>
      <c r="SV10" s="66">
        <f>'P7'!AY$35</f>
        <v>0</v>
      </c>
      <c r="SW10" s="66">
        <f>'P7'!AZ$35</f>
        <v>0</v>
      </c>
      <c r="SX10" s="66">
        <f>'P7'!BA$35</f>
        <v>0</v>
      </c>
      <c r="SY10" s="66">
        <f>'P7'!BB$35</f>
        <v>0</v>
      </c>
      <c r="SZ10" s="66">
        <f>'P7'!BC$35</f>
        <v>0</v>
      </c>
      <c r="TA10" s="66">
        <f>'P7'!BD$35</f>
        <v>0</v>
      </c>
      <c r="TB10" s="66">
        <f>'P7'!BE$35</f>
        <v>0</v>
      </c>
    </row>
    <row r="11" spans="2:522">
      <c r="B11" s="66">
        <v>8</v>
      </c>
      <c r="C11" s="66">
        <f>'P8'!$F$3</f>
        <v>0</v>
      </c>
      <c r="D11" s="66">
        <f>'P8'!$F$5</f>
        <v>0</v>
      </c>
      <c r="E11" s="66">
        <f>'P8'!$F$7</f>
        <v>0</v>
      </c>
      <c r="F11" s="66" t="str">
        <f>'P8'!$F$8</f>
        <v/>
      </c>
      <c r="G11" s="66">
        <f>'P8'!$B$13</f>
        <v>0</v>
      </c>
      <c r="H11" s="66">
        <f>'P8'!$C$17</f>
        <v>0</v>
      </c>
      <c r="I11" s="66">
        <f>'P8'!$C$18</f>
        <v>0</v>
      </c>
      <c r="J11" s="66">
        <f>'P8'!$C$19</f>
        <v>0</v>
      </c>
      <c r="K11" s="66">
        <f>'P8'!$C$20</f>
        <v>0</v>
      </c>
      <c r="L11" s="66">
        <f>'P8'!$C$21</f>
        <v>0</v>
      </c>
      <c r="M11" s="66" t="str">
        <f>'P8'!$F$12</f>
        <v/>
      </c>
      <c r="N11" s="66" t="str">
        <f>'P8'!$G$13</f>
        <v>Select the primary KPI (Jonas Library)</v>
      </c>
      <c r="O11" s="66">
        <f>'P8'!$F$15</f>
        <v>0</v>
      </c>
      <c r="P11" s="66">
        <f>'P8'!$F$19</f>
        <v>0</v>
      </c>
      <c r="Q11" s="66" t="str">
        <f>'P8'!$O$12</f>
        <v/>
      </c>
      <c r="R11" s="66" t="str">
        <f>'P8'!$P$13</f>
        <v>Select the primary KPI (Jonas Library)</v>
      </c>
      <c r="S11" s="66">
        <f>'P8'!$O$15</f>
        <v>0</v>
      </c>
      <c r="T11" s="66">
        <f>'P8'!$O$19</f>
        <v>0</v>
      </c>
      <c r="U11" s="66" t="str">
        <f>'P8'!$X$12</f>
        <v/>
      </c>
      <c r="V11" s="66" t="str">
        <f>'P8'!$Y$13</f>
        <v>Select the primary KPI (Jonas Library)</v>
      </c>
      <c r="W11" s="66">
        <f>'P8'!$X$15</f>
        <v>0</v>
      </c>
      <c r="X11" s="66">
        <f>'P8'!$X$19</f>
        <v>0</v>
      </c>
      <c r="Y11" s="66">
        <f>'P8'!$AV$3</f>
        <v>0</v>
      </c>
      <c r="Z11" s="66" t="str">
        <f ca="1">'P8'!$AO$4</f>
        <v>Not Def</v>
      </c>
      <c r="AA11" s="66">
        <f ca="1">'P8'!$AV$4</f>
        <v>0</v>
      </c>
      <c r="AB11" s="66" t="str">
        <f ca="1">'P8'!$AO$5</f>
        <v>Not Def</v>
      </c>
      <c r="AC11" s="66">
        <f ca="1">'P8'!$AV$5</f>
        <v>0</v>
      </c>
      <c r="AD11" s="66">
        <f ca="1">'P8'!$AV$6</f>
        <v>0</v>
      </c>
      <c r="AE11" s="67" t="str">
        <f>IF('P8'!$AV$10="","",'P8'!$AV$10)</f>
        <v/>
      </c>
      <c r="AF11" s="67" t="str">
        <f>IF('P8'!$AV$11="","",'P8'!$AV$11)</f>
        <v/>
      </c>
      <c r="AG11" s="67" t="str">
        <f>IF('P8'!$AV$12="","",'P8'!$AV$12)</f>
        <v/>
      </c>
      <c r="AH11" s="67" t="str">
        <f>IF('P8'!$AV$13="","",'P8'!$AV$13)</f>
        <v/>
      </c>
      <c r="AI11" s="67" t="str">
        <f>IF('P8'!$AV$14="","",'P8'!$AV$14)</f>
        <v/>
      </c>
      <c r="AJ11" s="67" t="str">
        <f>IF('P8'!$AV$15="","",'P8'!$AV$15)</f>
        <v/>
      </c>
      <c r="AK11" s="67" t="str">
        <f>IF('P8'!$AV$16="","",'P8'!$AV$16)</f>
        <v/>
      </c>
      <c r="AL11" s="67" t="str">
        <f>IF('P8'!$AV$17="","",'P8'!$AV$17)</f>
        <v/>
      </c>
      <c r="AM11" s="67" t="str">
        <f>IF('P8'!$AV$18="","",'P8'!AV$18)</f>
        <v/>
      </c>
      <c r="AN11" s="67" t="str">
        <f>IF('P8'!$AV$19="","",'P8'!$AV$19)</f>
        <v/>
      </c>
      <c r="AO11" s="67" t="str">
        <f>IF('P8'!$AV$20="","",'P8'!$AV$20)</f>
        <v/>
      </c>
      <c r="AP11" s="67" t="str">
        <f>IF('P8'!$AV$21="","",'P8'!$AV$21)</f>
        <v/>
      </c>
      <c r="AQ11" s="67" t="str">
        <f>IF('P8'!$AY$10="","",'P8'!$AY$10)</f>
        <v/>
      </c>
      <c r="AR11" s="67" t="str">
        <f>IF('P8'!$AY$11="","",'P8'!$AY$11)</f>
        <v/>
      </c>
      <c r="AS11" s="67" t="str">
        <f>IF('P8'!$AY$12="","",'P8'!$AY$12)</f>
        <v/>
      </c>
      <c r="AT11" s="67" t="str">
        <f>IF('P8'!$AY$13="","",'P8'!$AY$13)</f>
        <v/>
      </c>
      <c r="AU11" s="67" t="str">
        <f>IF('P8'!$AY$14="","",'P8'!$AY$14)</f>
        <v/>
      </c>
      <c r="AV11" s="67" t="str">
        <f>IF('P8'!$AY$15="","",'P8'!$AY$15)</f>
        <v/>
      </c>
      <c r="AW11" s="67" t="str">
        <f>IF('P8'!$AY$16="","",'P8'!$AY$16)</f>
        <v/>
      </c>
      <c r="AX11" s="67" t="str">
        <f>IF('P8'!$AY$17="","",'P8'!$AY$17)</f>
        <v/>
      </c>
      <c r="AY11" s="67" t="str">
        <f>IF('P8'!$AY$18="","",'P8'!$AY$18)</f>
        <v/>
      </c>
      <c r="AZ11" s="67" t="str">
        <f>IF('P8'!$AY$19="","",'P8'!$AY$19)</f>
        <v/>
      </c>
      <c r="BA11" s="67" t="str">
        <f>IF('P8'!$AY$20="","",'P8'!$AY$20)</f>
        <v/>
      </c>
      <c r="BB11" s="67" t="str">
        <f>IF('P8'!$AY$21="","",'P8'!$AY$21)</f>
        <v/>
      </c>
      <c r="BC11" s="66">
        <f>'P8'!F$25</f>
        <v>0</v>
      </c>
      <c r="BD11" s="66">
        <f>'P8'!G$25</f>
        <v>0</v>
      </c>
      <c r="BE11" s="66">
        <f>'P8'!H$25</f>
        <v>0</v>
      </c>
      <c r="BF11" s="66">
        <f>'P8'!I$25</f>
        <v>0</v>
      </c>
      <c r="BG11" s="66">
        <f>'P8'!J$25</f>
        <v>0</v>
      </c>
      <c r="BH11" s="66">
        <f>'P8'!K$25</f>
        <v>0</v>
      </c>
      <c r="BI11" s="66">
        <f>'P8'!L$25</f>
        <v>0</v>
      </c>
      <c r="BJ11" s="66">
        <f>'P8'!M$25</f>
        <v>0</v>
      </c>
      <c r="BK11" s="66">
        <f>'P8'!N$25</f>
        <v>0</v>
      </c>
      <c r="BL11" s="66">
        <f>'P8'!O$25</f>
        <v>0</v>
      </c>
      <c r="BM11" s="66">
        <f>'P8'!P$25</f>
        <v>0</v>
      </c>
      <c r="BN11" s="66">
        <f>'P8'!Q$25</f>
        <v>0</v>
      </c>
      <c r="BO11" s="66">
        <f>'P8'!R$25</f>
        <v>0</v>
      </c>
      <c r="BP11" s="66">
        <f>'P8'!S$25</f>
        <v>0</v>
      </c>
      <c r="BQ11" s="66">
        <f>'P8'!T$25</f>
        <v>0</v>
      </c>
      <c r="BR11" s="66">
        <f>'P8'!U$25</f>
        <v>0</v>
      </c>
      <c r="BS11" s="66">
        <f>'P8'!V$25</f>
        <v>0</v>
      </c>
      <c r="BT11" s="66">
        <f>'P8'!W$25</f>
        <v>0</v>
      </c>
      <c r="BU11" s="66">
        <f>'P8'!X$25</f>
        <v>0</v>
      </c>
      <c r="BV11" s="66">
        <f>'P8'!Y$25</f>
        <v>0</v>
      </c>
      <c r="BW11" s="66">
        <f>'P8'!Z$25</f>
        <v>0</v>
      </c>
      <c r="BX11" s="66">
        <f>'P8'!AA$25</f>
        <v>0</v>
      </c>
      <c r="BY11" s="66">
        <f>'P8'!AB$25</f>
        <v>0</v>
      </c>
      <c r="BZ11" s="66">
        <f>'P8'!AC$25</f>
        <v>0</v>
      </c>
      <c r="CA11" s="66">
        <f>'P8'!AD$25</f>
        <v>0</v>
      </c>
      <c r="CB11" s="66">
        <f>'P8'!AE$25</f>
        <v>0</v>
      </c>
      <c r="CC11" s="66">
        <f>'P8'!AF$25</f>
        <v>0</v>
      </c>
      <c r="CD11" s="66">
        <f>'P8'!AG$25</f>
        <v>0</v>
      </c>
      <c r="CE11" s="66">
        <f>'P8'!AH$25</f>
        <v>0</v>
      </c>
      <c r="CF11" s="66">
        <f>'P8'!AI$25</f>
        <v>0</v>
      </c>
      <c r="CG11" s="66">
        <f>'P8'!AJ$25</f>
        <v>0</v>
      </c>
      <c r="CH11" s="66">
        <f>'P8'!AK$25</f>
        <v>0</v>
      </c>
      <c r="CI11" s="66">
        <f>'P8'!AL$25</f>
        <v>0</v>
      </c>
      <c r="CJ11" s="66">
        <f>'P8'!AM$25</f>
        <v>0</v>
      </c>
      <c r="CK11" s="66">
        <f>'P8'!AN$25</f>
        <v>0</v>
      </c>
      <c r="CL11" s="66">
        <f>'P8'!AO$25</f>
        <v>0</v>
      </c>
      <c r="CM11" s="66">
        <f>'P8'!AP$25</f>
        <v>0</v>
      </c>
      <c r="CN11" s="66">
        <f>'P8'!AQ$25</f>
        <v>0</v>
      </c>
      <c r="CO11" s="66">
        <f>'P8'!AR$25</f>
        <v>0</v>
      </c>
      <c r="CP11" s="66">
        <f>'P8'!AS$25</f>
        <v>0</v>
      </c>
      <c r="CQ11" s="66">
        <f>'P8'!AT$25</f>
        <v>0</v>
      </c>
      <c r="CR11" s="66">
        <f>'P8'!AU$25</f>
        <v>0</v>
      </c>
      <c r="CS11" s="66">
        <f>'P8'!AV$25</f>
        <v>0</v>
      </c>
      <c r="CT11" s="66">
        <f>'P8'!AW$25</f>
        <v>0</v>
      </c>
      <c r="CU11" s="66">
        <f>'P8'!AX$25</f>
        <v>0</v>
      </c>
      <c r="CV11" s="66">
        <f>'P8'!AY$25</f>
        <v>0</v>
      </c>
      <c r="CW11" s="66">
        <f>'P8'!AZ$25</f>
        <v>0</v>
      </c>
      <c r="CX11" s="66">
        <f>'P8'!BA$25</f>
        <v>0</v>
      </c>
      <c r="CY11" s="66">
        <f>'P8'!BB$25</f>
        <v>0</v>
      </c>
      <c r="CZ11" s="66">
        <f>'P8'!BC$25</f>
        <v>0</v>
      </c>
      <c r="DA11" s="66">
        <f>'P8'!BD$25</f>
        <v>0</v>
      </c>
      <c r="DB11" s="66">
        <f>'P8'!BE$25</f>
        <v>0</v>
      </c>
      <c r="DC11" s="66">
        <f>'P8'!F$26</f>
        <v>0</v>
      </c>
      <c r="DD11" s="66">
        <f>'P8'!G$26</f>
        <v>0</v>
      </c>
      <c r="DE11" s="66">
        <f>'P8'!H$26</f>
        <v>0</v>
      </c>
      <c r="DF11" s="66">
        <f>'P8'!I$26</f>
        <v>0</v>
      </c>
      <c r="DG11" s="66">
        <f>'P8'!J$26</f>
        <v>0</v>
      </c>
      <c r="DH11" s="66">
        <f>'P8'!K$26</f>
        <v>0</v>
      </c>
      <c r="DI11" s="66">
        <f>'P8'!L$26</f>
        <v>0</v>
      </c>
      <c r="DJ11" s="66">
        <f>'P8'!M$26</f>
        <v>0</v>
      </c>
      <c r="DK11" s="66">
        <f>'P8'!N$26</f>
        <v>0</v>
      </c>
      <c r="DL11" s="66">
        <f>'P8'!O$26</f>
        <v>0</v>
      </c>
      <c r="DM11" s="66">
        <f>'P8'!P$26</f>
        <v>0</v>
      </c>
      <c r="DN11" s="66">
        <f>'P8'!Q$26</f>
        <v>0</v>
      </c>
      <c r="DO11" s="66">
        <f>'P8'!R$26</f>
        <v>0</v>
      </c>
      <c r="DP11" s="66">
        <f>'P8'!S$26</f>
        <v>0</v>
      </c>
      <c r="DQ11" s="66">
        <f>'P8'!T$26</f>
        <v>0</v>
      </c>
      <c r="DR11" s="66">
        <f>'P8'!U$26</f>
        <v>0</v>
      </c>
      <c r="DS11" s="66">
        <f>'P8'!V$26</f>
        <v>0</v>
      </c>
      <c r="DT11" s="66">
        <f>'P8'!W$26</f>
        <v>0</v>
      </c>
      <c r="DU11" s="66">
        <f>'P8'!X$26</f>
        <v>0</v>
      </c>
      <c r="DV11" s="66">
        <f>'P8'!Y$26</f>
        <v>0</v>
      </c>
      <c r="DW11" s="66">
        <f>'P8'!Z$26</f>
        <v>0</v>
      </c>
      <c r="DX11" s="66">
        <f>'P8'!AA$26</f>
        <v>0</v>
      </c>
      <c r="DY11" s="66">
        <f>'P8'!AB$26</f>
        <v>0</v>
      </c>
      <c r="DZ11" s="66">
        <f>'P8'!AC$26</f>
        <v>0</v>
      </c>
      <c r="EA11" s="66">
        <f>'P8'!AD$26</f>
        <v>0</v>
      </c>
      <c r="EB11" s="66">
        <f>'P8'!AE$26</f>
        <v>0</v>
      </c>
      <c r="EC11" s="66">
        <f>'P8'!AF$26</f>
        <v>0</v>
      </c>
      <c r="ED11" s="66">
        <f>'P8'!AG$26</f>
        <v>0</v>
      </c>
      <c r="EE11" s="66">
        <f>'P8'!AH$26</f>
        <v>0</v>
      </c>
      <c r="EF11" s="66">
        <f>'P8'!AI$26</f>
        <v>0</v>
      </c>
      <c r="EG11" s="66">
        <f>'P8'!AJ$26</f>
        <v>0</v>
      </c>
      <c r="EH11" s="66">
        <f>'P8'!AK$26</f>
        <v>0</v>
      </c>
      <c r="EI11" s="66">
        <f>'P8'!AL$26</f>
        <v>0</v>
      </c>
      <c r="EJ11" s="66">
        <f>'P8'!AM$26</f>
        <v>0</v>
      </c>
      <c r="EK11" s="66">
        <f>'P8'!AN$26</f>
        <v>0</v>
      </c>
      <c r="EL11" s="66">
        <f>'P8'!AO$26</f>
        <v>0</v>
      </c>
      <c r="EM11" s="66">
        <f>'P8'!AP$26</f>
        <v>0</v>
      </c>
      <c r="EN11" s="66">
        <f>'P8'!AQ$26</f>
        <v>0</v>
      </c>
      <c r="EO11" s="66">
        <f>'P8'!AR$26</f>
        <v>0</v>
      </c>
      <c r="EP11" s="66">
        <f>'P8'!AS$26</f>
        <v>0</v>
      </c>
      <c r="EQ11" s="66">
        <f>'P8'!AT$26</f>
        <v>0</v>
      </c>
      <c r="ER11" s="66">
        <f>'P8'!AU$26</f>
        <v>0</v>
      </c>
      <c r="ES11" s="66">
        <f>'P8'!AV$26</f>
        <v>0</v>
      </c>
      <c r="ET11" s="66">
        <f>'P8'!AW$26</f>
        <v>0</v>
      </c>
      <c r="EU11" s="66">
        <f>'P8'!AX$26</f>
        <v>0</v>
      </c>
      <c r="EV11" s="66">
        <f>'P8'!AY$26</f>
        <v>0</v>
      </c>
      <c r="EW11" s="66">
        <f>'P8'!AZ$26</f>
        <v>0</v>
      </c>
      <c r="EX11" s="66">
        <f>'P8'!BA$26</f>
        <v>0</v>
      </c>
      <c r="EY11" s="66">
        <f>'P8'!BB$26</f>
        <v>0</v>
      </c>
      <c r="EZ11" s="66">
        <f>'P8'!BC$26</f>
        <v>0</v>
      </c>
      <c r="FA11" s="66">
        <f>'P8'!BD$26</f>
        <v>0</v>
      </c>
      <c r="FB11" s="66">
        <f>'P8'!BE$26</f>
        <v>0</v>
      </c>
      <c r="FC11" s="66">
        <f>'P8'!F$27</f>
        <v>0</v>
      </c>
      <c r="FD11" s="66">
        <f>'P8'!G$27</f>
        <v>0</v>
      </c>
      <c r="FE11" s="66">
        <f>'P8'!H$27</f>
        <v>0</v>
      </c>
      <c r="FF11" s="66">
        <f>'P8'!I$27</f>
        <v>0</v>
      </c>
      <c r="FG11" s="66">
        <f>'P8'!J$27</f>
        <v>0</v>
      </c>
      <c r="FH11" s="66">
        <f>'P8'!K$27</f>
        <v>0</v>
      </c>
      <c r="FI11" s="66">
        <f>'P8'!L$27</f>
        <v>0</v>
      </c>
      <c r="FJ11" s="66">
        <f>'P8'!M$27</f>
        <v>0</v>
      </c>
      <c r="FK11" s="66">
        <f>'P8'!N$27</f>
        <v>0</v>
      </c>
      <c r="FL11" s="66">
        <f>'P8'!O$27</f>
        <v>0</v>
      </c>
      <c r="FM11" s="66">
        <f>'P8'!P$27</f>
        <v>0</v>
      </c>
      <c r="FN11" s="66">
        <f>'P8'!Q$27</f>
        <v>0</v>
      </c>
      <c r="FO11" s="66">
        <f>'P8'!R$27</f>
        <v>0</v>
      </c>
      <c r="FP11" s="66">
        <f>'P8'!S$27</f>
        <v>0</v>
      </c>
      <c r="FQ11" s="66">
        <f>'P8'!T$27</f>
        <v>0</v>
      </c>
      <c r="FR11" s="66">
        <f>'P8'!U$27</f>
        <v>0</v>
      </c>
      <c r="FS11" s="66">
        <f>'P8'!V$27</f>
        <v>0</v>
      </c>
      <c r="FT11" s="66">
        <f>'P8'!W$27</f>
        <v>0</v>
      </c>
      <c r="FU11" s="66">
        <f>'P8'!X$27</f>
        <v>0</v>
      </c>
      <c r="FV11" s="66">
        <f>'P8'!Y$27</f>
        <v>0</v>
      </c>
      <c r="FW11" s="66">
        <f>'P8'!Z$27</f>
        <v>0</v>
      </c>
      <c r="FX11" s="66">
        <f>'P8'!AA$27</f>
        <v>0</v>
      </c>
      <c r="FY11" s="66">
        <f>'P8'!AB$27</f>
        <v>0</v>
      </c>
      <c r="FZ11" s="66">
        <f>'P8'!AC$27</f>
        <v>0</v>
      </c>
      <c r="GA11" s="66">
        <f>'P8'!AD$27</f>
        <v>0</v>
      </c>
      <c r="GB11" s="66">
        <f>'P8'!AE$27</f>
        <v>0</v>
      </c>
      <c r="GC11" s="66">
        <f>'P8'!AF$27</f>
        <v>0</v>
      </c>
      <c r="GD11" s="66">
        <f>'P8'!AG$27</f>
        <v>0</v>
      </c>
      <c r="GE11" s="66">
        <f>'P8'!AH$27</f>
        <v>0</v>
      </c>
      <c r="GF11" s="66">
        <f>'P8'!AI$27</f>
        <v>0</v>
      </c>
      <c r="GG11" s="66">
        <f>'P8'!AJ$27</f>
        <v>0</v>
      </c>
      <c r="GH11" s="66">
        <f>'P8'!AK$27</f>
        <v>0</v>
      </c>
      <c r="GI11" s="66">
        <f>'P8'!AL$27</f>
        <v>0</v>
      </c>
      <c r="GJ11" s="66">
        <f>'P8'!AM$27</f>
        <v>0</v>
      </c>
      <c r="GK11" s="66">
        <f>'P8'!AN$27</f>
        <v>0</v>
      </c>
      <c r="GL11" s="66">
        <f>'P8'!AO$27</f>
        <v>0</v>
      </c>
      <c r="GM11" s="66">
        <f>'P8'!AP$27</f>
        <v>0</v>
      </c>
      <c r="GN11" s="66">
        <f>'P8'!AQ$27</f>
        <v>0</v>
      </c>
      <c r="GO11" s="66">
        <f>'P8'!AR$27</f>
        <v>0</v>
      </c>
      <c r="GP11" s="66">
        <f>'P8'!AS$27</f>
        <v>0</v>
      </c>
      <c r="GQ11" s="66">
        <f>'P8'!AT$27</f>
        <v>0</v>
      </c>
      <c r="GR11" s="66">
        <f>'P8'!AU$27</f>
        <v>0</v>
      </c>
      <c r="GS11" s="66">
        <f>'P8'!AV$27</f>
        <v>0</v>
      </c>
      <c r="GT11" s="66">
        <f>'P8'!AW$27</f>
        <v>0</v>
      </c>
      <c r="GU11" s="66">
        <f>'P8'!AX$27</f>
        <v>0</v>
      </c>
      <c r="GV11" s="66">
        <f>'P8'!AY$27</f>
        <v>0</v>
      </c>
      <c r="GW11" s="66">
        <f>'P8'!AZ$27</f>
        <v>0</v>
      </c>
      <c r="GX11" s="66">
        <f>'P8'!BA$27</f>
        <v>0</v>
      </c>
      <c r="GY11" s="66">
        <f>'P8'!BB$27</f>
        <v>0</v>
      </c>
      <c r="GZ11" s="66">
        <f>'P8'!BC$27</f>
        <v>0</v>
      </c>
      <c r="HA11" s="66">
        <f>'P8'!BD$27</f>
        <v>0</v>
      </c>
      <c r="HB11" s="66">
        <f>'P8'!BE$27</f>
        <v>0</v>
      </c>
      <c r="HC11" s="66">
        <f>'P8'!F$29</f>
        <v>0</v>
      </c>
      <c r="HD11" s="66">
        <f>'P8'!G$29</f>
        <v>0</v>
      </c>
      <c r="HE11" s="66">
        <f>'P8'!H$29</f>
        <v>0</v>
      </c>
      <c r="HF11" s="66">
        <f>'P8'!I$29</f>
        <v>0</v>
      </c>
      <c r="HG11" s="66">
        <f>'P8'!J$29</f>
        <v>0</v>
      </c>
      <c r="HH11" s="66">
        <f>'P8'!K$29</f>
        <v>0</v>
      </c>
      <c r="HI11" s="66">
        <f>'P8'!L$29</f>
        <v>0</v>
      </c>
      <c r="HJ11" s="66">
        <f>'P8'!M$29</f>
        <v>0</v>
      </c>
      <c r="HK11" s="66">
        <f>'P8'!N$29</f>
        <v>0</v>
      </c>
      <c r="HL11" s="66">
        <f>'P8'!O$29</f>
        <v>0</v>
      </c>
      <c r="HM11" s="66">
        <f>'P8'!P$29</f>
        <v>0</v>
      </c>
      <c r="HN11" s="66">
        <f>'P8'!Q$29</f>
        <v>0</v>
      </c>
      <c r="HO11" s="66">
        <f>'P8'!R$29</f>
        <v>0</v>
      </c>
      <c r="HP11" s="66">
        <f>'P8'!S$29</f>
        <v>0</v>
      </c>
      <c r="HQ11" s="66">
        <f>'P8'!T$29</f>
        <v>0</v>
      </c>
      <c r="HR11" s="66">
        <f>'P8'!U$29</f>
        <v>0</v>
      </c>
      <c r="HS11" s="66">
        <f>'P8'!V$29</f>
        <v>0</v>
      </c>
      <c r="HT11" s="66">
        <f>'P8'!W$29</f>
        <v>0</v>
      </c>
      <c r="HU11" s="66">
        <f>'P8'!X$29</f>
        <v>0</v>
      </c>
      <c r="HV11" s="66">
        <f>'P8'!Y$29</f>
        <v>0</v>
      </c>
      <c r="HW11" s="66">
        <f>'P8'!Z$29</f>
        <v>0</v>
      </c>
      <c r="HX11" s="66">
        <f>'P8'!AA$29</f>
        <v>0</v>
      </c>
      <c r="HY11" s="66">
        <f>'P8'!AB$29</f>
        <v>0</v>
      </c>
      <c r="HZ11" s="66">
        <f>'P8'!AC$29</f>
        <v>0</v>
      </c>
      <c r="IA11" s="66">
        <f>'P8'!AD$29</f>
        <v>0</v>
      </c>
      <c r="IB11" s="66">
        <f>'P8'!AE$29</f>
        <v>0</v>
      </c>
      <c r="IC11" s="66">
        <f>'P8'!AF$29</f>
        <v>0</v>
      </c>
      <c r="ID11" s="66">
        <f>'P8'!AG$29</f>
        <v>0</v>
      </c>
      <c r="IE11" s="66">
        <f>'P8'!AH$29</f>
        <v>0</v>
      </c>
      <c r="IF11" s="66">
        <f>'P8'!AI$29</f>
        <v>0</v>
      </c>
      <c r="IG11" s="66">
        <f>'P8'!AJ$29</f>
        <v>0</v>
      </c>
      <c r="IH11" s="66">
        <f>'P8'!AK$29</f>
        <v>0</v>
      </c>
      <c r="II11" s="66">
        <f>'P8'!AL$29</f>
        <v>0</v>
      </c>
      <c r="IJ11" s="66">
        <f>'P8'!AM$29</f>
        <v>0</v>
      </c>
      <c r="IK11" s="66">
        <f>'P8'!AN$29</f>
        <v>0</v>
      </c>
      <c r="IL11" s="66">
        <f>'P8'!AO$29</f>
        <v>0</v>
      </c>
      <c r="IM11" s="66">
        <f>'P8'!AP$29</f>
        <v>0</v>
      </c>
      <c r="IN11" s="66">
        <f>'P8'!AQ$29</f>
        <v>0</v>
      </c>
      <c r="IO11" s="66">
        <f>'P8'!AR$29</f>
        <v>0</v>
      </c>
      <c r="IP11" s="66">
        <f>'P8'!AS$29</f>
        <v>0</v>
      </c>
      <c r="IQ11" s="66">
        <f>'P8'!AT$29</f>
        <v>0</v>
      </c>
      <c r="IR11" s="66">
        <f>'P8'!AU$29</f>
        <v>0</v>
      </c>
      <c r="IS11" s="66">
        <f>'P8'!AV$29</f>
        <v>0</v>
      </c>
      <c r="IT11" s="66">
        <f>'P8'!AW$29</f>
        <v>0</v>
      </c>
      <c r="IU11" s="66">
        <f>'P8'!AX$29</f>
        <v>0</v>
      </c>
      <c r="IV11" s="66">
        <f>'P8'!AY$29</f>
        <v>0</v>
      </c>
      <c r="IW11" s="66">
        <f>'P8'!AZ$29</f>
        <v>0</v>
      </c>
      <c r="IX11" s="66">
        <f>'P8'!BA$29</f>
        <v>0</v>
      </c>
      <c r="IY11" s="66">
        <f>'P8'!BB$29</f>
        <v>0</v>
      </c>
      <c r="IZ11" s="66">
        <f>'P8'!BC$29</f>
        <v>0</v>
      </c>
      <c r="JA11" s="66">
        <f>'P8'!BD$29</f>
        <v>0</v>
      </c>
      <c r="JB11" s="66">
        <f>'P8'!BE$29</f>
        <v>0</v>
      </c>
      <c r="JC11" s="66">
        <f>'P8'!F$30</f>
        <v>0</v>
      </c>
      <c r="JD11" s="66">
        <f>'P8'!G$30</f>
        <v>0</v>
      </c>
      <c r="JE11" s="66">
        <f>'P8'!H$30</f>
        <v>0</v>
      </c>
      <c r="JF11" s="66">
        <f>'P8'!I$30</f>
        <v>0</v>
      </c>
      <c r="JG11" s="66">
        <f>'P8'!J$30</f>
        <v>0</v>
      </c>
      <c r="JH11" s="66">
        <f>'P8'!K$30</f>
        <v>0</v>
      </c>
      <c r="JI11" s="66">
        <f>'P8'!L$30</f>
        <v>0</v>
      </c>
      <c r="JJ11" s="66">
        <f>'P8'!M$30</f>
        <v>0</v>
      </c>
      <c r="JK11" s="66">
        <f>'P8'!N$30</f>
        <v>0</v>
      </c>
      <c r="JL11" s="66">
        <f>'P8'!O$30</f>
        <v>0</v>
      </c>
      <c r="JM11" s="66">
        <f>'P8'!P$30</f>
        <v>0</v>
      </c>
      <c r="JN11" s="66">
        <f>'P8'!Q$30</f>
        <v>0</v>
      </c>
      <c r="JO11" s="66">
        <f>'P8'!R$30</f>
        <v>0</v>
      </c>
      <c r="JP11" s="66">
        <f>'P8'!S$30</f>
        <v>0</v>
      </c>
      <c r="JQ11" s="66">
        <f>'P8'!T$30</f>
        <v>0</v>
      </c>
      <c r="JR11" s="66">
        <f>'P8'!U$30</f>
        <v>0</v>
      </c>
      <c r="JS11" s="66">
        <f>'P8'!V$30</f>
        <v>0</v>
      </c>
      <c r="JT11" s="66">
        <f>'P8'!W$30</f>
        <v>0</v>
      </c>
      <c r="JU11" s="66">
        <f>'P8'!X$30</f>
        <v>0</v>
      </c>
      <c r="JV11" s="66">
        <f>'P8'!Y$30</f>
        <v>0</v>
      </c>
      <c r="JW11" s="66">
        <f>'P8'!Z$30</f>
        <v>0</v>
      </c>
      <c r="JX11" s="66">
        <f>'P8'!AA$30</f>
        <v>0</v>
      </c>
      <c r="JY11" s="66">
        <f>'P8'!AB$30</f>
        <v>0</v>
      </c>
      <c r="JZ11" s="66">
        <f>'P8'!AC$30</f>
        <v>0</v>
      </c>
      <c r="KA11" s="66">
        <f>'P8'!AD$30</f>
        <v>0</v>
      </c>
      <c r="KB11" s="66">
        <f>'P8'!AE$30</f>
        <v>0</v>
      </c>
      <c r="KC11" s="66">
        <f>'P8'!AF$30</f>
        <v>0</v>
      </c>
      <c r="KD11" s="66">
        <f>'P8'!AG$30</f>
        <v>0</v>
      </c>
      <c r="KE11" s="66">
        <f>'P8'!AH$30</f>
        <v>0</v>
      </c>
      <c r="KF11" s="66">
        <f>'P8'!AI$30</f>
        <v>0</v>
      </c>
      <c r="KG11" s="66">
        <f>'P8'!AJ$30</f>
        <v>0</v>
      </c>
      <c r="KH11" s="66">
        <f>'P8'!AK$30</f>
        <v>0</v>
      </c>
      <c r="KI11" s="66">
        <f>'P8'!AL$30</f>
        <v>0</v>
      </c>
      <c r="KJ11" s="66">
        <f>'P8'!AM$30</f>
        <v>0</v>
      </c>
      <c r="KK11" s="66">
        <f>'P8'!AN$30</f>
        <v>0</v>
      </c>
      <c r="KL11" s="66">
        <f>'P8'!AO$30</f>
        <v>0</v>
      </c>
      <c r="KM11" s="66">
        <f>'P8'!AP$30</f>
        <v>0</v>
      </c>
      <c r="KN11" s="66">
        <f>'P8'!AQ$30</f>
        <v>0</v>
      </c>
      <c r="KO11" s="66">
        <f>'P8'!AR$30</f>
        <v>0</v>
      </c>
      <c r="KP11" s="66">
        <f>'P8'!AS$30</f>
        <v>0</v>
      </c>
      <c r="KQ11" s="66">
        <f>'P8'!AT$30</f>
        <v>0</v>
      </c>
      <c r="KR11" s="66">
        <f>'P8'!AU$30</f>
        <v>0</v>
      </c>
      <c r="KS11" s="66">
        <f>'P8'!AV$30</f>
        <v>0</v>
      </c>
      <c r="KT11" s="66">
        <f>'P8'!AW$30</f>
        <v>0</v>
      </c>
      <c r="KU11" s="66">
        <f>'P8'!AX$30</f>
        <v>0</v>
      </c>
      <c r="KV11" s="66">
        <f>'P8'!AY$30</f>
        <v>0</v>
      </c>
      <c r="KW11" s="66">
        <f>'P8'!AZ$30</f>
        <v>0</v>
      </c>
      <c r="KX11" s="66">
        <f>'P8'!BA$30</f>
        <v>0</v>
      </c>
      <c r="KY11" s="66">
        <f>'P8'!BB$30</f>
        <v>0</v>
      </c>
      <c r="KZ11" s="66">
        <f>'P8'!BC$30</f>
        <v>0</v>
      </c>
      <c r="LA11" s="66">
        <f>'P8'!BD$30</f>
        <v>0</v>
      </c>
      <c r="LB11" s="66">
        <f>'P8'!BE$30</f>
        <v>0</v>
      </c>
      <c r="LC11" s="66">
        <f>'P8'!F$31</f>
        <v>0</v>
      </c>
      <c r="LD11" s="66">
        <f>'P8'!G$31</f>
        <v>0</v>
      </c>
      <c r="LE11" s="66">
        <f>'P8'!H$31</f>
        <v>0</v>
      </c>
      <c r="LF11" s="66">
        <f>'P8'!I$31</f>
        <v>0</v>
      </c>
      <c r="LG11" s="66">
        <f>'P8'!J$31</f>
        <v>0</v>
      </c>
      <c r="LH11" s="66">
        <f>'P8'!K$31</f>
        <v>0</v>
      </c>
      <c r="LI11" s="66">
        <f>'P8'!L$31</f>
        <v>0</v>
      </c>
      <c r="LJ11" s="66">
        <f>'P8'!M$31</f>
        <v>0</v>
      </c>
      <c r="LK11" s="66">
        <f>'P8'!N$31</f>
        <v>0</v>
      </c>
      <c r="LL11" s="66">
        <f>'P8'!O$31</f>
        <v>0</v>
      </c>
      <c r="LM11" s="66">
        <f>'P8'!P$31</f>
        <v>0</v>
      </c>
      <c r="LN11" s="66">
        <f>'P8'!Q$31</f>
        <v>0</v>
      </c>
      <c r="LO11" s="66">
        <f>'P8'!R$31</f>
        <v>0</v>
      </c>
      <c r="LP11" s="66">
        <f>'P8'!S$31</f>
        <v>0</v>
      </c>
      <c r="LQ11" s="66">
        <f>'P8'!T$31</f>
        <v>0</v>
      </c>
      <c r="LR11" s="66">
        <f>'P8'!U$31</f>
        <v>0</v>
      </c>
      <c r="LS11" s="66">
        <f>'P8'!V$31</f>
        <v>0</v>
      </c>
      <c r="LT11" s="66">
        <f>'P8'!W$31</f>
        <v>0</v>
      </c>
      <c r="LU11" s="66">
        <f>'P8'!X$31</f>
        <v>0</v>
      </c>
      <c r="LV11" s="66">
        <f>'P8'!Y$31</f>
        <v>0</v>
      </c>
      <c r="LW11" s="66">
        <f>'P8'!Z$31</f>
        <v>0</v>
      </c>
      <c r="LX11" s="66">
        <f>'P8'!AA$31</f>
        <v>0</v>
      </c>
      <c r="LY11" s="66">
        <f>'P8'!AB$31</f>
        <v>0</v>
      </c>
      <c r="LZ11" s="66">
        <f>'P8'!AC$31</f>
        <v>0</v>
      </c>
      <c r="MA11" s="66">
        <f>'P8'!AD$31</f>
        <v>0</v>
      </c>
      <c r="MB11" s="66">
        <f>'P8'!AE$31</f>
        <v>0</v>
      </c>
      <c r="MC11" s="66">
        <f>'P8'!AF$31</f>
        <v>0</v>
      </c>
      <c r="MD11" s="66">
        <f>'P8'!AG$31</f>
        <v>0</v>
      </c>
      <c r="ME11" s="66">
        <f>'P8'!AH$31</f>
        <v>0</v>
      </c>
      <c r="MF11" s="66">
        <f>'P8'!AI$31</f>
        <v>0</v>
      </c>
      <c r="MG11" s="66">
        <f>'P8'!AJ$31</f>
        <v>0</v>
      </c>
      <c r="MH11" s="66">
        <f>'P8'!AK$31</f>
        <v>0</v>
      </c>
      <c r="MI11" s="66">
        <f>'P8'!AL$31</f>
        <v>0</v>
      </c>
      <c r="MJ11" s="66">
        <f>'P8'!AM$31</f>
        <v>0</v>
      </c>
      <c r="MK11" s="66">
        <f>'P8'!AN$31</f>
        <v>0</v>
      </c>
      <c r="ML11" s="66">
        <f>'P8'!AO$31</f>
        <v>0</v>
      </c>
      <c r="MM11" s="66">
        <f>'P8'!AP$31</f>
        <v>0</v>
      </c>
      <c r="MN11" s="66">
        <f>'P8'!AQ$31</f>
        <v>0</v>
      </c>
      <c r="MO11" s="66">
        <f>'P8'!AR$31</f>
        <v>0</v>
      </c>
      <c r="MP11" s="66">
        <f>'P8'!AS$31</f>
        <v>0</v>
      </c>
      <c r="MQ11" s="66">
        <f>'P8'!AT$31</f>
        <v>0</v>
      </c>
      <c r="MR11" s="66">
        <f>'P8'!AU$31</f>
        <v>0</v>
      </c>
      <c r="MS11" s="66">
        <f>'P8'!AV$31</f>
        <v>0</v>
      </c>
      <c r="MT11" s="66">
        <f>'P8'!AW$31</f>
        <v>0</v>
      </c>
      <c r="MU11" s="66">
        <f>'P8'!AX$31</f>
        <v>0</v>
      </c>
      <c r="MV11" s="66">
        <f>'P8'!AY$31</f>
        <v>0</v>
      </c>
      <c r="MW11" s="66">
        <f>'P8'!AZ$31</f>
        <v>0</v>
      </c>
      <c r="MX11" s="66">
        <f>'P8'!BA$31</f>
        <v>0</v>
      </c>
      <c r="MY11" s="66">
        <f>'P8'!BB$31</f>
        <v>0</v>
      </c>
      <c r="MZ11" s="66">
        <f>'P8'!BC$31</f>
        <v>0</v>
      </c>
      <c r="NA11" s="66">
        <f>'P8'!BD$31</f>
        <v>0</v>
      </c>
      <c r="NB11" s="66">
        <f>'P8'!BE$31</f>
        <v>0</v>
      </c>
      <c r="NC11" s="66">
        <f>'P8'!F$33</f>
        <v>0</v>
      </c>
      <c r="ND11" s="66">
        <f>'P8'!G$33</f>
        <v>0</v>
      </c>
      <c r="NE11" s="66">
        <f>'P8'!H$33</f>
        <v>0</v>
      </c>
      <c r="NF11" s="66">
        <f>'P8'!I$33</f>
        <v>0</v>
      </c>
      <c r="NG11" s="66">
        <f>'P8'!J$33</f>
        <v>0</v>
      </c>
      <c r="NH11" s="66">
        <f>'P8'!K$33</f>
        <v>0</v>
      </c>
      <c r="NI11" s="66">
        <f>'P8'!L$33</f>
        <v>0</v>
      </c>
      <c r="NJ11" s="66">
        <f>'P8'!M$33</f>
        <v>0</v>
      </c>
      <c r="NK11" s="66">
        <f>'P8'!N$33</f>
        <v>0</v>
      </c>
      <c r="NL11" s="66">
        <f>'P8'!O$33</f>
        <v>0</v>
      </c>
      <c r="NM11" s="66">
        <f>'P8'!P$33</f>
        <v>0</v>
      </c>
      <c r="NN11" s="66">
        <f>'P8'!Q$33</f>
        <v>0</v>
      </c>
      <c r="NO11" s="66">
        <f>'P8'!R$33</f>
        <v>0</v>
      </c>
      <c r="NP11" s="66">
        <f>'P8'!S$33</f>
        <v>0</v>
      </c>
      <c r="NQ11" s="66">
        <f>'P8'!T$33</f>
        <v>0</v>
      </c>
      <c r="NR11" s="66">
        <f>'P8'!U$33</f>
        <v>0</v>
      </c>
      <c r="NS11" s="66">
        <f>'P8'!V$33</f>
        <v>0</v>
      </c>
      <c r="NT11" s="66">
        <f>'P8'!W$33</f>
        <v>0</v>
      </c>
      <c r="NU11" s="66">
        <f>'P8'!X$33</f>
        <v>0</v>
      </c>
      <c r="NV11" s="66">
        <f>'P8'!Y$33</f>
        <v>0</v>
      </c>
      <c r="NW11" s="66">
        <f>'P8'!Z$33</f>
        <v>0</v>
      </c>
      <c r="NX11" s="66">
        <f>'P8'!AA$33</f>
        <v>0</v>
      </c>
      <c r="NY11" s="66">
        <f>'P8'!AB$33</f>
        <v>0</v>
      </c>
      <c r="NZ11" s="66">
        <f>'P8'!AC$33</f>
        <v>0</v>
      </c>
      <c r="OA11" s="66">
        <f>'P8'!AD$33</f>
        <v>0</v>
      </c>
      <c r="OB11" s="66">
        <f>'P8'!AE$33</f>
        <v>0</v>
      </c>
      <c r="OC11" s="66">
        <f>'P8'!AF$33</f>
        <v>0</v>
      </c>
      <c r="OD11" s="66">
        <f>'P8'!AG$33</f>
        <v>0</v>
      </c>
      <c r="OE11" s="66">
        <f>'P8'!AH$33</f>
        <v>0</v>
      </c>
      <c r="OF11" s="66">
        <f>'P8'!AI$33</f>
        <v>0</v>
      </c>
      <c r="OG11" s="66">
        <f>'P8'!AJ$33</f>
        <v>0</v>
      </c>
      <c r="OH11" s="66">
        <f>'P8'!AK$33</f>
        <v>0</v>
      </c>
      <c r="OI11" s="66">
        <f>'P8'!AL$33</f>
        <v>0</v>
      </c>
      <c r="OJ11" s="66">
        <f>'P8'!AM$33</f>
        <v>0</v>
      </c>
      <c r="OK11" s="66">
        <f>'P8'!AN$33</f>
        <v>0</v>
      </c>
      <c r="OL11" s="66">
        <f>'P8'!AO$33</f>
        <v>0</v>
      </c>
      <c r="OM11" s="66">
        <f>'P8'!AP$33</f>
        <v>0</v>
      </c>
      <c r="ON11" s="66">
        <f>'P8'!AQ$33</f>
        <v>0</v>
      </c>
      <c r="OO11" s="66">
        <f>'P8'!AR$33</f>
        <v>0</v>
      </c>
      <c r="OP11" s="66">
        <f>'P8'!AS$33</f>
        <v>0</v>
      </c>
      <c r="OQ11" s="66">
        <f>'P8'!AT$33</f>
        <v>0</v>
      </c>
      <c r="OR11" s="66">
        <f>'P8'!AU$33</f>
        <v>0</v>
      </c>
      <c r="OS11" s="66">
        <f>'P8'!AV$33</f>
        <v>0</v>
      </c>
      <c r="OT11" s="66">
        <f>'P8'!AW$33</f>
        <v>0</v>
      </c>
      <c r="OU11" s="66">
        <f>'P8'!AX$33</f>
        <v>0</v>
      </c>
      <c r="OV11" s="66">
        <f>'P8'!AY$33</f>
        <v>0</v>
      </c>
      <c r="OW11" s="66">
        <f>'P8'!AZ$33</f>
        <v>0</v>
      </c>
      <c r="OX11" s="66">
        <f>'P8'!BA$33</f>
        <v>0</v>
      </c>
      <c r="OY11" s="66">
        <f>'P8'!BB$33</f>
        <v>0</v>
      </c>
      <c r="OZ11" s="66">
        <f>'P8'!BC$33</f>
        <v>0</v>
      </c>
      <c r="PA11" s="66">
        <f>'P8'!BD$33</f>
        <v>0</v>
      </c>
      <c r="PB11" s="66">
        <f>'P8'!BE$33</f>
        <v>0</v>
      </c>
      <c r="PC11" s="66">
        <f>'P8'!F$34</f>
        <v>0</v>
      </c>
      <c r="PD11" s="66">
        <f>'P8'!G$34</f>
        <v>0</v>
      </c>
      <c r="PE11" s="66">
        <f>'P8'!H$34</f>
        <v>0</v>
      </c>
      <c r="PF11" s="66">
        <f>'P8'!I$34</f>
        <v>0</v>
      </c>
      <c r="PG11" s="66">
        <f>'P8'!J$34</f>
        <v>0</v>
      </c>
      <c r="PH11" s="66">
        <f>'P8'!K$34</f>
        <v>0</v>
      </c>
      <c r="PI11" s="66">
        <f>'P8'!L$34</f>
        <v>0</v>
      </c>
      <c r="PJ11" s="66">
        <f>'P8'!M$34</f>
        <v>0</v>
      </c>
      <c r="PK11" s="66">
        <f>'P8'!N$34</f>
        <v>0</v>
      </c>
      <c r="PL11" s="66">
        <f>'P8'!O$34</f>
        <v>0</v>
      </c>
      <c r="PM11" s="66">
        <f>'P8'!P$34</f>
        <v>0</v>
      </c>
      <c r="PN11" s="66">
        <f>'P8'!Q$34</f>
        <v>0</v>
      </c>
      <c r="PO11" s="66">
        <f>'P8'!R$34</f>
        <v>0</v>
      </c>
      <c r="PP11" s="66">
        <f>'P8'!S$34</f>
        <v>0</v>
      </c>
      <c r="PQ11" s="66">
        <f>'P8'!T$34</f>
        <v>0</v>
      </c>
      <c r="PR11" s="66">
        <f>'P8'!U$34</f>
        <v>0</v>
      </c>
      <c r="PS11" s="66">
        <f>'P8'!V$34</f>
        <v>0</v>
      </c>
      <c r="PT11" s="66">
        <f>'P8'!W$34</f>
        <v>0</v>
      </c>
      <c r="PU11" s="66">
        <f>'P8'!X$34</f>
        <v>0</v>
      </c>
      <c r="PV11" s="66">
        <f>'P8'!Y$34</f>
        <v>0</v>
      </c>
      <c r="PW11" s="66">
        <f>'P8'!Z$34</f>
        <v>0</v>
      </c>
      <c r="PX11" s="66">
        <f>'P8'!AA$34</f>
        <v>0</v>
      </c>
      <c r="PY11" s="66">
        <f>'P8'!AB$34</f>
        <v>0</v>
      </c>
      <c r="PZ11" s="66">
        <f>'P8'!AC$34</f>
        <v>0</v>
      </c>
      <c r="QA11" s="66">
        <f>'P8'!AD$34</f>
        <v>0</v>
      </c>
      <c r="QB11" s="66">
        <f>'P8'!AE$34</f>
        <v>0</v>
      </c>
      <c r="QC11" s="66">
        <f>'P8'!AF$34</f>
        <v>0</v>
      </c>
      <c r="QD11" s="66">
        <f>'P8'!AG$34</f>
        <v>0</v>
      </c>
      <c r="QE11" s="66">
        <f>'P8'!AH$34</f>
        <v>0</v>
      </c>
      <c r="QF11" s="66">
        <f>'P8'!AI$34</f>
        <v>0</v>
      </c>
      <c r="QG11" s="66">
        <f>'P8'!AJ$34</f>
        <v>0</v>
      </c>
      <c r="QH11" s="66">
        <f>'P8'!AK$34</f>
        <v>0</v>
      </c>
      <c r="QI11" s="66">
        <f>'P8'!AL$34</f>
        <v>0</v>
      </c>
      <c r="QJ11" s="66">
        <f>'P8'!AM$34</f>
        <v>0</v>
      </c>
      <c r="QK11" s="66">
        <f>'P8'!AN$34</f>
        <v>0</v>
      </c>
      <c r="QL11" s="66">
        <f>'P8'!AO$34</f>
        <v>0</v>
      </c>
      <c r="QM11" s="66">
        <f>'P8'!AP$34</f>
        <v>0</v>
      </c>
      <c r="QN11" s="66">
        <f>'P8'!AQ$34</f>
        <v>0</v>
      </c>
      <c r="QO11" s="66">
        <f>'P8'!AR$34</f>
        <v>0</v>
      </c>
      <c r="QP11" s="66">
        <f>'P8'!AS$34</f>
        <v>0</v>
      </c>
      <c r="QQ11" s="66">
        <f>'P8'!AT$34</f>
        <v>0</v>
      </c>
      <c r="QR11" s="66">
        <f>'P8'!AU$34</f>
        <v>0</v>
      </c>
      <c r="QS11" s="66">
        <f>'P8'!AV$34</f>
        <v>0</v>
      </c>
      <c r="QT11" s="66">
        <f>'P8'!AW$34</f>
        <v>0</v>
      </c>
      <c r="QU11" s="66">
        <f>'P8'!AX$34</f>
        <v>0</v>
      </c>
      <c r="QV11" s="66">
        <f>'P8'!AY$34</f>
        <v>0</v>
      </c>
      <c r="QW11" s="66">
        <f>'P8'!AZ$34</f>
        <v>0</v>
      </c>
      <c r="QX11" s="66">
        <f>'P8'!BA$34</f>
        <v>0</v>
      </c>
      <c r="QY11" s="66">
        <f>'P8'!BB$34</f>
        <v>0</v>
      </c>
      <c r="QZ11" s="66">
        <f>'P8'!BC$34</f>
        <v>0</v>
      </c>
      <c r="RA11" s="66">
        <f>'P8'!BD$34</f>
        <v>0</v>
      </c>
      <c r="RB11" s="66">
        <f>'P8'!BE$34</f>
        <v>0</v>
      </c>
      <c r="RC11" s="66">
        <f>'P8'!F$35</f>
        <v>0</v>
      </c>
      <c r="RD11" s="66">
        <f>'P8'!G$35</f>
        <v>0</v>
      </c>
      <c r="RE11" s="66">
        <f>'P8'!H$35</f>
        <v>0</v>
      </c>
      <c r="RF11" s="66">
        <f>'P8'!I$35</f>
        <v>0</v>
      </c>
      <c r="RG11" s="66">
        <f>'P8'!J$35</f>
        <v>0</v>
      </c>
      <c r="RH11" s="66">
        <f>'P8'!K$35</f>
        <v>0</v>
      </c>
      <c r="RI11" s="66">
        <f>'P8'!L$35</f>
        <v>0</v>
      </c>
      <c r="RJ11" s="66">
        <f>'P8'!M$35</f>
        <v>0</v>
      </c>
      <c r="RK11" s="66">
        <f>'P8'!N$35</f>
        <v>0</v>
      </c>
      <c r="RL11" s="66">
        <f>'P8'!O$35</f>
        <v>0</v>
      </c>
      <c r="RM11" s="66">
        <f>'P8'!P$35</f>
        <v>0</v>
      </c>
      <c r="RN11" s="66">
        <f>'P8'!Q$35</f>
        <v>0</v>
      </c>
      <c r="RO11" s="66">
        <f>'P8'!R$35</f>
        <v>0</v>
      </c>
      <c r="RP11" s="66">
        <f>'P8'!S$35</f>
        <v>0</v>
      </c>
      <c r="RQ11" s="66">
        <f>'P8'!T$35</f>
        <v>0</v>
      </c>
      <c r="RR11" s="66">
        <f>'P8'!U$35</f>
        <v>0</v>
      </c>
      <c r="RS11" s="66">
        <f>'P8'!V$35</f>
        <v>0</v>
      </c>
      <c r="RT11" s="66">
        <f>'P8'!W$35</f>
        <v>0</v>
      </c>
      <c r="RU11" s="66">
        <f>'P8'!X$35</f>
        <v>0</v>
      </c>
      <c r="RV11" s="66">
        <f>'P8'!Y$35</f>
        <v>0</v>
      </c>
      <c r="RW11" s="66">
        <f>'P8'!Z$35</f>
        <v>0</v>
      </c>
      <c r="RX11" s="66">
        <f>'P8'!AA$35</f>
        <v>0</v>
      </c>
      <c r="RY11" s="66">
        <f>'P8'!AB$35</f>
        <v>0</v>
      </c>
      <c r="RZ11" s="66">
        <f>'P8'!AC$35</f>
        <v>0</v>
      </c>
      <c r="SA11" s="66">
        <f>'P8'!AD$35</f>
        <v>0</v>
      </c>
      <c r="SB11" s="66">
        <f>'P8'!AE$35</f>
        <v>0</v>
      </c>
      <c r="SC11" s="66">
        <f>'P8'!AF$35</f>
        <v>0</v>
      </c>
      <c r="SD11" s="66">
        <f>'P8'!AG$35</f>
        <v>0</v>
      </c>
      <c r="SE11" s="66">
        <f>'P8'!AH$35</f>
        <v>0</v>
      </c>
      <c r="SF11" s="66">
        <f>'P8'!AI$35</f>
        <v>0</v>
      </c>
      <c r="SG11" s="66">
        <f>'P8'!AJ$35</f>
        <v>0</v>
      </c>
      <c r="SH11" s="66">
        <f>'P8'!AK$35</f>
        <v>0</v>
      </c>
      <c r="SI11" s="66">
        <f>'P8'!AL$35</f>
        <v>0</v>
      </c>
      <c r="SJ11" s="66">
        <f>'P8'!AM$35</f>
        <v>0</v>
      </c>
      <c r="SK11" s="66">
        <f>'P8'!AN$35</f>
        <v>0</v>
      </c>
      <c r="SL11" s="66">
        <f>'P8'!AO$35</f>
        <v>0</v>
      </c>
      <c r="SM11" s="66">
        <f>'P8'!AP$35</f>
        <v>0</v>
      </c>
      <c r="SN11" s="66">
        <f>'P8'!AQ$35</f>
        <v>0</v>
      </c>
      <c r="SO11" s="66">
        <f>'P8'!AR$35</f>
        <v>0</v>
      </c>
      <c r="SP11" s="66">
        <f>'P8'!AS$35</f>
        <v>0</v>
      </c>
      <c r="SQ11" s="66">
        <f>'P8'!AT$35</f>
        <v>0</v>
      </c>
      <c r="SR11" s="66">
        <f>'P8'!AU$35</f>
        <v>0</v>
      </c>
      <c r="SS11" s="66">
        <f>'P8'!AV$35</f>
        <v>0</v>
      </c>
      <c r="ST11" s="66">
        <f>'P8'!AW$35</f>
        <v>0</v>
      </c>
      <c r="SU11" s="66">
        <f>'P8'!AX$35</f>
        <v>0</v>
      </c>
      <c r="SV11" s="66">
        <f>'P8'!AY$35</f>
        <v>0</v>
      </c>
      <c r="SW11" s="66">
        <f>'P8'!AZ$35</f>
        <v>0</v>
      </c>
      <c r="SX11" s="66">
        <f>'P8'!BA$35</f>
        <v>0</v>
      </c>
      <c r="SY11" s="66">
        <f>'P8'!BB$35</f>
        <v>0</v>
      </c>
      <c r="SZ11" s="66">
        <f>'P8'!BC$35</f>
        <v>0</v>
      </c>
      <c r="TA11" s="66">
        <f>'P8'!BD$35</f>
        <v>0</v>
      </c>
      <c r="TB11" s="66">
        <f>'P8'!BE$35</f>
        <v>0</v>
      </c>
    </row>
    <row r="12" spans="2:522">
      <c r="B12" s="66">
        <v>9</v>
      </c>
      <c r="C12" s="66">
        <f>'P9'!$F$3</f>
        <v>0</v>
      </c>
      <c r="D12" s="66">
        <f>'P9'!$F$5</f>
        <v>0</v>
      </c>
      <c r="E12" s="66">
        <f>'P9'!$F$7</f>
        <v>0</v>
      </c>
      <c r="F12" s="66" t="str">
        <f>'P9'!$F$8</f>
        <v/>
      </c>
      <c r="G12" s="66">
        <f>'P9'!$B$13</f>
        <v>0</v>
      </c>
      <c r="H12" s="66">
        <f>'P9'!$C$17</f>
        <v>0</v>
      </c>
      <c r="I12" s="66">
        <f>'P9'!$C$18</f>
        <v>0</v>
      </c>
      <c r="J12" s="66">
        <f>'P9'!$C$19</f>
        <v>0</v>
      </c>
      <c r="K12" s="66">
        <f>'P9'!$C$20</f>
        <v>0</v>
      </c>
      <c r="L12" s="66">
        <f>'P9'!$C$21</f>
        <v>0</v>
      </c>
      <c r="M12" s="66" t="str">
        <f>'P9'!$F$12</f>
        <v/>
      </c>
      <c r="N12" s="66" t="str">
        <f>'P9'!$G$13</f>
        <v>Select the primary KPI (Jonas Library)</v>
      </c>
      <c r="O12" s="66">
        <f>'P9'!$F$15</f>
        <v>0</v>
      </c>
      <c r="P12" s="66">
        <f>'P9'!$F$19</f>
        <v>0</v>
      </c>
      <c r="Q12" s="66" t="str">
        <f>'P9'!$O$12</f>
        <v/>
      </c>
      <c r="R12" s="66" t="str">
        <f>'P9'!$P$13</f>
        <v>Select the primary KPI (Jonas Library)</v>
      </c>
      <c r="S12" s="66">
        <f>'P9'!$O$15</f>
        <v>0</v>
      </c>
      <c r="T12" s="66">
        <f>'P9'!$O$19</f>
        <v>0</v>
      </c>
      <c r="U12" s="66" t="str">
        <f>'P9'!$X$12</f>
        <v/>
      </c>
      <c r="V12" s="66" t="str">
        <f>'P9'!$Y$13</f>
        <v>Select the primary KPI (Jonas Library)</v>
      </c>
      <c r="W12" s="66">
        <f>'P9'!$X$15</f>
        <v>0</v>
      </c>
      <c r="X12" s="66">
        <f>'P9'!$X$19</f>
        <v>0</v>
      </c>
      <c r="Y12" s="66">
        <f>'P9'!$AV$3</f>
        <v>0</v>
      </c>
      <c r="Z12" s="66" t="str">
        <f ca="1">'P9'!$AO$4</f>
        <v>Not Def</v>
      </c>
      <c r="AA12" s="66">
        <f ca="1">'P9'!$AV$4</f>
        <v>0</v>
      </c>
      <c r="AB12" s="66" t="str">
        <f ca="1">'P9'!$AO$5</f>
        <v>Not Def</v>
      </c>
      <c r="AC12" s="66">
        <f ca="1">'P9'!$AV$5</f>
        <v>0</v>
      </c>
      <c r="AD12" s="66">
        <f ca="1">'P9'!$AV$6</f>
        <v>0</v>
      </c>
      <c r="AE12" s="67" t="str">
        <f>IF('P9'!$AV$10="","",'P9'!$AV$10)</f>
        <v/>
      </c>
      <c r="AF12" s="67" t="str">
        <f>IF('P9'!$AV$11="","",'P9'!$AV$11)</f>
        <v/>
      </c>
      <c r="AG12" s="67" t="str">
        <f>IF('P9'!$AV$12="","",'P9'!$AV$12)</f>
        <v/>
      </c>
      <c r="AH12" s="67" t="str">
        <f>IF('P9'!$AV$13="","",'P9'!$AV$13)</f>
        <v/>
      </c>
      <c r="AI12" s="67" t="str">
        <f>IF('P9'!$AV$14="","",'P9'!$AV$14)</f>
        <v/>
      </c>
      <c r="AJ12" s="67" t="str">
        <f>IF('P9'!$AV$15="","",'P9'!$AV$15)</f>
        <v/>
      </c>
      <c r="AK12" s="67" t="str">
        <f>IF('P9'!$AV$16="","",'P9'!$AV$16)</f>
        <v/>
      </c>
      <c r="AL12" s="67" t="str">
        <f>IF('P9'!$AV$17="","",'P9'!$AV$17)</f>
        <v/>
      </c>
      <c r="AM12" s="67" t="str">
        <f>IF('P9'!$AV$18="","",'P9'!AV$18)</f>
        <v/>
      </c>
      <c r="AN12" s="67" t="str">
        <f>IF('P9'!$AV$19="","",'P9'!$AV$19)</f>
        <v/>
      </c>
      <c r="AO12" s="67" t="str">
        <f>IF('P9'!$AV$20="","",'P9'!$AV$20)</f>
        <v/>
      </c>
      <c r="AP12" s="67" t="str">
        <f>IF('P9'!$AV$21="","",'P9'!$AV$21)</f>
        <v/>
      </c>
      <c r="AQ12" s="67" t="str">
        <f>IF('P9'!$AY$10="","",'P9'!$AY$10)</f>
        <v/>
      </c>
      <c r="AR12" s="67" t="str">
        <f>IF('P9'!$AY$11="","",'P9'!$AY$11)</f>
        <v/>
      </c>
      <c r="AS12" s="67" t="str">
        <f>IF('P9'!$AY$12="","",'P9'!$AY$12)</f>
        <v/>
      </c>
      <c r="AT12" s="67" t="str">
        <f>IF('P9'!$AY$13="","",'P9'!$AY$13)</f>
        <v/>
      </c>
      <c r="AU12" s="67" t="str">
        <f>IF('P9'!$AY$14="","",'P9'!$AY$14)</f>
        <v/>
      </c>
      <c r="AV12" s="67" t="str">
        <f>IF('P9'!$AY$15="","",'P9'!$AY$15)</f>
        <v/>
      </c>
      <c r="AW12" s="67" t="str">
        <f>IF('P9'!$AY$16="","",'P9'!$AY$16)</f>
        <v/>
      </c>
      <c r="AX12" s="67" t="str">
        <f>IF('P9'!$AY$17="","",'P9'!$AY$17)</f>
        <v/>
      </c>
      <c r="AY12" s="67" t="str">
        <f>IF('P9'!$AY$18="","",'P9'!$AY$18)</f>
        <v/>
      </c>
      <c r="AZ12" s="67" t="str">
        <f>IF('P9'!$AY$19="","",'P9'!$AY$19)</f>
        <v/>
      </c>
      <c r="BA12" s="67" t="str">
        <f>IF('P9'!$AY$20="","",'P9'!$AY$20)</f>
        <v/>
      </c>
      <c r="BB12" s="67" t="str">
        <f>IF('P9'!$AY$21="","",'P9'!$AY$21)</f>
        <v/>
      </c>
      <c r="BC12" s="66">
        <f>'P9'!F$25</f>
        <v>0</v>
      </c>
      <c r="BD12" s="66">
        <f>'P9'!G$25</f>
        <v>0</v>
      </c>
      <c r="BE12" s="66">
        <f>'P9'!H$25</f>
        <v>0</v>
      </c>
      <c r="BF12" s="66">
        <f>'P9'!I$25</f>
        <v>0</v>
      </c>
      <c r="BG12" s="66">
        <f>'P9'!J$25</f>
        <v>0</v>
      </c>
      <c r="BH12" s="66">
        <f>'P9'!K$25</f>
        <v>0</v>
      </c>
      <c r="BI12" s="66">
        <f>'P9'!L$25</f>
        <v>0</v>
      </c>
      <c r="BJ12" s="66">
        <f>'P9'!M$25</f>
        <v>0</v>
      </c>
      <c r="BK12" s="66">
        <f>'P9'!N$25</f>
        <v>0</v>
      </c>
      <c r="BL12" s="66">
        <f>'P9'!O$25</f>
        <v>0</v>
      </c>
      <c r="BM12" s="66">
        <f>'P9'!P$25</f>
        <v>0</v>
      </c>
      <c r="BN12" s="66">
        <f>'P9'!Q$25</f>
        <v>0</v>
      </c>
      <c r="BO12" s="66">
        <f>'P9'!R$25</f>
        <v>0</v>
      </c>
      <c r="BP12" s="66">
        <f>'P9'!S$25</f>
        <v>0</v>
      </c>
      <c r="BQ12" s="66">
        <f>'P9'!T$25</f>
        <v>0</v>
      </c>
      <c r="BR12" s="66">
        <f>'P9'!U$25</f>
        <v>0</v>
      </c>
      <c r="BS12" s="66">
        <f>'P9'!V$25</f>
        <v>0</v>
      </c>
      <c r="BT12" s="66">
        <f>'P9'!W$25</f>
        <v>0</v>
      </c>
      <c r="BU12" s="66">
        <f>'P9'!X$25</f>
        <v>0</v>
      </c>
      <c r="BV12" s="66">
        <f>'P9'!Y$25</f>
        <v>0</v>
      </c>
      <c r="BW12" s="66">
        <f>'P9'!Z$25</f>
        <v>0</v>
      </c>
      <c r="BX12" s="66">
        <f>'P9'!AA$25</f>
        <v>0</v>
      </c>
      <c r="BY12" s="66">
        <f>'P9'!AB$25</f>
        <v>0</v>
      </c>
      <c r="BZ12" s="66">
        <f>'P9'!AC$25</f>
        <v>0</v>
      </c>
      <c r="CA12" s="66">
        <f>'P9'!AD$25</f>
        <v>0</v>
      </c>
      <c r="CB12" s="66">
        <f>'P9'!AE$25</f>
        <v>0</v>
      </c>
      <c r="CC12" s="66">
        <f>'P9'!AF$25</f>
        <v>0</v>
      </c>
      <c r="CD12" s="66">
        <f>'P9'!AG$25</f>
        <v>0</v>
      </c>
      <c r="CE12" s="66">
        <f>'P9'!AH$25</f>
        <v>0</v>
      </c>
      <c r="CF12" s="66">
        <f>'P9'!AI$25</f>
        <v>0</v>
      </c>
      <c r="CG12" s="66">
        <f>'P9'!AJ$25</f>
        <v>0</v>
      </c>
      <c r="CH12" s="66">
        <f>'P9'!AK$25</f>
        <v>0</v>
      </c>
      <c r="CI12" s="66">
        <f>'P9'!AL$25</f>
        <v>0</v>
      </c>
      <c r="CJ12" s="66">
        <f>'P9'!AM$25</f>
        <v>0</v>
      </c>
      <c r="CK12" s="66">
        <f>'P9'!AN$25</f>
        <v>0</v>
      </c>
      <c r="CL12" s="66">
        <f>'P9'!AO$25</f>
        <v>0</v>
      </c>
      <c r="CM12" s="66">
        <f>'P9'!AP$25</f>
        <v>0</v>
      </c>
      <c r="CN12" s="66">
        <f>'P9'!AQ$25</f>
        <v>0</v>
      </c>
      <c r="CO12" s="66">
        <f>'P9'!AR$25</f>
        <v>0</v>
      </c>
      <c r="CP12" s="66">
        <f>'P9'!AS$25</f>
        <v>0</v>
      </c>
      <c r="CQ12" s="66">
        <f>'P9'!AT$25</f>
        <v>0</v>
      </c>
      <c r="CR12" s="66">
        <f>'P9'!AU$25</f>
        <v>0</v>
      </c>
      <c r="CS12" s="66">
        <f>'P9'!AV$25</f>
        <v>0</v>
      </c>
      <c r="CT12" s="66">
        <f>'P9'!AW$25</f>
        <v>0</v>
      </c>
      <c r="CU12" s="66">
        <f>'P9'!AX$25</f>
        <v>0</v>
      </c>
      <c r="CV12" s="66">
        <f>'P9'!AY$25</f>
        <v>0</v>
      </c>
      <c r="CW12" s="66">
        <f>'P9'!AZ$25</f>
        <v>0</v>
      </c>
      <c r="CX12" s="66">
        <f>'P9'!BA$25</f>
        <v>0</v>
      </c>
      <c r="CY12" s="66">
        <f>'P9'!BB$25</f>
        <v>0</v>
      </c>
      <c r="CZ12" s="66">
        <f>'P9'!BC$25</f>
        <v>0</v>
      </c>
      <c r="DA12" s="66">
        <f>'P9'!BD$25</f>
        <v>0</v>
      </c>
      <c r="DB12" s="66">
        <f>'P9'!BE$25</f>
        <v>0</v>
      </c>
      <c r="DC12" s="66">
        <f>'P9'!F$26</f>
        <v>0</v>
      </c>
      <c r="DD12" s="66">
        <f>'P9'!G$26</f>
        <v>0</v>
      </c>
      <c r="DE12" s="66">
        <f>'P9'!H$26</f>
        <v>0</v>
      </c>
      <c r="DF12" s="66">
        <f>'P9'!I$26</f>
        <v>0</v>
      </c>
      <c r="DG12" s="66">
        <f>'P9'!J$26</f>
        <v>0</v>
      </c>
      <c r="DH12" s="66">
        <f>'P9'!K$26</f>
        <v>0</v>
      </c>
      <c r="DI12" s="66">
        <f>'P9'!L$26</f>
        <v>0</v>
      </c>
      <c r="DJ12" s="66">
        <f>'P9'!M$26</f>
        <v>0</v>
      </c>
      <c r="DK12" s="66">
        <f>'P9'!N$26</f>
        <v>0</v>
      </c>
      <c r="DL12" s="66">
        <f>'P9'!O$26</f>
        <v>0</v>
      </c>
      <c r="DM12" s="66">
        <f>'P9'!P$26</f>
        <v>0</v>
      </c>
      <c r="DN12" s="66">
        <f>'P9'!Q$26</f>
        <v>0</v>
      </c>
      <c r="DO12" s="66">
        <f>'P9'!R$26</f>
        <v>0</v>
      </c>
      <c r="DP12" s="66">
        <f>'P9'!S$26</f>
        <v>0</v>
      </c>
      <c r="DQ12" s="66">
        <f>'P9'!T$26</f>
        <v>0</v>
      </c>
      <c r="DR12" s="66">
        <f>'P9'!U$26</f>
        <v>0</v>
      </c>
      <c r="DS12" s="66">
        <f>'P9'!V$26</f>
        <v>0</v>
      </c>
      <c r="DT12" s="66">
        <f>'P9'!W$26</f>
        <v>0</v>
      </c>
      <c r="DU12" s="66">
        <f>'P9'!X$26</f>
        <v>0</v>
      </c>
      <c r="DV12" s="66">
        <f>'P9'!Y$26</f>
        <v>0</v>
      </c>
      <c r="DW12" s="66">
        <f>'P9'!Z$26</f>
        <v>0</v>
      </c>
      <c r="DX12" s="66">
        <f>'P9'!AA$26</f>
        <v>0</v>
      </c>
      <c r="DY12" s="66">
        <f>'P9'!AB$26</f>
        <v>0</v>
      </c>
      <c r="DZ12" s="66">
        <f>'P9'!AC$26</f>
        <v>0</v>
      </c>
      <c r="EA12" s="66">
        <f>'P9'!AD$26</f>
        <v>0</v>
      </c>
      <c r="EB12" s="66">
        <f>'P9'!AE$26</f>
        <v>0</v>
      </c>
      <c r="EC12" s="66">
        <f>'P9'!AF$26</f>
        <v>0</v>
      </c>
      <c r="ED12" s="66">
        <f>'P9'!AG$26</f>
        <v>0</v>
      </c>
      <c r="EE12" s="66">
        <f>'P9'!AH$26</f>
        <v>0</v>
      </c>
      <c r="EF12" s="66">
        <f>'P9'!AI$26</f>
        <v>0</v>
      </c>
      <c r="EG12" s="66">
        <f>'P9'!AJ$26</f>
        <v>0</v>
      </c>
      <c r="EH12" s="66">
        <f>'P9'!AK$26</f>
        <v>0</v>
      </c>
      <c r="EI12" s="66">
        <f>'P9'!AL$26</f>
        <v>0</v>
      </c>
      <c r="EJ12" s="66">
        <f>'P9'!AM$26</f>
        <v>0</v>
      </c>
      <c r="EK12" s="66">
        <f>'P9'!AN$26</f>
        <v>0</v>
      </c>
      <c r="EL12" s="66">
        <f>'P9'!AO$26</f>
        <v>0</v>
      </c>
      <c r="EM12" s="66">
        <f>'P9'!AP$26</f>
        <v>0</v>
      </c>
      <c r="EN12" s="66">
        <f>'P9'!AQ$26</f>
        <v>0</v>
      </c>
      <c r="EO12" s="66">
        <f>'P9'!AR$26</f>
        <v>0</v>
      </c>
      <c r="EP12" s="66">
        <f>'P9'!AS$26</f>
        <v>0</v>
      </c>
      <c r="EQ12" s="66">
        <f>'P9'!AT$26</f>
        <v>0</v>
      </c>
      <c r="ER12" s="66">
        <f>'P9'!AU$26</f>
        <v>0</v>
      </c>
      <c r="ES12" s="66">
        <f>'P9'!AV$26</f>
        <v>0</v>
      </c>
      <c r="ET12" s="66">
        <f>'P9'!AW$26</f>
        <v>0</v>
      </c>
      <c r="EU12" s="66">
        <f>'P9'!AX$26</f>
        <v>0</v>
      </c>
      <c r="EV12" s="66">
        <f>'P9'!AY$26</f>
        <v>0</v>
      </c>
      <c r="EW12" s="66">
        <f>'P9'!AZ$26</f>
        <v>0</v>
      </c>
      <c r="EX12" s="66">
        <f>'P9'!BA$26</f>
        <v>0</v>
      </c>
      <c r="EY12" s="66">
        <f>'P9'!BB$26</f>
        <v>0</v>
      </c>
      <c r="EZ12" s="66">
        <f>'P9'!BC$26</f>
        <v>0</v>
      </c>
      <c r="FA12" s="66">
        <f>'P9'!BD$26</f>
        <v>0</v>
      </c>
      <c r="FB12" s="66">
        <f>'P9'!BE$26</f>
        <v>0</v>
      </c>
      <c r="FC12" s="66">
        <f>'P9'!F$27</f>
        <v>0</v>
      </c>
      <c r="FD12" s="66">
        <f>'P9'!G$27</f>
        <v>0</v>
      </c>
      <c r="FE12" s="66">
        <f>'P9'!H$27</f>
        <v>0</v>
      </c>
      <c r="FF12" s="66">
        <f>'P9'!I$27</f>
        <v>0</v>
      </c>
      <c r="FG12" s="66">
        <f>'P9'!J$27</f>
        <v>0</v>
      </c>
      <c r="FH12" s="66">
        <f>'P9'!K$27</f>
        <v>0</v>
      </c>
      <c r="FI12" s="66">
        <f>'P9'!L$27</f>
        <v>0</v>
      </c>
      <c r="FJ12" s="66">
        <f>'P9'!M$27</f>
        <v>0</v>
      </c>
      <c r="FK12" s="66">
        <f>'P9'!N$27</f>
        <v>0</v>
      </c>
      <c r="FL12" s="66">
        <f>'P9'!O$27</f>
        <v>0</v>
      </c>
      <c r="FM12" s="66">
        <f>'P9'!P$27</f>
        <v>0</v>
      </c>
      <c r="FN12" s="66">
        <f>'P9'!Q$27</f>
        <v>0</v>
      </c>
      <c r="FO12" s="66">
        <f>'P9'!R$27</f>
        <v>0</v>
      </c>
      <c r="FP12" s="66">
        <f>'P9'!S$27</f>
        <v>0</v>
      </c>
      <c r="FQ12" s="66">
        <f>'P9'!T$27</f>
        <v>0</v>
      </c>
      <c r="FR12" s="66">
        <f>'P9'!U$27</f>
        <v>0</v>
      </c>
      <c r="FS12" s="66">
        <f>'P9'!V$27</f>
        <v>0</v>
      </c>
      <c r="FT12" s="66">
        <f>'P9'!W$27</f>
        <v>0</v>
      </c>
      <c r="FU12" s="66">
        <f>'P9'!X$27</f>
        <v>0</v>
      </c>
      <c r="FV12" s="66">
        <f>'P9'!Y$27</f>
        <v>0</v>
      </c>
      <c r="FW12" s="66">
        <f>'P9'!Z$27</f>
        <v>0</v>
      </c>
      <c r="FX12" s="66">
        <f>'P9'!AA$27</f>
        <v>0</v>
      </c>
      <c r="FY12" s="66">
        <f>'P9'!AB$27</f>
        <v>0</v>
      </c>
      <c r="FZ12" s="66">
        <f>'P9'!AC$27</f>
        <v>0</v>
      </c>
      <c r="GA12" s="66">
        <f>'P9'!AD$27</f>
        <v>0</v>
      </c>
      <c r="GB12" s="66">
        <f>'P9'!AE$27</f>
        <v>0</v>
      </c>
      <c r="GC12" s="66">
        <f>'P9'!AF$27</f>
        <v>0</v>
      </c>
      <c r="GD12" s="66">
        <f>'P9'!AG$27</f>
        <v>0</v>
      </c>
      <c r="GE12" s="66">
        <f>'P9'!AH$27</f>
        <v>0</v>
      </c>
      <c r="GF12" s="66">
        <f>'P9'!AI$27</f>
        <v>0</v>
      </c>
      <c r="GG12" s="66">
        <f>'P9'!AJ$27</f>
        <v>0</v>
      </c>
      <c r="GH12" s="66">
        <f>'P9'!AK$27</f>
        <v>0</v>
      </c>
      <c r="GI12" s="66">
        <f>'P9'!AL$27</f>
        <v>0</v>
      </c>
      <c r="GJ12" s="66">
        <f>'P9'!AM$27</f>
        <v>0</v>
      </c>
      <c r="GK12" s="66">
        <f>'P9'!AN$27</f>
        <v>0</v>
      </c>
      <c r="GL12" s="66">
        <f>'P9'!AO$27</f>
        <v>0</v>
      </c>
      <c r="GM12" s="66">
        <f>'P9'!AP$27</f>
        <v>0</v>
      </c>
      <c r="GN12" s="66">
        <f>'P9'!AQ$27</f>
        <v>0</v>
      </c>
      <c r="GO12" s="66">
        <f>'P9'!AR$27</f>
        <v>0</v>
      </c>
      <c r="GP12" s="66">
        <f>'P9'!AS$27</f>
        <v>0</v>
      </c>
      <c r="GQ12" s="66">
        <f>'P9'!AT$27</f>
        <v>0</v>
      </c>
      <c r="GR12" s="66">
        <f>'P9'!AU$27</f>
        <v>0</v>
      </c>
      <c r="GS12" s="66">
        <f>'P9'!AV$27</f>
        <v>0</v>
      </c>
      <c r="GT12" s="66">
        <f>'P9'!AW$27</f>
        <v>0</v>
      </c>
      <c r="GU12" s="66">
        <f>'P9'!AX$27</f>
        <v>0</v>
      </c>
      <c r="GV12" s="66">
        <f>'P9'!AY$27</f>
        <v>0</v>
      </c>
      <c r="GW12" s="66">
        <f>'P9'!AZ$27</f>
        <v>0</v>
      </c>
      <c r="GX12" s="66">
        <f>'P9'!BA$27</f>
        <v>0</v>
      </c>
      <c r="GY12" s="66">
        <f>'P9'!BB$27</f>
        <v>0</v>
      </c>
      <c r="GZ12" s="66">
        <f>'P9'!BC$27</f>
        <v>0</v>
      </c>
      <c r="HA12" s="66">
        <f>'P9'!BD$27</f>
        <v>0</v>
      </c>
      <c r="HB12" s="66">
        <f>'P9'!BE$27</f>
        <v>0</v>
      </c>
      <c r="HC12" s="66">
        <f>'P9'!F$29</f>
        <v>0</v>
      </c>
      <c r="HD12" s="66">
        <f>'P9'!G$29</f>
        <v>0</v>
      </c>
      <c r="HE12" s="66">
        <f>'P9'!H$29</f>
        <v>0</v>
      </c>
      <c r="HF12" s="66">
        <f>'P9'!I$29</f>
        <v>0</v>
      </c>
      <c r="HG12" s="66">
        <f>'P9'!J$29</f>
        <v>0</v>
      </c>
      <c r="HH12" s="66">
        <f>'P9'!K$29</f>
        <v>0</v>
      </c>
      <c r="HI12" s="66">
        <f>'P9'!L$29</f>
        <v>0</v>
      </c>
      <c r="HJ12" s="66">
        <f>'P9'!M$29</f>
        <v>0</v>
      </c>
      <c r="HK12" s="66">
        <f>'P9'!N$29</f>
        <v>0</v>
      </c>
      <c r="HL12" s="66">
        <f>'P9'!O$29</f>
        <v>0</v>
      </c>
      <c r="HM12" s="66">
        <f>'P9'!P$29</f>
        <v>0</v>
      </c>
      <c r="HN12" s="66">
        <f>'P9'!Q$29</f>
        <v>0</v>
      </c>
      <c r="HO12" s="66">
        <f>'P9'!R$29</f>
        <v>0</v>
      </c>
      <c r="HP12" s="66">
        <f>'P9'!S$29</f>
        <v>0</v>
      </c>
      <c r="HQ12" s="66">
        <f>'P9'!T$29</f>
        <v>0</v>
      </c>
      <c r="HR12" s="66">
        <f>'P9'!U$29</f>
        <v>0</v>
      </c>
      <c r="HS12" s="66">
        <f>'P9'!V$29</f>
        <v>0</v>
      </c>
      <c r="HT12" s="66">
        <f>'P9'!W$29</f>
        <v>0</v>
      </c>
      <c r="HU12" s="66">
        <f>'P9'!X$29</f>
        <v>0</v>
      </c>
      <c r="HV12" s="66">
        <f>'P9'!Y$29</f>
        <v>0</v>
      </c>
      <c r="HW12" s="66">
        <f>'P9'!Z$29</f>
        <v>0</v>
      </c>
      <c r="HX12" s="66">
        <f>'P9'!AA$29</f>
        <v>0</v>
      </c>
      <c r="HY12" s="66">
        <f>'P9'!AB$29</f>
        <v>0</v>
      </c>
      <c r="HZ12" s="66">
        <f>'P9'!AC$29</f>
        <v>0</v>
      </c>
      <c r="IA12" s="66">
        <f>'P9'!AD$29</f>
        <v>0</v>
      </c>
      <c r="IB12" s="66">
        <f>'P9'!AE$29</f>
        <v>0</v>
      </c>
      <c r="IC12" s="66">
        <f>'P9'!AF$29</f>
        <v>0</v>
      </c>
      <c r="ID12" s="66">
        <f>'P9'!AG$29</f>
        <v>0</v>
      </c>
      <c r="IE12" s="66">
        <f>'P9'!AH$29</f>
        <v>0</v>
      </c>
      <c r="IF12" s="66">
        <f>'P9'!AI$29</f>
        <v>0</v>
      </c>
      <c r="IG12" s="66">
        <f>'P9'!AJ$29</f>
        <v>0</v>
      </c>
      <c r="IH12" s="66">
        <f>'P9'!AK$29</f>
        <v>0</v>
      </c>
      <c r="II12" s="66">
        <f>'P9'!AL$29</f>
        <v>0</v>
      </c>
      <c r="IJ12" s="66">
        <f>'P9'!AM$29</f>
        <v>0</v>
      </c>
      <c r="IK12" s="66">
        <f>'P9'!AN$29</f>
        <v>0</v>
      </c>
      <c r="IL12" s="66">
        <f>'P9'!AO$29</f>
        <v>0</v>
      </c>
      <c r="IM12" s="66">
        <f>'P9'!AP$29</f>
        <v>0</v>
      </c>
      <c r="IN12" s="66">
        <f>'P9'!AQ$29</f>
        <v>0</v>
      </c>
      <c r="IO12" s="66">
        <f>'P9'!AR$29</f>
        <v>0</v>
      </c>
      <c r="IP12" s="66">
        <f>'P9'!AS$29</f>
        <v>0</v>
      </c>
      <c r="IQ12" s="66">
        <f>'P9'!AT$29</f>
        <v>0</v>
      </c>
      <c r="IR12" s="66">
        <f>'P9'!AU$29</f>
        <v>0</v>
      </c>
      <c r="IS12" s="66">
        <f>'P9'!AV$29</f>
        <v>0</v>
      </c>
      <c r="IT12" s="66">
        <f>'P9'!AW$29</f>
        <v>0</v>
      </c>
      <c r="IU12" s="66">
        <f>'P9'!AX$29</f>
        <v>0</v>
      </c>
      <c r="IV12" s="66">
        <f>'P9'!AY$29</f>
        <v>0</v>
      </c>
      <c r="IW12" s="66">
        <f>'P9'!AZ$29</f>
        <v>0</v>
      </c>
      <c r="IX12" s="66">
        <f>'P9'!BA$29</f>
        <v>0</v>
      </c>
      <c r="IY12" s="66">
        <f>'P9'!BB$29</f>
        <v>0</v>
      </c>
      <c r="IZ12" s="66">
        <f>'P9'!BC$29</f>
        <v>0</v>
      </c>
      <c r="JA12" s="66">
        <f>'P9'!BD$29</f>
        <v>0</v>
      </c>
      <c r="JB12" s="66">
        <f>'P9'!BE$29</f>
        <v>0</v>
      </c>
      <c r="JC12" s="66">
        <f>'P9'!F$30</f>
        <v>0</v>
      </c>
      <c r="JD12" s="66">
        <f>'P9'!G$30</f>
        <v>0</v>
      </c>
      <c r="JE12" s="66">
        <f>'P9'!H$30</f>
        <v>0</v>
      </c>
      <c r="JF12" s="66">
        <f>'P9'!I$30</f>
        <v>0</v>
      </c>
      <c r="JG12" s="66">
        <f>'P9'!J$30</f>
        <v>0</v>
      </c>
      <c r="JH12" s="66">
        <f>'P9'!K$30</f>
        <v>0</v>
      </c>
      <c r="JI12" s="66">
        <f>'P9'!L$30</f>
        <v>0</v>
      </c>
      <c r="JJ12" s="66">
        <f>'P9'!M$30</f>
        <v>0</v>
      </c>
      <c r="JK12" s="66">
        <f>'P9'!N$30</f>
        <v>0</v>
      </c>
      <c r="JL12" s="66">
        <f>'P9'!O$30</f>
        <v>0</v>
      </c>
      <c r="JM12" s="66">
        <f>'P9'!P$30</f>
        <v>0</v>
      </c>
      <c r="JN12" s="66">
        <f>'P9'!Q$30</f>
        <v>0</v>
      </c>
      <c r="JO12" s="66">
        <f>'P9'!R$30</f>
        <v>0</v>
      </c>
      <c r="JP12" s="66">
        <f>'P9'!S$30</f>
        <v>0</v>
      </c>
      <c r="JQ12" s="66">
        <f>'P9'!T$30</f>
        <v>0</v>
      </c>
      <c r="JR12" s="66">
        <f>'P9'!U$30</f>
        <v>0</v>
      </c>
      <c r="JS12" s="66">
        <f>'P9'!V$30</f>
        <v>0</v>
      </c>
      <c r="JT12" s="66">
        <f>'P9'!W$30</f>
        <v>0</v>
      </c>
      <c r="JU12" s="66">
        <f>'P9'!X$30</f>
        <v>0</v>
      </c>
      <c r="JV12" s="66">
        <f>'P9'!Y$30</f>
        <v>0</v>
      </c>
      <c r="JW12" s="66">
        <f>'P9'!Z$30</f>
        <v>0</v>
      </c>
      <c r="JX12" s="66">
        <f>'P9'!AA$30</f>
        <v>0</v>
      </c>
      <c r="JY12" s="66">
        <f>'P9'!AB$30</f>
        <v>0</v>
      </c>
      <c r="JZ12" s="66">
        <f>'P9'!AC$30</f>
        <v>0</v>
      </c>
      <c r="KA12" s="66">
        <f>'P9'!AD$30</f>
        <v>0</v>
      </c>
      <c r="KB12" s="66">
        <f>'P9'!AE$30</f>
        <v>0</v>
      </c>
      <c r="KC12" s="66">
        <f>'P9'!AF$30</f>
        <v>0</v>
      </c>
      <c r="KD12" s="66">
        <f>'P9'!AG$30</f>
        <v>0</v>
      </c>
      <c r="KE12" s="66">
        <f>'P9'!AH$30</f>
        <v>0</v>
      </c>
      <c r="KF12" s="66">
        <f>'P9'!AI$30</f>
        <v>0</v>
      </c>
      <c r="KG12" s="66">
        <f>'P9'!AJ$30</f>
        <v>0</v>
      </c>
      <c r="KH12" s="66">
        <f>'P9'!AK$30</f>
        <v>0</v>
      </c>
      <c r="KI12" s="66">
        <f>'P9'!AL$30</f>
        <v>0</v>
      </c>
      <c r="KJ12" s="66">
        <f>'P9'!AM$30</f>
        <v>0</v>
      </c>
      <c r="KK12" s="66">
        <f>'P9'!AN$30</f>
        <v>0</v>
      </c>
      <c r="KL12" s="66">
        <f>'P9'!AO$30</f>
        <v>0</v>
      </c>
      <c r="KM12" s="66">
        <f>'P9'!AP$30</f>
        <v>0</v>
      </c>
      <c r="KN12" s="66">
        <f>'P9'!AQ$30</f>
        <v>0</v>
      </c>
      <c r="KO12" s="66">
        <f>'P9'!AR$30</f>
        <v>0</v>
      </c>
      <c r="KP12" s="66">
        <f>'P9'!AS$30</f>
        <v>0</v>
      </c>
      <c r="KQ12" s="66">
        <f>'P9'!AT$30</f>
        <v>0</v>
      </c>
      <c r="KR12" s="66">
        <f>'P9'!AU$30</f>
        <v>0</v>
      </c>
      <c r="KS12" s="66">
        <f>'P9'!AV$30</f>
        <v>0</v>
      </c>
      <c r="KT12" s="66">
        <f>'P9'!AW$30</f>
        <v>0</v>
      </c>
      <c r="KU12" s="66">
        <f>'P9'!AX$30</f>
        <v>0</v>
      </c>
      <c r="KV12" s="66">
        <f>'P9'!AY$30</f>
        <v>0</v>
      </c>
      <c r="KW12" s="66">
        <f>'P9'!AZ$30</f>
        <v>0</v>
      </c>
      <c r="KX12" s="66">
        <f>'P9'!BA$30</f>
        <v>0</v>
      </c>
      <c r="KY12" s="66">
        <f>'P9'!BB$30</f>
        <v>0</v>
      </c>
      <c r="KZ12" s="66">
        <f>'P9'!BC$30</f>
        <v>0</v>
      </c>
      <c r="LA12" s="66">
        <f>'P9'!BD$30</f>
        <v>0</v>
      </c>
      <c r="LB12" s="66">
        <f>'P9'!BE$30</f>
        <v>0</v>
      </c>
      <c r="LC12" s="66">
        <f>'P9'!F$31</f>
        <v>0</v>
      </c>
      <c r="LD12" s="66">
        <f>'P9'!G$31</f>
        <v>0</v>
      </c>
      <c r="LE12" s="66">
        <f>'P9'!H$31</f>
        <v>0</v>
      </c>
      <c r="LF12" s="66">
        <f>'P9'!I$31</f>
        <v>0</v>
      </c>
      <c r="LG12" s="66">
        <f>'P9'!J$31</f>
        <v>0</v>
      </c>
      <c r="LH12" s="66">
        <f>'P9'!K$31</f>
        <v>0</v>
      </c>
      <c r="LI12" s="66">
        <f>'P9'!L$31</f>
        <v>0</v>
      </c>
      <c r="LJ12" s="66">
        <f>'P9'!M$31</f>
        <v>0</v>
      </c>
      <c r="LK12" s="66">
        <f>'P9'!N$31</f>
        <v>0</v>
      </c>
      <c r="LL12" s="66">
        <f>'P9'!O$31</f>
        <v>0</v>
      </c>
      <c r="LM12" s="66">
        <f>'P9'!P$31</f>
        <v>0</v>
      </c>
      <c r="LN12" s="66">
        <f>'P9'!Q$31</f>
        <v>0</v>
      </c>
      <c r="LO12" s="66">
        <f>'P9'!R$31</f>
        <v>0</v>
      </c>
      <c r="LP12" s="66">
        <f>'P9'!S$31</f>
        <v>0</v>
      </c>
      <c r="LQ12" s="66">
        <f>'P9'!T$31</f>
        <v>0</v>
      </c>
      <c r="LR12" s="66">
        <f>'P9'!U$31</f>
        <v>0</v>
      </c>
      <c r="LS12" s="66">
        <f>'P9'!V$31</f>
        <v>0</v>
      </c>
      <c r="LT12" s="66">
        <f>'P9'!W$31</f>
        <v>0</v>
      </c>
      <c r="LU12" s="66">
        <f>'P9'!X$31</f>
        <v>0</v>
      </c>
      <c r="LV12" s="66">
        <f>'P9'!Y$31</f>
        <v>0</v>
      </c>
      <c r="LW12" s="66">
        <f>'P9'!Z$31</f>
        <v>0</v>
      </c>
      <c r="LX12" s="66">
        <f>'P9'!AA$31</f>
        <v>0</v>
      </c>
      <c r="LY12" s="66">
        <f>'P9'!AB$31</f>
        <v>0</v>
      </c>
      <c r="LZ12" s="66">
        <f>'P9'!AC$31</f>
        <v>0</v>
      </c>
      <c r="MA12" s="66">
        <f>'P9'!AD$31</f>
        <v>0</v>
      </c>
      <c r="MB12" s="66">
        <f>'P9'!AE$31</f>
        <v>0</v>
      </c>
      <c r="MC12" s="66">
        <f>'P9'!AF$31</f>
        <v>0</v>
      </c>
      <c r="MD12" s="66">
        <f>'P9'!AG$31</f>
        <v>0</v>
      </c>
      <c r="ME12" s="66">
        <f>'P9'!AH$31</f>
        <v>0</v>
      </c>
      <c r="MF12" s="66">
        <f>'P9'!AI$31</f>
        <v>0</v>
      </c>
      <c r="MG12" s="66">
        <f>'P9'!AJ$31</f>
        <v>0</v>
      </c>
      <c r="MH12" s="66">
        <f>'P9'!AK$31</f>
        <v>0</v>
      </c>
      <c r="MI12" s="66">
        <f>'P9'!AL$31</f>
        <v>0</v>
      </c>
      <c r="MJ12" s="66">
        <f>'P9'!AM$31</f>
        <v>0</v>
      </c>
      <c r="MK12" s="66">
        <f>'P9'!AN$31</f>
        <v>0</v>
      </c>
      <c r="ML12" s="66">
        <f>'P9'!AO$31</f>
        <v>0</v>
      </c>
      <c r="MM12" s="66">
        <f>'P9'!AP$31</f>
        <v>0</v>
      </c>
      <c r="MN12" s="66">
        <f>'P9'!AQ$31</f>
        <v>0</v>
      </c>
      <c r="MO12" s="66">
        <f>'P9'!AR$31</f>
        <v>0</v>
      </c>
      <c r="MP12" s="66">
        <f>'P9'!AS$31</f>
        <v>0</v>
      </c>
      <c r="MQ12" s="66">
        <f>'P9'!AT$31</f>
        <v>0</v>
      </c>
      <c r="MR12" s="66">
        <f>'P9'!AU$31</f>
        <v>0</v>
      </c>
      <c r="MS12" s="66">
        <f>'P9'!AV$31</f>
        <v>0</v>
      </c>
      <c r="MT12" s="66">
        <f>'P9'!AW$31</f>
        <v>0</v>
      </c>
      <c r="MU12" s="66">
        <f>'P9'!AX$31</f>
        <v>0</v>
      </c>
      <c r="MV12" s="66">
        <f>'P9'!AY$31</f>
        <v>0</v>
      </c>
      <c r="MW12" s="66">
        <f>'P9'!AZ$31</f>
        <v>0</v>
      </c>
      <c r="MX12" s="66">
        <f>'P9'!BA$31</f>
        <v>0</v>
      </c>
      <c r="MY12" s="66">
        <f>'P9'!BB$31</f>
        <v>0</v>
      </c>
      <c r="MZ12" s="66">
        <f>'P9'!BC$31</f>
        <v>0</v>
      </c>
      <c r="NA12" s="66">
        <f>'P9'!BD$31</f>
        <v>0</v>
      </c>
      <c r="NB12" s="66">
        <f>'P9'!BE$31</f>
        <v>0</v>
      </c>
      <c r="NC12" s="66">
        <f>'P9'!F$33</f>
        <v>0</v>
      </c>
      <c r="ND12" s="66">
        <f>'P9'!G$33</f>
        <v>0</v>
      </c>
      <c r="NE12" s="66">
        <f>'P9'!H$33</f>
        <v>0</v>
      </c>
      <c r="NF12" s="66">
        <f>'P9'!I$33</f>
        <v>0</v>
      </c>
      <c r="NG12" s="66">
        <f>'P9'!J$33</f>
        <v>0</v>
      </c>
      <c r="NH12" s="66">
        <f>'P9'!K$33</f>
        <v>0</v>
      </c>
      <c r="NI12" s="66">
        <f>'P9'!L$33</f>
        <v>0</v>
      </c>
      <c r="NJ12" s="66">
        <f>'P9'!M$33</f>
        <v>0</v>
      </c>
      <c r="NK12" s="66">
        <f>'P9'!N$33</f>
        <v>0</v>
      </c>
      <c r="NL12" s="66">
        <f>'P9'!O$33</f>
        <v>0</v>
      </c>
      <c r="NM12" s="66">
        <f>'P9'!P$33</f>
        <v>0</v>
      </c>
      <c r="NN12" s="66">
        <f>'P9'!Q$33</f>
        <v>0</v>
      </c>
      <c r="NO12" s="66">
        <f>'P9'!R$33</f>
        <v>0</v>
      </c>
      <c r="NP12" s="66">
        <f>'P9'!S$33</f>
        <v>0</v>
      </c>
      <c r="NQ12" s="66">
        <f>'P9'!T$33</f>
        <v>0</v>
      </c>
      <c r="NR12" s="66">
        <f>'P9'!U$33</f>
        <v>0</v>
      </c>
      <c r="NS12" s="66">
        <f>'P9'!V$33</f>
        <v>0</v>
      </c>
      <c r="NT12" s="66">
        <f>'P9'!W$33</f>
        <v>0</v>
      </c>
      <c r="NU12" s="66">
        <f>'P9'!X$33</f>
        <v>0</v>
      </c>
      <c r="NV12" s="66">
        <f>'P9'!Y$33</f>
        <v>0</v>
      </c>
      <c r="NW12" s="66">
        <f>'P9'!Z$33</f>
        <v>0</v>
      </c>
      <c r="NX12" s="66">
        <f>'P9'!AA$33</f>
        <v>0</v>
      </c>
      <c r="NY12" s="66">
        <f>'P9'!AB$33</f>
        <v>0</v>
      </c>
      <c r="NZ12" s="66">
        <f>'P9'!AC$33</f>
        <v>0</v>
      </c>
      <c r="OA12" s="66">
        <f>'P9'!AD$33</f>
        <v>0</v>
      </c>
      <c r="OB12" s="66">
        <f>'P9'!AE$33</f>
        <v>0</v>
      </c>
      <c r="OC12" s="66">
        <f>'P9'!AF$33</f>
        <v>0</v>
      </c>
      <c r="OD12" s="66">
        <f>'P9'!AG$33</f>
        <v>0</v>
      </c>
      <c r="OE12" s="66">
        <f>'P9'!AH$33</f>
        <v>0</v>
      </c>
      <c r="OF12" s="66">
        <f>'P9'!AI$33</f>
        <v>0</v>
      </c>
      <c r="OG12" s="66">
        <f>'P9'!AJ$33</f>
        <v>0</v>
      </c>
      <c r="OH12" s="66">
        <f>'P9'!AK$33</f>
        <v>0</v>
      </c>
      <c r="OI12" s="66">
        <f>'P9'!AL$33</f>
        <v>0</v>
      </c>
      <c r="OJ12" s="66">
        <f>'P9'!AM$33</f>
        <v>0</v>
      </c>
      <c r="OK12" s="66">
        <f>'P9'!AN$33</f>
        <v>0</v>
      </c>
      <c r="OL12" s="66">
        <f>'P9'!AO$33</f>
        <v>0</v>
      </c>
      <c r="OM12" s="66">
        <f>'P9'!AP$33</f>
        <v>0</v>
      </c>
      <c r="ON12" s="66">
        <f>'P9'!AQ$33</f>
        <v>0</v>
      </c>
      <c r="OO12" s="66">
        <f>'P9'!AR$33</f>
        <v>0</v>
      </c>
      <c r="OP12" s="66">
        <f>'P9'!AS$33</f>
        <v>0</v>
      </c>
      <c r="OQ12" s="66">
        <f>'P9'!AT$33</f>
        <v>0</v>
      </c>
      <c r="OR12" s="66">
        <f>'P9'!AU$33</f>
        <v>0</v>
      </c>
      <c r="OS12" s="66">
        <f>'P9'!AV$33</f>
        <v>0</v>
      </c>
      <c r="OT12" s="66">
        <f>'P9'!AW$33</f>
        <v>0</v>
      </c>
      <c r="OU12" s="66">
        <f>'P9'!AX$33</f>
        <v>0</v>
      </c>
      <c r="OV12" s="66">
        <f>'P9'!AY$33</f>
        <v>0</v>
      </c>
      <c r="OW12" s="66">
        <f>'P9'!AZ$33</f>
        <v>0</v>
      </c>
      <c r="OX12" s="66">
        <f>'P9'!BA$33</f>
        <v>0</v>
      </c>
      <c r="OY12" s="66">
        <f>'P9'!BB$33</f>
        <v>0</v>
      </c>
      <c r="OZ12" s="66">
        <f>'P9'!BC$33</f>
        <v>0</v>
      </c>
      <c r="PA12" s="66">
        <f>'P9'!BD$33</f>
        <v>0</v>
      </c>
      <c r="PB12" s="66">
        <f>'P9'!BE$33</f>
        <v>0</v>
      </c>
      <c r="PC12" s="66">
        <f>'P9'!F$34</f>
        <v>0</v>
      </c>
      <c r="PD12" s="66">
        <f>'P9'!G$34</f>
        <v>0</v>
      </c>
      <c r="PE12" s="66">
        <f>'P9'!H$34</f>
        <v>0</v>
      </c>
      <c r="PF12" s="66">
        <f>'P9'!I$34</f>
        <v>0</v>
      </c>
      <c r="PG12" s="66">
        <f>'P9'!J$34</f>
        <v>0</v>
      </c>
      <c r="PH12" s="66">
        <f>'P9'!K$34</f>
        <v>0</v>
      </c>
      <c r="PI12" s="66">
        <f>'P9'!L$34</f>
        <v>0</v>
      </c>
      <c r="PJ12" s="66">
        <f>'P9'!M$34</f>
        <v>0</v>
      </c>
      <c r="PK12" s="66">
        <f>'P9'!N$34</f>
        <v>0</v>
      </c>
      <c r="PL12" s="66">
        <f>'P9'!O$34</f>
        <v>0</v>
      </c>
      <c r="PM12" s="66">
        <f>'P9'!P$34</f>
        <v>0</v>
      </c>
      <c r="PN12" s="66">
        <f>'P9'!Q$34</f>
        <v>0</v>
      </c>
      <c r="PO12" s="66">
        <f>'P9'!R$34</f>
        <v>0</v>
      </c>
      <c r="PP12" s="66">
        <f>'P9'!S$34</f>
        <v>0</v>
      </c>
      <c r="PQ12" s="66">
        <f>'P9'!T$34</f>
        <v>0</v>
      </c>
      <c r="PR12" s="66">
        <f>'P9'!U$34</f>
        <v>0</v>
      </c>
      <c r="PS12" s="66">
        <f>'P9'!V$34</f>
        <v>0</v>
      </c>
      <c r="PT12" s="66">
        <f>'P9'!W$34</f>
        <v>0</v>
      </c>
      <c r="PU12" s="66">
        <f>'P9'!X$34</f>
        <v>0</v>
      </c>
      <c r="PV12" s="66">
        <f>'P9'!Y$34</f>
        <v>0</v>
      </c>
      <c r="PW12" s="66">
        <f>'P9'!Z$34</f>
        <v>0</v>
      </c>
      <c r="PX12" s="66">
        <f>'P9'!AA$34</f>
        <v>0</v>
      </c>
      <c r="PY12" s="66">
        <f>'P9'!AB$34</f>
        <v>0</v>
      </c>
      <c r="PZ12" s="66">
        <f>'P9'!AC$34</f>
        <v>0</v>
      </c>
      <c r="QA12" s="66">
        <f>'P9'!AD$34</f>
        <v>0</v>
      </c>
      <c r="QB12" s="66">
        <f>'P9'!AE$34</f>
        <v>0</v>
      </c>
      <c r="QC12" s="66">
        <f>'P9'!AF$34</f>
        <v>0</v>
      </c>
      <c r="QD12" s="66">
        <f>'P9'!AG$34</f>
        <v>0</v>
      </c>
      <c r="QE12" s="66">
        <f>'P9'!AH$34</f>
        <v>0</v>
      </c>
      <c r="QF12" s="66">
        <f>'P9'!AI$34</f>
        <v>0</v>
      </c>
      <c r="QG12" s="66">
        <f>'P9'!AJ$34</f>
        <v>0</v>
      </c>
      <c r="QH12" s="66">
        <f>'P9'!AK$34</f>
        <v>0</v>
      </c>
      <c r="QI12" s="66">
        <f>'P9'!AL$34</f>
        <v>0</v>
      </c>
      <c r="QJ12" s="66">
        <f>'P9'!AM$34</f>
        <v>0</v>
      </c>
      <c r="QK12" s="66">
        <f>'P9'!AN$34</f>
        <v>0</v>
      </c>
      <c r="QL12" s="66">
        <f>'P9'!AO$34</f>
        <v>0</v>
      </c>
      <c r="QM12" s="66">
        <f>'P9'!AP$34</f>
        <v>0</v>
      </c>
      <c r="QN12" s="66">
        <f>'P9'!AQ$34</f>
        <v>0</v>
      </c>
      <c r="QO12" s="66">
        <f>'P9'!AR$34</f>
        <v>0</v>
      </c>
      <c r="QP12" s="66">
        <f>'P9'!AS$34</f>
        <v>0</v>
      </c>
      <c r="QQ12" s="66">
        <f>'P9'!AT$34</f>
        <v>0</v>
      </c>
      <c r="QR12" s="66">
        <f>'P9'!AU$34</f>
        <v>0</v>
      </c>
      <c r="QS12" s="66">
        <f>'P9'!AV$34</f>
        <v>0</v>
      </c>
      <c r="QT12" s="66">
        <f>'P9'!AW$34</f>
        <v>0</v>
      </c>
      <c r="QU12" s="66">
        <f>'P9'!AX$34</f>
        <v>0</v>
      </c>
      <c r="QV12" s="66">
        <f>'P9'!AY$34</f>
        <v>0</v>
      </c>
      <c r="QW12" s="66">
        <f>'P9'!AZ$34</f>
        <v>0</v>
      </c>
      <c r="QX12" s="66">
        <f>'P9'!BA$34</f>
        <v>0</v>
      </c>
      <c r="QY12" s="66">
        <f>'P9'!BB$34</f>
        <v>0</v>
      </c>
      <c r="QZ12" s="66">
        <f>'P9'!BC$34</f>
        <v>0</v>
      </c>
      <c r="RA12" s="66">
        <f>'P9'!BD$34</f>
        <v>0</v>
      </c>
      <c r="RB12" s="66">
        <f>'P9'!BE$34</f>
        <v>0</v>
      </c>
      <c r="RC12" s="66">
        <f>'P9'!F$35</f>
        <v>0</v>
      </c>
      <c r="RD12" s="66">
        <f>'P9'!G$35</f>
        <v>0</v>
      </c>
      <c r="RE12" s="66">
        <f>'P9'!H$35</f>
        <v>0</v>
      </c>
      <c r="RF12" s="66">
        <f>'P9'!I$35</f>
        <v>0</v>
      </c>
      <c r="RG12" s="66">
        <f>'P9'!J$35</f>
        <v>0</v>
      </c>
      <c r="RH12" s="66">
        <f>'P9'!K$35</f>
        <v>0</v>
      </c>
      <c r="RI12" s="66">
        <f>'P9'!L$35</f>
        <v>0</v>
      </c>
      <c r="RJ12" s="66">
        <f>'P9'!M$35</f>
        <v>0</v>
      </c>
      <c r="RK12" s="66">
        <f>'P9'!N$35</f>
        <v>0</v>
      </c>
      <c r="RL12" s="66">
        <f>'P9'!O$35</f>
        <v>0</v>
      </c>
      <c r="RM12" s="66">
        <f>'P9'!P$35</f>
        <v>0</v>
      </c>
      <c r="RN12" s="66">
        <f>'P9'!Q$35</f>
        <v>0</v>
      </c>
      <c r="RO12" s="66">
        <f>'P9'!R$35</f>
        <v>0</v>
      </c>
      <c r="RP12" s="66">
        <f>'P9'!S$35</f>
        <v>0</v>
      </c>
      <c r="RQ12" s="66">
        <f>'P9'!T$35</f>
        <v>0</v>
      </c>
      <c r="RR12" s="66">
        <f>'P9'!U$35</f>
        <v>0</v>
      </c>
      <c r="RS12" s="66">
        <f>'P9'!V$35</f>
        <v>0</v>
      </c>
      <c r="RT12" s="66">
        <f>'P9'!W$35</f>
        <v>0</v>
      </c>
      <c r="RU12" s="66">
        <f>'P9'!X$35</f>
        <v>0</v>
      </c>
      <c r="RV12" s="66">
        <f>'P9'!Y$35</f>
        <v>0</v>
      </c>
      <c r="RW12" s="66">
        <f>'P9'!Z$35</f>
        <v>0</v>
      </c>
      <c r="RX12" s="66">
        <f>'P9'!AA$35</f>
        <v>0</v>
      </c>
      <c r="RY12" s="66">
        <f>'P9'!AB$35</f>
        <v>0</v>
      </c>
      <c r="RZ12" s="66">
        <f>'P9'!AC$35</f>
        <v>0</v>
      </c>
      <c r="SA12" s="66">
        <f>'P9'!AD$35</f>
        <v>0</v>
      </c>
      <c r="SB12" s="66">
        <f>'P9'!AE$35</f>
        <v>0</v>
      </c>
      <c r="SC12" s="66">
        <f>'P9'!AF$35</f>
        <v>0</v>
      </c>
      <c r="SD12" s="66">
        <f>'P9'!AG$35</f>
        <v>0</v>
      </c>
      <c r="SE12" s="66">
        <f>'P9'!AH$35</f>
        <v>0</v>
      </c>
      <c r="SF12" s="66">
        <f>'P9'!AI$35</f>
        <v>0</v>
      </c>
      <c r="SG12" s="66">
        <f>'P9'!AJ$35</f>
        <v>0</v>
      </c>
      <c r="SH12" s="66">
        <f>'P9'!AK$35</f>
        <v>0</v>
      </c>
      <c r="SI12" s="66">
        <f>'P9'!AL$35</f>
        <v>0</v>
      </c>
      <c r="SJ12" s="66">
        <f>'P9'!AM$35</f>
        <v>0</v>
      </c>
      <c r="SK12" s="66">
        <f>'P9'!AN$35</f>
        <v>0</v>
      </c>
      <c r="SL12" s="66">
        <f>'P9'!AO$35</f>
        <v>0</v>
      </c>
      <c r="SM12" s="66">
        <f>'P9'!AP$35</f>
        <v>0</v>
      </c>
      <c r="SN12" s="66">
        <f>'P9'!AQ$35</f>
        <v>0</v>
      </c>
      <c r="SO12" s="66">
        <f>'P9'!AR$35</f>
        <v>0</v>
      </c>
      <c r="SP12" s="66">
        <f>'P9'!AS$35</f>
        <v>0</v>
      </c>
      <c r="SQ12" s="66">
        <f>'P9'!AT$35</f>
        <v>0</v>
      </c>
      <c r="SR12" s="66">
        <f>'P9'!AU$35</f>
        <v>0</v>
      </c>
      <c r="SS12" s="66">
        <f>'P9'!AV$35</f>
        <v>0</v>
      </c>
      <c r="ST12" s="66">
        <f>'P9'!AW$35</f>
        <v>0</v>
      </c>
      <c r="SU12" s="66">
        <f>'P9'!AX$35</f>
        <v>0</v>
      </c>
      <c r="SV12" s="66">
        <f>'P9'!AY$35</f>
        <v>0</v>
      </c>
      <c r="SW12" s="66">
        <f>'P9'!AZ$35</f>
        <v>0</v>
      </c>
      <c r="SX12" s="66">
        <f>'P9'!BA$35</f>
        <v>0</v>
      </c>
      <c r="SY12" s="66">
        <f>'P9'!BB$35</f>
        <v>0</v>
      </c>
      <c r="SZ12" s="66">
        <f>'P9'!BC$35</f>
        <v>0</v>
      </c>
      <c r="TA12" s="66">
        <f>'P9'!BD$35</f>
        <v>0</v>
      </c>
      <c r="TB12" s="66">
        <f>'P9'!BE$35</f>
        <v>0</v>
      </c>
    </row>
    <row r="13" spans="2:522">
      <c r="B13" s="66">
        <v>10</v>
      </c>
      <c r="C13" s="66">
        <f>'P10'!$F$3</f>
        <v>0</v>
      </c>
      <c r="D13" s="66">
        <f>'P10'!$F$5</f>
        <v>0</v>
      </c>
      <c r="E13" s="66">
        <f>'P10'!$F$7</f>
        <v>0</v>
      </c>
      <c r="F13" s="66" t="str">
        <f>'P10'!$F$8</f>
        <v/>
      </c>
      <c r="G13" s="66">
        <f>'P10'!$B$13</f>
        <v>0</v>
      </c>
      <c r="H13" s="66">
        <f>'P10'!$C$17</f>
        <v>0</v>
      </c>
      <c r="I13" s="66">
        <f>'P10'!$C$18</f>
        <v>0</v>
      </c>
      <c r="J13" s="66">
        <f>'P10'!$C$19</f>
        <v>0</v>
      </c>
      <c r="K13" s="66">
        <f>'P10'!$C$20</f>
        <v>0</v>
      </c>
      <c r="L13" s="66">
        <f>'P10'!$C$21</f>
        <v>0</v>
      </c>
      <c r="M13" s="66" t="str">
        <f>'P10'!$F$12</f>
        <v/>
      </c>
      <c r="N13" s="66" t="str">
        <f>'P10'!$G$13</f>
        <v>Select the primary KPI (Jonas Library)</v>
      </c>
      <c r="O13" s="66">
        <f>'P10'!$F$15</f>
        <v>0</v>
      </c>
      <c r="P13" s="66">
        <f>'P10'!$F$19</f>
        <v>0</v>
      </c>
      <c r="Q13" s="66" t="str">
        <f>'P10'!$O$12</f>
        <v/>
      </c>
      <c r="R13" s="66" t="str">
        <f>'P10'!$P$13</f>
        <v>Select the primary KPI (Jonas Library)</v>
      </c>
      <c r="S13" s="66">
        <f>'P10'!$O$15</f>
        <v>0</v>
      </c>
      <c r="T13" s="66">
        <f>'P10'!$O$19</f>
        <v>0</v>
      </c>
      <c r="U13" s="66" t="str">
        <f>'P10'!$X$12</f>
        <v/>
      </c>
      <c r="V13" s="66" t="str">
        <f>'P10'!$Y$13</f>
        <v>Select the primary KPI (Jonas Library)</v>
      </c>
      <c r="W13" s="66">
        <f>'P10'!$X$15</f>
        <v>0</v>
      </c>
      <c r="X13" s="66">
        <f>'P10'!$X$19</f>
        <v>0</v>
      </c>
      <c r="Y13" s="66">
        <f>'P10'!$AV$3</f>
        <v>0</v>
      </c>
      <c r="Z13" s="66" t="str">
        <f ca="1">'P10'!$AO$4</f>
        <v>Not Def</v>
      </c>
      <c r="AA13" s="66">
        <f ca="1">'P10'!$AV$4</f>
        <v>0</v>
      </c>
      <c r="AB13" s="66" t="str">
        <f ca="1">'P10'!$AO$5</f>
        <v>Not Def</v>
      </c>
      <c r="AC13" s="66">
        <f ca="1">'P10'!$AV$5</f>
        <v>0</v>
      </c>
      <c r="AD13" s="66">
        <f ca="1">'P10'!$AV$6</f>
        <v>0</v>
      </c>
      <c r="AE13" s="67" t="str">
        <f>IF('P10'!$AV$10="","",'P10'!$AV$10)</f>
        <v/>
      </c>
      <c r="AF13" s="67" t="str">
        <f>IF('P10'!$AV$11="","",'P10'!$AV$11)</f>
        <v/>
      </c>
      <c r="AG13" s="67" t="str">
        <f>IF('P10'!$AV$12="","",'P10'!$AV$12)</f>
        <v/>
      </c>
      <c r="AH13" s="67" t="str">
        <f>IF('P10'!$AV$13="","",'P10'!$AV$13)</f>
        <v/>
      </c>
      <c r="AI13" s="67" t="str">
        <f>IF('P10'!$AV$14="","",'P10'!$AV$14)</f>
        <v/>
      </c>
      <c r="AJ13" s="67" t="str">
        <f>IF('P10'!$AV$15="","",'P10'!$AV$15)</f>
        <v/>
      </c>
      <c r="AK13" s="67" t="str">
        <f>IF('P10'!$AV$16="","",'P10'!$AV$16)</f>
        <v/>
      </c>
      <c r="AL13" s="67" t="str">
        <f>IF('P10'!$AV$17="","",'P10'!$AV$17)</f>
        <v/>
      </c>
      <c r="AM13" s="67" t="str">
        <f>IF('P10'!$AV$18="","",'P10'!AV$18)</f>
        <v/>
      </c>
      <c r="AN13" s="67" t="str">
        <f>IF('P10'!$AV$19="","",'P10'!$AV$19)</f>
        <v/>
      </c>
      <c r="AO13" s="67" t="str">
        <f>IF('P10'!$AV$20="","",'P10'!$AV$20)</f>
        <v/>
      </c>
      <c r="AP13" s="67" t="str">
        <f>IF('P10'!$AV$21="","",'P10'!$AV$21)</f>
        <v/>
      </c>
      <c r="AQ13" s="67" t="str">
        <f>IF('P10'!$AY$10="","",'P10'!$AY$10)</f>
        <v/>
      </c>
      <c r="AR13" s="67" t="str">
        <f>IF('P10'!$AY$11="","",'P10'!$AY$11)</f>
        <v/>
      </c>
      <c r="AS13" s="67" t="str">
        <f>IF('P10'!$AY$12="","",'P10'!$AY$12)</f>
        <v/>
      </c>
      <c r="AT13" s="67" t="str">
        <f>IF('P10'!$AY$13="","",'P10'!$AY$13)</f>
        <v/>
      </c>
      <c r="AU13" s="67" t="str">
        <f>IF('P10'!$AY$14="","",'P10'!$AY$14)</f>
        <v/>
      </c>
      <c r="AV13" s="67" t="str">
        <f>IF('P10'!$AY$15="","",'P10'!$AY$15)</f>
        <v/>
      </c>
      <c r="AW13" s="67" t="str">
        <f>IF('P10'!$AY$16="","",'P10'!$AY$16)</f>
        <v/>
      </c>
      <c r="AX13" s="67" t="str">
        <f>IF('P10'!$AY$17="","",'P10'!$AY$17)</f>
        <v/>
      </c>
      <c r="AY13" s="67" t="str">
        <f>IF('P10'!$AY$18="","",'P10'!$AY$18)</f>
        <v/>
      </c>
      <c r="AZ13" s="67" t="str">
        <f>IF('P10'!$AY$19="","",'P10'!$AY$19)</f>
        <v/>
      </c>
      <c r="BA13" s="67" t="str">
        <f>IF('P10'!$AY$20="","",'P10'!$AY$20)</f>
        <v/>
      </c>
      <c r="BB13" s="67" t="str">
        <f>IF('P10'!$AY$21="","",'P10'!$AY$21)</f>
        <v/>
      </c>
      <c r="BC13" s="66">
        <f>'P10'!F$25</f>
        <v>0</v>
      </c>
      <c r="BD13" s="66">
        <f>'P10'!G$25</f>
        <v>0</v>
      </c>
      <c r="BE13" s="66">
        <f>'P10'!H$25</f>
        <v>0</v>
      </c>
      <c r="BF13" s="66">
        <f>'P10'!I$25</f>
        <v>0</v>
      </c>
      <c r="BG13" s="66">
        <f>'P10'!J$25</f>
        <v>0</v>
      </c>
      <c r="BH13" s="66">
        <f>'P10'!K$25</f>
        <v>0</v>
      </c>
      <c r="BI13" s="66">
        <f>'P10'!L$25</f>
        <v>0</v>
      </c>
      <c r="BJ13" s="66">
        <f>'P10'!M$25</f>
        <v>0</v>
      </c>
      <c r="BK13" s="66">
        <f>'P10'!N$25</f>
        <v>0</v>
      </c>
      <c r="BL13" s="66">
        <f>'P10'!O$25</f>
        <v>0</v>
      </c>
      <c r="BM13" s="66">
        <f>'P10'!P$25</f>
        <v>0</v>
      </c>
      <c r="BN13" s="66">
        <f>'P10'!Q$25</f>
        <v>0</v>
      </c>
      <c r="BO13" s="66">
        <f>'P10'!R$25</f>
        <v>0</v>
      </c>
      <c r="BP13" s="66">
        <f>'P10'!S$25</f>
        <v>0</v>
      </c>
      <c r="BQ13" s="66">
        <f>'P10'!T$25</f>
        <v>0</v>
      </c>
      <c r="BR13" s="66">
        <f>'P10'!U$25</f>
        <v>0</v>
      </c>
      <c r="BS13" s="66">
        <f>'P10'!V$25</f>
        <v>0</v>
      </c>
      <c r="BT13" s="66">
        <f>'P10'!W$25</f>
        <v>0</v>
      </c>
      <c r="BU13" s="66">
        <f>'P10'!X$25</f>
        <v>0</v>
      </c>
      <c r="BV13" s="66">
        <f>'P10'!Y$25</f>
        <v>0</v>
      </c>
      <c r="BW13" s="66">
        <f>'P10'!Z$25</f>
        <v>0</v>
      </c>
      <c r="BX13" s="66">
        <f>'P10'!AA$25</f>
        <v>0</v>
      </c>
      <c r="BY13" s="66">
        <f>'P10'!AB$25</f>
        <v>0</v>
      </c>
      <c r="BZ13" s="66">
        <f>'P10'!AC$25</f>
        <v>0</v>
      </c>
      <c r="CA13" s="66">
        <f>'P10'!AD$25</f>
        <v>0</v>
      </c>
      <c r="CB13" s="66">
        <f>'P10'!AE$25</f>
        <v>0</v>
      </c>
      <c r="CC13" s="66">
        <f>'P10'!AF$25</f>
        <v>0</v>
      </c>
      <c r="CD13" s="66">
        <f>'P10'!AG$25</f>
        <v>0</v>
      </c>
      <c r="CE13" s="66">
        <f>'P10'!AH$25</f>
        <v>0</v>
      </c>
      <c r="CF13" s="66">
        <f>'P10'!AI$25</f>
        <v>0</v>
      </c>
      <c r="CG13" s="66">
        <f>'P10'!AJ$25</f>
        <v>0</v>
      </c>
      <c r="CH13" s="66">
        <f>'P10'!AK$25</f>
        <v>0</v>
      </c>
      <c r="CI13" s="66">
        <f>'P10'!AL$25</f>
        <v>0</v>
      </c>
      <c r="CJ13" s="66">
        <f>'P10'!AM$25</f>
        <v>0</v>
      </c>
      <c r="CK13" s="66">
        <f>'P10'!AN$25</f>
        <v>0</v>
      </c>
      <c r="CL13" s="66">
        <f>'P10'!AO$25</f>
        <v>0</v>
      </c>
      <c r="CM13" s="66">
        <f>'P10'!AP$25</f>
        <v>0</v>
      </c>
      <c r="CN13" s="66">
        <f>'P10'!AQ$25</f>
        <v>0</v>
      </c>
      <c r="CO13" s="66">
        <f>'P10'!AR$25</f>
        <v>0</v>
      </c>
      <c r="CP13" s="66">
        <f>'P10'!AS$25</f>
        <v>0</v>
      </c>
      <c r="CQ13" s="66">
        <f>'P10'!AT$25</f>
        <v>0</v>
      </c>
      <c r="CR13" s="66">
        <f>'P10'!AU$25</f>
        <v>0</v>
      </c>
      <c r="CS13" s="66">
        <f>'P10'!AV$25</f>
        <v>0</v>
      </c>
      <c r="CT13" s="66">
        <f>'P10'!AW$25</f>
        <v>0</v>
      </c>
      <c r="CU13" s="66">
        <f>'P10'!AX$25</f>
        <v>0</v>
      </c>
      <c r="CV13" s="66">
        <f>'P10'!AY$25</f>
        <v>0</v>
      </c>
      <c r="CW13" s="66">
        <f>'P10'!AZ$25</f>
        <v>0</v>
      </c>
      <c r="CX13" s="66">
        <f>'P10'!BA$25</f>
        <v>0</v>
      </c>
      <c r="CY13" s="66">
        <f>'P10'!BB$25</f>
        <v>0</v>
      </c>
      <c r="CZ13" s="66">
        <f>'P10'!BC$25</f>
        <v>0</v>
      </c>
      <c r="DA13" s="66">
        <f>'P10'!BD$25</f>
        <v>0</v>
      </c>
      <c r="DB13" s="66">
        <f>'P10'!BE$25</f>
        <v>0</v>
      </c>
      <c r="DC13" s="66">
        <f>'P10'!F$26</f>
        <v>0</v>
      </c>
      <c r="DD13" s="66">
        <f>'P10'!G$26</f>
        <v>0</v>
      </c>
      <c r="DE13" s="66">
        <f>'P10'!H$26</f>
        <v>0</v>
      </c>
      <c r="DF13" s="66">
        <f>'P10'!I$26</f>
        <v>0</v>
      </c>
      <c r="DG13" s="66">
        <f>'P10'!J$26</f>
        <v>0</v>
      </c>
      <c r="DH13" s="66">
        <f>'P10'!K$26</f>
        <v>0</v>
      </c>
      <c r="DI13" s="66">
        <f>'P10'!L$26</f>
        <v>0</v>
      </c>
      <c r="DJ13" s="66">
        <f>'P10'!M$26</f>
        <v>0</v>
      </c>
      <c r="DK13" s="66">
        <f>'P10'!N$26</f>
        <v>0</v>
      </c>
      <c r="DL13" s="66">
        <f>'P10'!O$26</f>
        <v>0</v>
      </c>
      <c r="DM13" s="66">
        <f>'P10'!P$26</f>
        <v>0</v>
      </c>
      <c r="DN13" s="66">
        <f>'P10'!Q$26</f>
        <v>0</v>
      </c>
      <c r="DO13" s="66">
        <f>'P10'!R$26</f>
        <v>0</v>
      </c>
      <c r="DP13" s="66">
        <f>'P10'!S$26</f>
        <v>0</v>
      </c>
      <c r="DQ13" s="66">
        <f>'P10'!T$26</f>
        <v>0</v>
      </c>
      <c r="DR13" s="66">
        <f>'P10'!U$26</f>
        <v>0</v>
      </c>
      <c r="DS13" s="66">
        <f>'P10'!V$26</f>
        <v>0</v>
      </c>
      <c r="DT13" s="66">
        <f>'P10'!W$26</f>
        <v>0</v>
      </c>
      <c r="DU13" s="66">
        <f>'P10'!X$26</f>
        <v>0</v>
      </c>
      <c r="DV13" s="66">
        <f>'P10'!Y$26</f>
        <v>0</v>
      </c>
      <c r="DW13" s="66">
        <f>'P10'!Z$26</f>
        <v>0</v>
      </c>
      <c r="DX13" s="66">
        <f>'P10'!AA$26</f>
        <v>0</v>
      </c>
      <c r="DY13" s="66">
        <f>'P10'!AB$26</f>
        <v>0</v>
      </c>
      <c r="DZ13" s="66">
        <f>'P10'!AC$26</f>
        <v>0</v>
      </c>
      <c r="EA13" s="66">
        <f>'P10'!AD$26</f>
        <v>0</v>
      </c>
      <c r="EB13" s="66">
        <f>'P10'!AE$26</f>
        <v>0</v>
      </c>
      <c r="EC13" s="66">
        <f>'P10'!AF$26</f>
        <v>0</v>
      </c>
      <c r="ED13" s="66">
        <f>'P10'!AG$26</f>
        <v>0</v>
      </c>
      <c r="EE13" s="66">
        <f>'P10'!AH$26</f>
        <v>0</v>
      </c>
      <c r="EF13" s="66">
        <f>'P10'!AI$26</f>
        <v>0</v>
      </c>
      <c r="EG13" s="66">
        <f>'P10'!AJ$26</f>
        <v>0</v>
      </c>
      <c r="EH13" s="66">
        <f>'P10'!AK$26</f>
        <v>0</v>
      </c>
      <c r="EI13" s="66">
        <f>'P10'!AL$26</f>
        <v>0</v>
      </c>
      <c r="EJ13" s="66">
        <f>'P10'!AM$26</f>
        <v>0</v>
      </c>
      <c r="EK13" s="66">
        <f>'P10'!AN$26</f>
        <v>0</v>
      </c>
      <c r="EL13" s="66">
        <f>'P10'!AO$26</f>
        <v>0</v>
      </c>
      <c r="EM13" s="66">
        <f>'P10'!AP$26</f>
        <v>0</v>
      </c>
      <c r="EN13" s="66">
        <f>'P10'!AQ$26</f>
        <v>0</v>
      </c>
      <c r="EO13" s="66">
        <f>'P10'!AR$26</f>
        <v>0</v>
      </c>
      <c r="EP13" s="66">
        <f>'P10'!AS$26</f>
        <v>0</v>
      </c>
      <c r="EQ13" s="66">
        <f>'P10'!AT$26</f>
        <v>0</v>
      </c>
      <c r="ER13" s="66">
        <f>'P10'!AU$26</f>
        <v>0</v>
      </c>
      <c r="ES13" s="66">
        <f>'P10'!AV$26</f>
        <v>0</v>
      </c>
      <c r="ET13" s="66">
        <f>'P10'!AW$26</f>
        <v>0</v>
      </c>
      <c r="EU13" s="66">
        <f>'P10'!AX$26</f>
        <v>0</v>
      </c>
      <c r="EV13" s="66">
        <f>'P10'!AY$26</f>
        <v>0</v>
      </c>
      <c r="EW13" s="66">
        <f>'P10'!AZ$26</f>
        <v>0</v>
      </c>
      <c r="EX13" s="66">
        <f>'P10'!BA$26</f>
        <v>0</v>
      </c>
      <c r="EY13" s="66">
        <f>'P10'!BB$26</f>
        <v>0</v>
      </c>
      <c r="EZ13" s="66">
        <f>'P10'!BC$26</f>
        <v>0</v>
      </c>
      <c r="FA13" s="66">
        <f>'P10'!BD$26</f>
        <v>0</v>
      </c>
      <c r="FB13" s="66">
        <f>'P10'!BE$26</f>
        <v>0</v>
      </c>
      <c r="FC13" s="66">
        <f>'P10'!F$27</f>
        <v>0</v>
      </c>
      <c r="FD13" s="66">
        <f>'P10'!G$27</f>
        <v>0</v>
      </c>
      <c r="FE13" s="66">
        <f>'P10'!H$27</f>
        <v>0</v>
      </c>
      <c r="FF13" s="66">
        <f>'P10'!I$27</f>
        <v>0</v>
      </c>
      <c r="FG13" s="66">
        <f>'P10'!J$27</f>
        <v>0</v>
      </c>
      <c r="FH13" s="66">
        <f>'P10'!K$27</f>
        <v>0</v>
      </c>
      <c r="FI13" s="66">
        <f>'P10'!L$27</f>
        <v>0</v>
      </c>
      <c r="FJ13" s="66">
        <f>'P10'!M$27</f>
        <v>0</v>
      </c>
      <c r="FK13" s="66">
        <f>'P10'!N$27</f>
        <v>0</v>
      </c>
      <c r="FL13" s="66">
        <f>'P10'!O$27</f>
        <v>0</v>
      </c>
      <c r="FM13" s="66">
        <f>'P10'!P$27</f>
        <v>0</v>
      </c>
      <c r="FN13" s="66">
        <f>'P10'!Q$27</f>
        <v>0</v>
      </c>
      <c r="FO13" s="66">
        <f>'P10'!R$27</f>
        <v>0</v>
      </c>
      <c r="FP13" s="66">
        <f>'P10'!S$27</f>
        <v>0</v>
      </c>
      <c r="FQ13" s="66">
        <f>'P10'!T$27</f>
        <v>0</v>
      </c>
      <c r="FR13" s="66">
        <f>'P10'!U$27</f>
        <v>0</v>
      </c>
      <c r="FS13" s="66">
        <f>'P10'!V$27</f>
        <v>0</v>
      </c>
      <c r="FT13" s="66">
        <f>'P10'!W$27</f>
        <v>0</v>
      </c>
      <c r="FU13" s="66">
        <f>'P10'!X$27</f>
        <v>0</v>
      </c>
      <c r="FV13" s="66">
        <f>'P10'!Y$27</f>
        <v>0</v>
      </c>
      <c r="FW13" s="66">
        <f>'P10'!Z$27</f>
        <v>0</v>
      </c>
      <c r="FX13" s="66">
        <f>'P10'!AA$27</f>
        <v>0</v>
      </c>
      <c r="FY13" s="66">
        <f>'P10'!AB$27</f>
        <v>0</v>
      </c>
      <c r="FZ13" s="66">
        <f>'P10'!AC$27</f>
        <v>0</v>
      </c>
      <c r="GA13" s="66">
        <f>'P10'!AD$27</f>
        <v>0</v>
      </c>
      <c r="GB13" s="66">
        <f>'P10'!AE$27</f>
        <v>0</v>
      </c>
      <c r="GC13" s="66">
        <f>'P10'!AF$27</f>
        <v>0</v>
      </c>
      <c r="GD13" s="66">
        <f>'P10'!AG$27</f>
        <v>0</v>
      </c>
      <c r="GE13" s="66">
        <f>'P10'!AH$27</f>
        <v>0</v>
      </c>
      <c r="GF13" s="66">
        <f>'P10'!AI$27</f>
        <v>0</v>
      </c>
      <c r="GG13" s="66">
        <f>'P10'!AJ$27</f>
        <v>0</v>
      </c>
      <c r="GH13" s="66">
        <f>'P10'!AK$27</f>
        <v>0</v>
      </c>
      <c r="GI13" s="66">
        <f>'P10'!AL$27</f>
        <v>0</v>
      </c>
      <c r="GJ13" s="66">
        <f>'P10'!AM$27</f>
        <v>0</v>
      </c>
      <c r="GK13" s="66">
        <f>'P10'!AN$27</f>
        <v>0</v>
      </c>
      <c r="GL13" s="66">
        <f>'P10'!AO$27</f>
        <v>0</v>
      </c>
      <c r="GM13" s="66">
        <f>'P10'!AP$27</f>
        <v>0</v>
      </c>
      <c r="GN13" s="66">
        <f>'P10'!AQ$27</f>
        <v>0</v>
      </c>
      <c r="GO13" s="66">
        <f>'P10'!AR$27</f>
        <v>0</v>
      </c>
      <c r="GP13" s="66">
        <f>'P10'!AS$27</f>
        <v>0</v>
      </c>
      <c r="GQ13" s="66">
        <f>'P10'!AT$27</f>
        <v>0</v>
      </c>
      <c r="GR13" s="66">
        <f>'P10'!AU$27</f>
        <v>0</v>
      </c>
      <c r="GS13" s="66">
        <f>'P10'!AV$27</f>
        <v>0</v>
      </c>
      <c r="GT13" s="66">
        <f>'P10'!AW$27</f>
        <v>0</v>
      </c>
      <c r="GU13" s="66">
        <f>'P10'!AX$27</f>
        <v>0</v>
      </c>
      <c r="GV13" s="66">
        <f>'P10'!AY$27</f>
        <v>0</v>
      </c>
      <c r="GW13" s="66">
        <f>'P10'!AZ$27</f>
        <v>0</v>
      </c>
      <c r="GX13" s="66">
        <f>'P10'!BA$27</f>
        <v>0</v>
      </c>
      <c r="GY13" s="66">
        <f>'P10'!BB$27</f>
        <v>0</v>
      </c>
      <c r="GZ13" s="66">
        <f>'P10'!BC$27</f>
        <v>0</v>
      </c>
      <c r="HA13" s="66">
        <f>'P10'!BD$27</f>
        <v>0</v>
      </c>
      <c r="HB13" s="66">
        <f>'P10'!BE$27</f>
        <v>0</v>
      </c>
      <c r="HC13" s="66">
        <f>'P10'!F$29</f>
        <v>0</v>
      </c>
      <c r="HD13" s="66">
        <f>'P10'!G$29</f>
        <v>0</v>
      </c>
      <c r="HE13" s="66">
        <f>'P10'!H$29</f>
        <v>0</v>
      </c>
      <c r="HF13" s="66">
        <f>'P10'!I$29</f>
        <v>0</v>
      </c>
      <c r="HG13" s="66">
        <f>'P10'!J$29</f>
        <v>0</v>
      </c>
      <c r="HH13" s="66">
        <f>'P10'!K$29</f>
        <v>0</v>
      </c>
      <c r="HI13" s="66">
        <f>'P10'!L$29</f>
        <v>0</v>
      </c>
      <c r="HJ13" s="66">
        <f>'P10'!M$29</f>
        <v>0</v>
      </c>
      <c r="HK13" s="66">
        <f>'P10'!N$29</f>
        <v>0</v>
      </c>
      <c r="HL13" s="66">
        <f>'P10'!O$29</f>
        <v>0</v>
      </c>
      <c r="HM13" s="66">
        <f>'P10'!P$29</f>
        <v>0</v>
      </c>
      <c r="HN13" s="66">
        <f>'P10'!Q$29</f>
        <v>0</v>
      </c>
      <c r="HO13" s="66">
        <f>'P10'!R$29</f>
        <v>0</v>
      </c>
      <c r="HP13" s="66">
        <f>'P10'!S$29</f>
        <v>0</v>
      </c>
      <c r="HQ13" s="66">
        <f>'P10'!T$29</f>
        <v>0</v>
      </c>
      <c r="HR13" s="66">
        <f>'P10'!U$29</f>
        <v>0</v>
      </c>
      <c r="HS13" s="66">
        <f>'P10'!V$29</f>
        <v>0</v>
      </c>
      <c r="HT13" s="66">
        <f>'P10'!W$29</f>
        <v>0</v>
      </c>
      <c r="HU13" s="66">
        <f>'P10'!X$29</f>
        <v>0</v>
      </c>
      <c r="HV13" s="66">
        <f>'P10'!Y$29</f>
        <v>0</v>
      </c>
      <c r="HW13" s="66">
        <f>'P10'!Z$29</f>
        <v>0</v>
      </c>
      <c r="HX13" s="66">
        <f>'P10'!AA$29</f>
        <v>0</v>
      </c>
      <c r="HY13" s="66">
        <f>'P10'!AB$29</f>
        <v>0</v>
      </c>
      <c r="HZ13" s="66">
        <f>'P10'!AC$29</f>
        <v>0</v>
      </c>
      <c r="IA13" s="66">
        <f>'P10'!AD$29</f>
        <v>0</v>
      </c>
      <c r="IB13" s="66">
        <f>'P10'!AE$29</f>
        <v>0</v>
      </c>
      <c r="IC13" s="66">
        <f>'P10'!AF$29</f>
        <v>0</v>
      </c>
      <c r="ID13" s="66">
        <f>'P10'!AG$29</f>
        <v>0</v>
      </c>
      <c r="IE13" s="66">
        <f>'P10'!AH$29</f>
        <v>0</v>
      </c>
      <c r="IF13" s="66">
        <f>'P10'!AI$29</f>
        <v>0</v>
      </c>
      <c r="IG13" s="66">
        <f>'P10'!AJ$29</f>
        <v>0</v>
      </c>
      <c r="IH13" s="66">
        <f>'P10'!AK$29</f>
        <v>0</v>
      </c>
      <c r="II13" s="66">
        <f>'P10'!AL$29</f>
        <v>0</v>
      </c>
      <c r="IJ13" s="66">
        <f>'P10'!AM$29</f>
        <v>0</v>
      </c>
      <c r="IK13" s="66">
        <f>'P10'!AN$29</f>
        <v>0</v>
      </c>
      <c r="IL13" s="66">
        <f>'P10'!AO$29</f>
        <v>0</v>
      </c>
      <c r="IM13" s="66">
        <f>'P10'!AP$29</f>
        <v>0</v>
      </c>
      <c r="IN13" s="66">
        <f>'P10'!AQ$29</f>
        <v>0</v>
      </c>
      <c r="IO13" s="66">
        <f>'P10'!AR$29</f>
        <v>0</v>
      </c>
      <c r="IP13" s="66">
        <f>'P10'!AS$29</f>
        <v>0</v>
      </c>
      <c r="IQ13" s="66">
        <f>'P10'!AT$29</f>
        <v>0</v>
      </c>
      <c r="IR13" s="66">
        <f>'P10'!AU$29</f>
        <v>0</v>
      </c>
      <c r="IS13" s="66">
        <f>'P10'!AV$29</f>
        <v>0</v>
      </c>
      <c r="IT13" s="66">
        <f>'P10'!AW$29</f>
        <v>0</v>
      </c>
      <c r="IU13" s="66">
        <f>'P10'!AX$29</f>
        <v>0</v>
      </c>
      <c r="IV13" s="66">
        <f>'P10'!AY$29</f>
        <v>0</v>
      </c>
      <c r="IW13" s="66">
        <f>'P10'!AZ$29</f>
        <v>0</v>
      </c>
      <c r="IX13" s="66">
        <f>'P10'!BA$29</f>
        <v>0</v>
      </c>
      <c r="IY13" s="66">
        <f>'P10'!BB$29</f>
        <v>0</v>
      </c>
      <c r="IZ13" s="66">
        <f>'P10'!BC$29</f>
        <v>0</v>
      </c>
      <c r="JA13" s="66">
        <f>'P10'!BD$29</f>
        <v>0</v>
      </c>
      <c r="JB13" s="66">
        <f>'P10'!BE$29</f>
        <v>0</v>
      </c>
      <c r="JC13" s="66">
        <f>'P10'!F$30</f>
        <v>0</v>
      </c>
      <c r="JD13" s="66">
        <f>'P10'!G$30</f>
        <v>0</v>
      </c>
      <c r="JE13" s="66">
        <f>'P10'!H$30</f>
        <v>0</v>
      </c>
      <c r="JF13" s="66">
        <f>'P10'!I$30</f>
        <v>0</v>
      </c>
      <c r="JG13" s="66">
        <f>'P10'!J$30</f>
        <v>0</v>
      </c>
      <c r="JH13" s="66">
        <f>'P10'!K$30</f>
        <v>0</v>
      </c>
      <c r="JI13" s="66">
        <f>'P10'!L$30</f>
        <v>0</v>
      </c>
      <c r="JJ13" s="66">
        <f>'P10'!M$30</f>
        <v>0</v>
      </c>
      <c r="JK13" s="66">
        <f>'P10'!N$30</f>
        <v>0</v>
      </c>
      <c r="JL13" s="66">
        <f>'P10'!O$30</f>
        <v>0</v>
      </c>
      <c r="JM13" s="66">
        <f>'P10'!P$30</f>
        <v>0</v>
      </c>
      <c r="JN13" s="66">
        <f>'P10'!Q$30</f>
        <v>0</v>
      </c>
      <c r="JO13" s="66">
        <f>'P10'!R$30</f>
        <v>0</v>
      </c>
      <c r="JP13" s="66">
        <f>'P10'!S$30</f>
        <v>0</v>
      </c>
      <c r="JQ13" s="66">
        <f>'P10'!T$30</f>
        <v>0</v>
      </c>
      <c r="JR13" s="66">
        <f>'P10'!U$30</f>
        <v>0</v>
      </c>
      <c r="JS13" s="66">
        <f>'P10'!V$30</f>
        <v>0</v>
      </c>
      <c r="JT13" s="66">
        <f>'P10'!W$30</f>
        <v>0</v>
      </c>
      <c r="JU13" s="66">
        <f>'P10'!X$30</f>
        <v>0</v>
      </c>
      <c r="JV13" s="66">
        <f>'P10'!Y$30</f>
        <v>0</v>
      </c>
      <c r="JW13" s="66">
        <f>'P10'!Z$30</f>
        <v>0</v>
      </c>
      <c r="JX13" s="66">
        <f>'P10'!AA$30</f>
        <v>0</v>
      </c>
      <c r="JY13" s="66">
        <f>'P10'!AB$30</f>
        <v>0</v>
      </c>
      <c r="JZ13" s="66">
        <f>'P10'!AC$30</f>
        <v>0</v>
      </c>
      <c r="KA13" s="66">
        <f>'P10'!AD$30</f>
        <v>0</v>
      </c>
      <c r="KB13" s="66">
        <f>'P10'!AE$30</f>
        <v>0</v>
      </c>
      <c r="KC13" s="66">
        <f>'P10'!AF$30</f>
        <v>0</v>
      </c>
      <c r="KD13" s="66">
        <f>'P10'!AG$30</f>
        <v>0</v>
      </c>
      <c r="KE13" s="66">
        <f>'P10'!AH$30</f>
        <v>0</v>
      </c>
      <c r="KF13" s="66">
        <f>'P10'!AI$30</f>
        <v>0</v>
      </c>
      <c r="KG13" s="66">
        <f>'P10'!AJ$30</f>
        <v>0</v>
      </c>
      <c r="KH13" s="66">
        <f>'P10'!AK$30</f>
        <v>0</v>
      </c>
      <c r="KI13" s="66">
        <f>'P10'!AL$30</f>
        <v>0</v>
      </c>
      <c r="KJ13" s="66">
        <f>'P10'!AM$30</f>
        <v>0</v>
      </c>
      <c r="KK13" s="66">
        <f>'P10'!AN$30</f>
        <v>0</v>
      </c>
      <c r="KL13" s="66">
        <f>'P10'!AO$30</f>
        <v>0</v>
      </c>
      <c r="KM13" s="66">
        <f>'P10'!AP$30</f>
        <v>0</v>
      </c>
      <c r="KN13" s="66">
        <f>'P10'!AQ$30</f>
        <v>0</v>
      </c>
      <c r="KO13" s="66">
        <f>'P10'!AR$30</f>
        <v>0</v>
      </c>
      <c r="KP13" s="66">
        <f>'P10'!AS$30</f>
        <v>0</v>
      </c>
      <c r="KQ13" s="66">
        <f>'P10'!AT$30</f>
        <v>0</v>
      </c>
      <c r="KR13" s="66">
        <f>'P10'!AU$30</f>
        <v>0</v>
      </c>
      <c r="KS13" s="66">
        <f>'P10'!AV$30</f>
        <v>0</v>
      </c>
      <c r="KT13" s="66">
        <f>'P10'!AW$30</f>
        <v>0</v>
      </c>
      <c r="KU13" s="66">
        <f>'P10'!AX$30</f>
        <v>0</v>
      </c>
      <c r="KV13" s="66">
        <f>'P10'!AY$30</f>
        <v>0</v>
      </c>
      <c r="KW13" s="66">
        <f>'P10'!AZ$30</f>
        <v>0</v>
      </c>
      <c r="KX13" s="66">
        <f>'P10'!BA$30</f>
        <v>0</v>
      </c>
      <c r="KY13" s="66">
        <f>'P10'!BB$30</f>
        <v>0</v>
      </c>
      <c r="KZ13" s="66">
        <f>'P10'!BC$30</f>
        <v>0</v>
      </c>
      <c r="LA13" s="66">
        <f>'P10'!BD$30</f>
        <v>0</v>
      </c>
      <c r="LB13" s="66">
        <f>'P10'!BE$30</f>
        <v>0</v>
      </c>
      <c r="LC13" s="66">
        <f>'P10'!F$31</f>
        <v>0</v>
      </c>
      <c r="LD13" s="66">
        <f>'P10'!G$31</f>
        <v>0</v>
      </c>
      <c r="LE13" s="66">
        <f>'P10'!H$31</f>
        <v>0</v>
      </c>
      <c r="LF13" s="66">
        <f>'P10'!I$31</f>
        <v>0</v>
      </c>
      <c r="LG13" s="66">
        <f>'P10'!J$31</f>
        <v>0</v>
      </c>
      <c r="LH13" s="66">
        <f>'P10'!K$31</f>
        <v>0</v>
      </c>
      <c r="LI13" s="66">
        <f>'P10'!L$31</f>
        <v>0</v>
      </c>
      <c r="LJ13" s="66">
        <f>'P10'!M$31</f>
        <v>0</v>
      </c>
      <c r="LK13" s="66">
        <f>'P10'!N$31</f>
        <v>0</v>
      </c>
      <c r="LL13" s="66">
        <f>'P10'!O$31</f>
        <v>0</v>
      </c>
      <c r="LM13" s="66">
        <f>'P10'!P$31</f>
        <v>0</v>
      </c>
      <c r="LN13" s="66">
        <f>'P10'!Q$31</f>
        <v>0</v>
      </c>
      <c r="LO13" s="66">
        <f>'P10'!R$31</f>
        <v>0</v>
      </c>
      <c r="LP13" s="66">
        <f>'P10'!S$31</f>
        <v>0</v>
      </c>
      <c r="LQ13" s="66">
        <f>'P10'!T$31</f>
        <v>0</v>
      </c>
      <c r="LR13" s="66">
        <f>'P10'!U$31</f>
        <v>0</v>
      </c>
      <c r="LS13" s="66">
        <f>'P10'!V$31</f>
        <v>0</v>
      </c>
      <c r="LT13" s="66">
        <f>'P10'!W$31</f>
        <v>0</v>
      </c>
      <c r="LU13" s="66">
        <f>'P10'!X$31</f>
        <v>0</v>
      </c>
      <c r="LV13" s="66">
        <f>'P10'!Y$31</f>
        <v>0</v>
      </c>
      <c r="LW13" s="66">
        <f>'P10'!Z$31</f>
        <v>0</v>
      </c>
      <c r="LX13" s="66">
        <f>'P10'!AA$31</f>
        <v>0</v>
      </c>
      <c r="LY13" s="66">
        <f>'P10'!AB$31</f>
        <v>0</v>
      </c>
      <c r="LZ13" s="66">
        <f>'P10'!AC$31</f>
        <v>0</v>
      </c>
      <c r="MA13" s="66">
        <f>'P10'!AD$31</f>
        <v>0</v>
      </c>
      <c r="MB13" s="66">
        <f>'P10'!AE$31</f>
        <v>0</v>
      </c>
      <c r="MC13" s="66">
        <f>'P10'!AF$31</f>
        <v>0</v>
      </c>
      <c r="MD13" s="66">
        <f>'P10'!AG$31</f>
        <v>0</v>
      </c>
      <c r="ME13" s="66">
        <f>'P10'!AH$31</f>
        <v>0</v>
      </c>
      <c r="MF13" s="66">
        <f>'P10'!AI$31</f>
        <v>0</v>
      </c>
      <c r="MG13" s="66">
        <f>'P10'!AJ$31</f>
        <v>0</v>
      </c>
      <c r="MH13" s="66">
        <f>'P10'!AK$31</f>
        <v>0</v>
      </c>
      <c r="MI13" s="66">
        <f>'P10'!AL$31</f>
        <v>0</v>
      </c>
      <c r="MJ13" s="66">
        <f>'P10'!AM$31</f>
        <v>0</v>
      </c>
      <c r="MK13" s="66">
        <f>'P10'!AN$31</f>
        <v>0</v>
      </c>
      <c r="ML13" s="66">
        <f>'P10'!AO$31</f>
        <v>0</v>
      </c>
      <c r="MM13" s="66">
        <f>'P10'!AP$31</f>
        <v>0</v>
      </c>
      <c r="MN13" s="66">
        <f>'P10'!AQ$31</f>
        <v>0</v>
      </c>
      <c r="MO13" s="66">
        <f>'P10'!AR$31</f>
        <v>0</v>
      </c>
      <c r="MP13" s="66">
        <f>'P10'!AS$31</f>
        <v>0</v>
      </c>
      <c r="MQ13" s="66">
        <f>'P10'!AT$31</f>
        <v>0</v>
      </c>
      <c r="MR13" s="66">
        <f>'P10'!AU$31</f>
        <v>0</v>
      </c>
      <c r="MS13" s="66">
        <f>'P10'!AV$31</f>
        <v>0</v>
      </c>
      <c r="MT13" s="66">
        <f>'P10'!AW$31</f>
        <v>0</v>
      </c>
      <c r="MU13" s="66">
        <f>'P10'!AX$31</f>
        <v>0</v>
      </c>
      <c r="MV13" s="66">
        <f>'P10'!AY$31</f>
        <v>0</v>
      </c>
      <c r="MW13" s="66">
        <f>'P10'!AZ$31</f>
        <v>0</v>
      </c>
      <c r="MX13" s="66">
        <f>'P10'!BA$31</f>
        <v>0</v>
      </c>
      <c r="MY13" s="66">
        <f>'P10'!BB$31</f>
        <v>0</v>
      </c>
      <c r="MZ13" s="66">
        <f>'P10'!BC$31</f>
        <v>0</v>
      </c>
      <c r="NA13" s="66">
        <f>'P10'!BD$31</f>
        <v>0</v>
      </c>
      <c r="NB13" s="66">
        <f>'P10'!BE$31</f>
        <v>0</v>
      </c>
      <c r="NC13" s="66">
        <f>'P10'!F$33</f>
        <v>0</v>
      </c>
      <c r="ND13" s="66">
        <f>'P10'!G$33</f>
        <v>0</v>
      </c>
      <c r="NE13" s="66">
        <f>'P10'!H$33</f>
        <v>0</v>
      </c>
      <c r="NF13" s="66">
        <f>'P10'!I$33</f>
        <v>0</v>
      </c>
      <c r="NG13" s="66">
        <f>'P10'!J$33</f>
        <v>0</v>
      </c>
      <c r="NH13" s="66">
        <f>'P10'!K$33</f>
        <v>0</v>
      </c>
      <c r="NI13" s="66">
        <f>'P10'!L$33</f>
        <v>0</v>
      </c>
      <c r="NJ13" s="66">
        <f>'P10'!M$33</f>
        <v>0</v>
      </c>
      <c r="NK13" s="66">
        <f>'P10'!N$33</f>
        <v>0</v>
      </c>
      <c r="NL13" s="66">
        <f>'P10'!O$33</f>
        <v>0</v>
      </c>
      <c r="NM13" s="66">
        <f>'P10'!P$33</f>
        <v>0</v>
      </c>
      <c r="NN13" s="66">
        <f>'P10'!Q$33</f>
        <v>0</v>
      </c>
      <c r="NO13" s="66">
        <f>'P10'!R$33</f>
        <v>0</v>
      </c>
      <c r="NP13" s="66">
        <f>'P10'!S$33</f>
        <v>0</v>
      </c>
      <c r="NQ13" s="66">
        <f>'P10'!T$33</f>
        <v>0</v>
      </c>
      <c r="NR13" s="66">
        <f>'P10'!U$33</f>
        <v>0</v>
      </c>
      <c r="NS13" s="66">
        <f>'P10'!V$33</f>
        <v>0</v>
      </c>
      <c r="NT13" s="66">
        <f>'P10'!W$33</f>
        <v>0</v>
      </c>
      <c r="NU13" s="66">
        <f>'P10'!X$33</f>
        <v>0</v>
      </c>
      <c r="NV13" s="66">
        <f>'P10'!Y$33</f>
        <v>0</v>
      </c>
      <c r="NW13" s="66">
        <f>'P10'!Z$33</f>
        <v>0</v>
      </c>
      <c r="NX13" s="66">
        <f>'P10'!AA$33</f>
        <v>0</v>
      </c>
      <c r="NY13" s="66">
        <f>'P10'!AB$33</f>
        <v>0</v>
      </c>
      <c r="NZ13" s="66">
        <f>'P10'!AC$33</f>
        <v>0</v>
      </c>
      <c r="OA13" s="66">
        <f>'P10'!AD$33</f>
        <v>0</v>
      </c>
      <c r="OB13" s="66">
        <f>'P10'!AE$33</f>
        <v>0</v>
      </c>
      <c r="OC13" s="66">
        <f>'P10'!AF$33</f>
        <v>0</v>
      </c>
      <c r="OD13" s="66">
        <f>'P10'!AG$33</f>
        <v>0</v>
      </c>
      <c r="OE13" s="66">
        <f>'P10'!AH$33</f>
        <v>0</v>
      </c>
      <c r="OF13" s="66">
        <f>'P10'!AI$33</f>
        <v>0</v>
      </c>
      <c r="OG13" s="66">
        <f>'P10'!AJ$33</f>
        <v>0</v>
      </c>
      <c r="OH13" s="66">
        <f>'P10'!AK$33</f>
        <v>0</v>
      </c>
      <c r="OI13" s="66">
        <f>'P10'!AL$33</f>
        <v>0</v>
      </c>
      <c r="OJ13" s="66">
        <f>'P10'!AM$33</f>
        <v>0</v>
      </c>
      <c r="OK13" s="66">
        <f>'P10'!AN$33</f>
        <v>0</v>
      </c>
      <c r="OL13" s="66">
        <f>'P10'!AO$33</f>
        <v>0</v>
      </c>
      <c r="OM13" s="66">
        <f>'P10'!AP$33</f>
        <v>0</v>
      </c>
      <c r="ON13" s="66">
        <f>'P10'!AQ$33</f>
        <v>0</v>
      </c>
      <c r="OO13" s="66">
        <f>'P10'!AR$33</f>
        <v>0</v>
      </c>
      <c r="OP13" s="66">
        <f>'P10'!AS$33</f>
        <v>0</v>
      </c>
      <c r="OQ13" s="66">
        <f>'P10'!AT$33</f>
        <v>0</v>
      </c>
      <c r="OR13" s="66">
        <f>'P10'!AU$33</f>
        <v>0</v>
      </c>
      <c r="OS13" s="66">
        <f>'P10'!AV$33</f>
        <v>0</v>
      </c>
      <c r="OT13" s="66">
        <f>'P10'!AW$33</f>
        <v>0</v>
      </c>
      <c r="OU13" s="66">
        <f>'P10'!AX$33</f>
        <v>0</v>
      </c>
      <c r="OV13" s="66">
        <f>'P10'!AY$33</f>
        <v>0</v>
      </c>
      <c r="OW13" s="66">
        <f>'P10'!AZ$33</f>
        <v>0</v>
      </c>
      <c r="OX13" s="66">
        <f>'P10'!BA$33</f>
        <v>0</v>
      </c>
      <c r="OY13" s="66">
        <f>'P10'!BB$33</f>
        <v>0</v>
      </c>
      <c r="OZ13" s="66">
        <f>'P10'!BC$33</f>
        <v>0</v>
      </c>
      <c r="PA13" s="66">
        <f>'P10'!BD$33</f>
        <v>0</v>
      </c>
      <c r="PB13" s="66">
        <f>'P10'!BE$33</f>
        <v>0</v>
      </c>
      <c r="PC13" s="66">
        <f>'P10'!F$34</f>
        <v>0</v>
      </c>
      <c r="PD13" s="66">
        <f>'P10'!G$34</f>
        <v>0</v>
      </c>
      <c r="PE13" s="66">
        <f>'P10'!H$34</f>
        <v>0</v>
      </c>
      <c r="PF13" s="66">
        <f>'P10'!I$34</f>
        <v>0</v>
      </c>
      <c r="PG13" s="66">
        <f>'P10'!J$34</f>
        <v>0</v>
      </c>
      <c r="PH13" s="66">
        <f>'P10'!K$34</f>
        <v>0</v>
      </c>
      <c r="PI13" s="66">
        <f>'P10'!L$34</f>
        <v>0</v>
      </c>
      <c r="PJ13" s="66">
        <f>'P10'!M$34</f>
        <v>0</v>
      </c>
      <c r="PK13" s="66">
        <f>'P10'!N$34</f>
        <v>0</v>
      </c>
      <c r="PL13" s="66">
        <f>'P10'!O$34</f>
        <v>0</v>
      </c>
      <c r="PM13" s="66">
        <f>'P10'!P$34</f>
        <v>0</v>
      </c>
      <c r="PN13" s="66">
        <f>'P10'!Q$34</f>
        <v>0</v>
      </c>
      <c r="PO13" s="66">
        <f>'P10'!R$34</f>
        <v>0</v>
      </c>
      <c r="PP13" s="66">
        <f>'P10'!S$34</f>
        <v>0</v>
      </c>
      <c r="PQ13" s="66">
        <f>'P10'!T$34</f>
        <v>0</v>
      </c>
      <c r="PR13" s="66">
        <f>'P10'!U$34</f>
        <v>0</v>
      </c>
      <c r="PS13" s="66">
        <f>'P10'!V$34</f>
        <v>0</v>
      </c>
      <c r="PT13" s="66">
        <f>'P10'!W$34</f>
        <v>0</v>
      </c>
      <c r="PU13" s="66">
        <f>'P10'!X$34</f>
        <v>0</v>
      </c>
      <c r="PV13" s="66">
        <f>'P10'!Y$34</f>
        <v>0</v>
      </c>
      <c r="PW13" s="66">
        <f>'P10'!Z$34</f>
        <v>0</v>
      </c>
      <c r="PX13" s="66">
        <f>'P10'!AA$34</f>
        <v>0</v>
      </c>
      <c r="PY13" s="66">
        <f>'P10'!AB$34</f>
        <v>0</v>
      </c>
      <c r="PZ13" s="66">
        <f>'P10'!AC$34</f>
        <v>0</v>
      </c>
      <c r="QA13" s="66">
        <f>'P10'!AD$34</f>
        <v>0</v>
      </c>
      <c r="QB13" s="66">
        <f>'P10'!AE$34</f>
        <v>0</v>
      </c>
      <c r="QC13" s="66">
        <f>'P10'!AF$34</f>
        <v>0</v>
      </c>
      <c r="QD13" s="66">
        <f>'P10'!AG$34</f>
        <v>0</v>
      </c>
      <c r="QE13" s="66">
        <f>'P10'!AH$34</f>
        <v>0</v>
      </c>
      <c r="QF13" s="66">
        <f>'P10'!AI$34</f>
        <v>0</v>
      </c>
      <c r="QG13" s="66">
        <f>'P10'!AJ$34</f>
        <v>0</v>
      </c>
      <c r="QH13" s="66">
        <f>'P10'!AK$34</f>
        <v>0</v>
      </c>
      <c r="QI13" s="66">
        <f>'P10'!AL$34</f>
        <v>0</v>
      </c>
      <c r="QJ13" s="66">
        <f>'P10'!AM$34</f>
        <v>0</v>
      </c>
      <c r="QK13" s="66">
        <f>'P10'!AN$34</f>
        <v>0</v>
      </c>
      <c r="QL13" s="66">
        <f>'P10'!AO$34</f>
        <v>0</v>
      </c>
      <c r="QM13" s="66">
        <f>'P10'!AP$34</f>
        <v>0</v>
      </c>
      <c r="QN13" s="66">
        <f>'P10'!AQ$34</f>
        <v>0</v>
      </c>
      <c r="QO13" s="66">
        <f>'P10'!AR$34</f>
        <v>0</v>
      </c>
      <c r="QP13" s="66">
        <f>'P10'!AS$34</f>
        <v>0</v>
      </c>
      <c r="QQ13" s="66">
        <f>'P10'!AT$34</f>
        <v>0</v>
      </c>
      <c r="QR13" s="66">
        <f>'P10'!AU$34</f>
        <v>0</v>
      </c>
      <c r="QS13" s="66">
        <f>'P10'!AV$34</f>
        <v>0</v>
      </c>
      <c r="QT13" s="66">
        <f>'P10'!AW$34</f>
        <v>0</v>
      </c>
      <c r="QU13" s="66">
        <f>'P10'!AX$34</f>
        <v>0</v>
      </c>
      <c r="QV13" s="66">
        <f>'P10'!AY$34</f>
        <v>0</v>
      </c>
      <c r="QW13" s="66">
        <f>'P10'!AZ$34</f>
        <v>0</v>
      </c>
      <c r="QX13" s="66">
        <f>'P10'!BA$34</f>
        <v>0</v>
      </c>
      <c r="QY13" s="66">
        <f>'P10'!BB$34</f>
        <v>0</v>
      </c>
      <c r="QZ13" s="66">
        <f>'P10'!BC$34</f>
        <v>0</v>
      </c>
      <c r="RA13" s="66">
        <f>'P10'!BD$34</f>
        <v>0</v>
      </c>
      <c r="RB13" s="66">
        <f>'P10'!BE$34</f>
        <v>0</v>
      </c>
      <c r="RC13" s="66">
        <f>'P10'!F$35</f>
        <v>0</v>
      </c>
      <c r="RD13" s="66">
        <f>'P10'!G$35</f>
        <v>0</v>
      </c>
      <c r="RE13" s="66">
        <f>'P10'!H$35</f>
        <v>0</v>
      </c>
      <c r="RF13" s="66">
        <f>'P10'!I$35</f>
        <v>0</v>
      </c>
      <c r="RG13" s="66">
        <f>'P10'!J$35</f>
        <v>0</v>
      </c>
      <c r="RH13" s="66">
        <f>'P10'!K$35</f>
        <v>0</v>
      </c>
      <c r="RI13" s="66">
        <f>'P10'!L$35</f>
        <v>0</v>
      </c>
      <c r="RJ13" s="66">
        <f>'P10'!M$35</f>
        <v>0</v>
      </c>
      <c r="RK13" s="66">
        <f>'P10'!N$35</f>
        <v>0</v>
      </c>
      <c r="RL13" s="66">
        <f>'P10'!O$35</f>
        <v>0</v>
      </c>
      <c r="RM13" s="66">
        <f>'P10'!P$35</f>
        <v>0</v>
      </c>
      <c r="RN13" s="66">
        <f>'P10'!Q$35</f>
        <v>0</v>
      </c>
      <c r="RO13" s="66">
        <f>'P10'!R$35</f>
        <v>0</v>
      </c>
      <c r="RP13" s="66">
        <f>'P10'!S$35</f>
        <v>0</v>
      </c>
      <c r="RQ13" s="66">
        <f>'P10'!T$35</f>
        <v>0</v>
      </c>
      <c r="RR13" s="66">
        <f>'P10'!U$35</f>
        <v>0</v>
      </c>
      <c r="RS13" s="66">
        <f>'P10'!V$35</f>
        <v>0</v>
      </c>
      <c r="RT13" s="66">
        <f>'P10'!W$35</f>
        <v>0</v>
      </c>
      <c r="RU13" s="66">
        <f>'P10'!X$35</f>
        <v>0</v>
      </c>
      <c r="RV13" s="66">
        <f>'P10'!Y$35</f>
        <v>0</v>
      </c>
      <c r="RW13" s="66">
        <f>'P10'!Z$35</f>
        <v>0</v>
      </c>
      <c r="RX13" s="66">
        <f>'P10'!AA$35</f>
        <v>0</v>
      </c>
      <c r="RY13" s="66">
        <f>'P10'!AB$35</f>
        <v>0</v>
      </c>
      <c r="RZ13" s="66">
        <f>'P10'!AC$35</f>
        <v>0</v>
      </c>
      <c r="SA13" s="66">
        <f>'P10'!AD$35</f>
        <v>0</v>
      </c>
      <c r="SB13" s="66">
        <f>'P10'!AE$35</f>
        <v>0</v>
      </c>
      <c r="SC13" s="66">
        <f>'P10'!AF$35</f>
        <v>0</v>
      </c>
      <c r="SD13" s="66">
        <f>'P10'!AG$35</f>
        <v>0</v>
      </c>
      <c r="SE13" s="66">
        <f>'P10'!AH$35</f>
        <v>0</v>
      </c>
      <c r="SF13" s="66">
        <f>'P10'!AI$35</f>
        <v>0</v>
      </c>
      <c r="SG13" s="66">
        <f>'P10'!AJ$35</f>
        <v>0</v>
      </c>
      <c r="SH13" s="66">
        <f>'P10'!AK$35</f>
        <v>0</v>
      </c>
      <c r="SI13" s="66">
        <f>'P10'!AL$35</f>
        <v>0</v>
      </c>
      <c r="SJ13" s="66">
        <f>'P10'!AM$35</f>
        <v>0</v>
      </c>
      <c r="SK13" s="66">
        <f>'P10'!AN$35</f>
        <v>0</v>
      </c>
      <c r="SL13" s="66">
        <f>'P10'!AO$35</f>
        <v>0</v>
      </c>
      <c r="SM13" s="66">
        <f>'P10'!AP$35</f>
        <v>0</v>
      </c>
      <c r="SN13" s="66">
        <f>'P10'!AQ$35</f>
        <v>0</v>
      </c>
      <c r="SO13" s="66">
        <f>'P10'!AR$35</f>
        <v>0</v>
      </c>
      <c r="SP13" s="66">
        <f>'P10'!AS$35</f>
        <v>0</v>
      </c>
      <c r="SQ13" s="66">
        <f>'P10'!AT$35</f>
        <v>0</v>
      </c>
      <c r="SR13" s="66">
        <f>'P10'!AU$35</f>
        <v>0</v>
      </c>
      <c r="SS13" s="66">
        <f>'P10'!AV$35</f>
        <v>0</v>
      </c>
      <c r="ST13" s="66">
        <f>'P10'!AW$35</f>
        <v>0</v>
      </c>
      <c r="SU13" s="66">
        <f>'P10'!AX$35</f>
        <v>0</v>
      </c>
      <c r="SV13" s="66">
        <f>'P10'!AY$35</f>
        <v>0</v>
      </c>
      <c r="SW13" s="66">
        <f>'P10'!AZ$35</f>
        <v>0</v>
      </c>
      <c r="SX13" s="66">
        <f>'P10'!BA$35</f>
        <v>0</v>
      </c>
      <c r="SY13" s="66">
        <f>'P10'!BB$35</f>
        <v>0</v>
      </c>
      <c r="SZ13" s="66">
        <f>'P10'!BC$35</f>
        <v>0</v>
      </c>
      <c r="TA13" s="66">
        <f>'P10'!BD$35</f>
        <v>0</v>
      </c>
      <c r="TB13" s="66">
        <f>'P10'!BE$35</f>
        <v>0</v>
      </c>
    </row>
    <row r="14" spans="2:522">
      <c r="AF14" s="27"/>
      <c r="AG14" s="27"/>
      <c r="AR14" s="27"/>
      <c r="AS14" s="27"/>
    </row>
    <row r="15" spans="2:522">
      <c r="AE15" s="27"/>
    </row>
    <row r="16" spans="2:522">
      <c r="AE16" s="27"/>
    </row>
    <row r="17" spans="31:31">
      <c r="AE17" s="27"/>
    </row>
    <row r="18" spans="31:31">
      <c r="AE18" s="27"/>
    </row>
    <row r="19" spans="31:31">
      <c r="AE19" s="27"/>
    </row>
  </sheetData>
  <sheetProtection sheet="1" objects="1" scenarios="1" formatColumns="0" formatRows="0"/>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0"/>
  <sheetViews>
    <sheetView topLeftCell="J2" zoomScaleNormal="100" workbookViewId="0">
      <selection activeCell="L6" sqref="L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160</v>
      </c>
      <c r="C3" t="s">
        <v>151</v>
      </c>
      <c r="D3" t="s">
        <v>180</v>
      </c>
      <c r="E3" t="s">
        <v>159</v>
      </c>
      <c r="F3" t="s">
        <v>162</v>
      </c>
      <c r="G3" t="s">
        <v>163</v>
      </c>
      <c r="H3" t="s">
        <v>164</v>
      </c>
      <c r="J3" t="s">
        <v>282</v>
      </c>
      <c r="L3" t="s">
        <v>152</v>
      </c>
      <c r="M3" t="s">
        <v>153</v>
      </c>
      <c r="O3" t="s">
        <v>191</v>
      </c>
      <c r="P3" t="s">
        <v>5</v>
      </c>
      <c r="Q3" t="s">
        <v>202</v>
      </c>
      <c r="S3" s="17" t="s">
        <v>210</v>
      </c>
      <c r="T3" s="17" t="s">
        <v>211</v>
      </c>
      <c r="U3" s="17" t="s">
        <v>235</v>
      </c>
      <c r="W3" s="17" t="s">
        <v>211</v>
      </c>
      <c r="X3" s="17" t="s">
        <v>250</v>
      </c>
      <c r="Y3" s="17" t="s">
        <v>251</v>
      </c>
      <c r="AA3" s="17" t="s">
        <v>232</v>
      </c>
      <c r="AC3" s="17" t="s">
        <v>275</v>
      </c>
    </row>
    <row r="4" spans="2:29" ht="30">
      <c r="B4" s="12" t="s">
        <v>181</v>
      </c>
      <c r="C4" s="13" t="s">
        <v>156</v>
      </c>
      <c r="D4" s="12">
        <v>10</v>
      </c>
      <c r="E4" s="12" t="s">
        <v>161</v>
      </c>
      <c r="F4" s="13" t="s">
        <v>165</v>
      </c>
      <c r="G4" s="13" t="s">
        <v>166</v>
      </c>
      <c r="H4" s="13" t="s">
        <v>45</v>
      </c>
      <c r="J4" t="s">
        <v>260</v>
      </c>
      <c r="L4" t="s">
        <v>3</v>
      </c>
      <c r="M4" s="11">
        <v>0.4</v>
      </c>
      <c r="O4">
        <v>0</v>
      </c>
      <c r="P4" t="s">
        <v>252</v>
      </c>
      <c r="Q4">
        <v>0</v>
      </c>
      <c r="S4" s="18" t="s">
        <v>212</v>
      </c>
      <c r="T4" s="18" t="s">
        <v>204</v>
      </c>
      <c r="U4" s="18"/>
      <c r="W4" s="18" t="s">
        <v>204</v>
      </c>
      <c r="X4" s="25">
        <v>45839</v>
      </c>
      <c r="Y4" s="25">
        <v>45930</v>
      </c>
      <c r="AA4" s="18" t="s">
        <v>40</v>
      </c>
      <c r="AC4" s="18" t="s">
        <v>276</v>
      </c>
    </row>
    <row r="5" spans="2:29" ht="30">
      <c r="B5" s="12" t="s">
        <v>246</v>
      </c>
      <c r="C5" s="13" t="s">
        <v>157</v>
      </c>
      <c r="D5" s="12">
        <v>25</v>
      </c>
      <c r="E5" s="12" t="s">
        <v>167</v>
      </c>
      <c r="F5" s="13" t="s">
        <v>168</v>
      </c>
      <c r="G5" s="13" t="s">
        <v>169</v>
      </c>
      <c r="H5" s="13" t="s">
        <v>170</v>
      </c>
      <c r="J5" t="s">
        <v>86</v>
      </c>
      <c r="L5" t="s">
        <v>1</v>
      </c>
      <c r="M5" s="11">
        <v>0.1</v>
      </c>
      <c r="O5">
        <v>1</v>
      </c>
      <c r="P5" t="s">
        <v>1</v>
      </c>
      <c r="Q5">
        <v>0.1</v>
      </c>
      <c r="S5" s="19" t="s">
        <v>213</v>
      </c>
      <c r="T5" s="19" t="s">
        <v>204</v>
      </c>
      <c r="U5" s="19"/>
      <c r="W5" s="19" t="s">
        <v>205</v>
      </c>
      <c r="X5" s="26">
        <v>45931</v>
      </c>
      <c r="Y5" s="26">
        <v>0</v>
      </c>
      <c r="AA5" s="19" t="s">
        <v>94</v>
      </c>
      <c r="AC5" s="19" t="s">
        <v>277</v>
      </c>
    </row>
    <row r="6" spans="2:29" ht="30">
      <c r="B6" s="12" t="s">
        <v>182</v>
      </c>
      <c r="C6" s="13" t="s">
        <v>147</v>
      </c>
      <c r="D6" s="12">
        <v>50</v>
      </c>
      <c r="E6" s="12" t="s">
        <v>171</v>
      </c>
      <c r="F6" s="13" t="s">
        <v>172</v>
      </c>
      <c r="G6" s="13" t="s">
        <v>166</v>
      </c>
      <c r="H6" s="13" t="s">
        <v>45</v>
      </c>
      <c r="J6" t="s">
        <v>132</v>
      </c>
      <c r="L6" t="s">
        <v>2</v>
      </c>
      <c r="M6" s="11">
        <v>1</v>
      </c>
      <c r="O6">
        <v>2</v>
      </c>
      <c r="P6" t="s">
        <v>1</v>
      </c>
      <c r="Q6">
        <v>0.1</v>
      </c>
      <c r="S6" s="18" t="s">
        <v>214</v>
      </c>
      <c r="T6" s="18" t="s">
        <v>204</v>
      </c>
      <c r="U6" s="18"/>
      <c r="W6" s="18" t="s">
        <v>206</v>
      </c>
      <c r="X6" s="25">
        <v>46023</v>
      </c>
      <c r="Y6" s="25">
        <v>46112</v>
      </c>
      <c r="AA6" s="18" t="s">
        <v>111</v>
      </c>
      <c r="AC6" s="18" t="s">
        <v>278</v>
      </c>
    </row>
    <row r="7" spans="2:29" ht="30">
      <c r="B7" s="12" t="s">
        <v>184</v>
      </c>
      <c r="C7" s="13" t="s">
        <v>149</v>
      </c>
      <c r="D7" s="12">
        <v>100</v>
      </c>
      <c r="E7" s="12" t="s">
        <v>173</v>
      </c>
      <c r="F7" s="13" t="s">
        <v>174</v>
      </c>
      <c r="G7" s="13" t="s">
        <v>175</v>
      </c>
      <c r="H7" s="13" t="s">
        <v>176</v>
      </c>
      <c r="J7" t="s">
        <v>68</v>
      </c>
      <c r="L7" t="s">
        <v>247</v>
      </c>
      <c r="M7" s="11">
        <v>0</v>
      </c>
      <c r="O7">
        <v>3</v>
      </c>
      <c r="P7" t="s">
        <v>1</v>
      </c>
      <c r="Q7">
        <v>0.1</v>
      </c>
      <c r="S7" s="19" t="s">
        <v>215</v>
      </c>
      <c r="T7" s="19" t="s">
        <v>205</v>
      </c>
      <c r="U7" s="19" t="s">
        <v>204</v>
      </c>
      <c r="W7" s="19" t="s">
        <v>207</v>
      </c>
      <c r="X7" s="26">
        <v>46113</v>
      </c>
      <c r="Y7" s="26">
        <v>46203</v>
      </c>
      <c r="AA7" s="19" t="s">
        <v>64</v>
      </c>
      <c r="AC7" s="19" t="s">
        <v>279</v>
      </c>
    </row>
    <row r="8" spans="2:29" ht="30">
      <c r="B8" s="12" t="s">
        <v>186</v>
      </c>
      <c r="C8" s="13" t="s">
        <v>148</v>
      </c>
      <c r="D8" s="12">
        <v>200</v>
      </c>
      <c r="E8" s="12" t="s">
        <v>177</v>
      </c>
      <c r="F8" s="13" t="s">
        <v>178</v>
      </c>
      <c r="G8" s="13" t="s">
        <v>179</v>
      </c>
      <c r="H8" s="13" t="s">
        <v>176</v>
      </c>
      <c r="J8" t="s">
        <v>139</v>
      </c>
      <c r="L8" t="s">
        <v>144</v>
      </c>
      <c r="M8" s="11">
        <v>0.7</v>
      </c>
      <c r="O8">
        <v>4</v>
      </c>
      <c r="P8" t="s">
        <v>3</v>
      </c>
      <c r="Q8">
        <v>0.4</v>
      </c>
      <c r="S8" s="18" t="s">
        <v>216</v>
      </c>
      <c r="T8" s="18" t="s">
        <v>205</v>
      </c>
      <c r="U8" s="18" t="s">
        <v>204</v>
      </c>
      <c r="W8" s="18" t="s">
        <v>208</v>
      </c>
      <c r="X8" s="25">
        <v>46204</v>
      </c>
      <c r="Y8" s="25">
        <v>46295</v>
      </c>
      <c r="AA8" s="18" t="s">
        <v>127</v>
      </c>
      <c r="AC8" s="18" t="s">
        <v>280</v>
      </c>
    </row>
    <row r="9" spans="2:29">
      <c r="J9" t="s">
        <v>60</v>
      </c>
      <c r="O9">
        <v>5</v>
      </c>
      <c r="P9" t="s">
        <v>3</v>
      </c>
      <c r="Q9">
        <v>0.4</v>
      </c>
      <c r="S9" s="19" t="s">
        <v>217</v>
      </c>
      <c r="T9" s="19" t="s">
        <v>205</v>
      </c>
      <c r="U9" s="19" t="s">
        <v>204</v>
      </c>
      <c r="W9" s="19" t="s">
        <v>209</v>
      </c>
      <c r="X9" s="26">
        <v>46296</v>
      </c>
      <c r="Y9" s="26">
        <v>46387</v>
      </c>
      <c r="AA9" s="19" t="s">
        <v>81</v>
      </c>
      <c r="AC9" s="19" t="s">
        <v>281</v>
      </c>
    </row>
    <row r="10" spans="2:29">
      <c r="J10" t="s">
        <v>45</v>
      </c>
      <c r="O10">
        <v>6</v>
      </c>
      <c r="P10" t="s">
        <v>3</v>
      </c>
      <c r="Q10">
        <v>0.4</v>
      </c>
      <c r="S10" s="18" t="s">
        <v>218</v>
      </c>
      <c r="T10" s="18" t="s">
        <v>206</v>
      </c>
      <c r="U10" s="18" t="s">
        <v>205</v>
      </c>
    </row>
    <row r="11" spans="2:29">
      <c r="B11" s="14" t="s">
        <v>160</v>
      </c>
      <c r="C11" s="15" t="s">
        <v>151</v>
      </c>
      <c r="D11" s="15" t="s">
        <v>180</v>
      </c>
      <c r="E11" s="15" t="s">
        <v>159</v>
      </c>
      <c r="F11" s="15" t="s">
        <v>162</v>
      </c>
      <c r="G11" s="15" t="s">
        <v>163</v>
      </c>
      <c r="H11" s="16" t="s">
        <v>164</v>
      </c>
      <c r="J11" t="s">
        <v>49</v>
      </c>
      <c r="O11">
        <v>7</v>
      </c>
      <c r="P11" t="s">
        <v>144</v>
      </c>
      <c r="Q11">
        <v>0.7</v>
      </c>
      <c r="S11" s="19" t="s">
        <v>219</v>
      </c>
      <c r="T11" s="19" t="s">
        <v>206</v>
      </c>
      <c r="U11" s="19" t="s">
        <v>205</v>
      </c>
    </row>
    <row r="12" spans="2:29" ht="30">
      <c r="B12" s="20" t="s">
        <v>181</v>
      </c>
      <c r="C12" s="21" t="s">
        <v>156</v>
      </c>
      <c r="D12" s="20">
        <v>10</v>
      </c>
      <c r="E12" s="20" t="s">
        <v>161</v>
      </c>
      <c r="F12" s="21" t="s">
        <v>165</v>
      </c>
      <c r="G12" s="21" t="s">
        <v>166</v>
      </c>
      <c r="H12" s="22" t="s">
        <v>45</v>
      </c>
      <c r="J12" t="s">
        <v>99</v>
      </c>
      <c r="O12">
        <v>8</v>
      </c>
      <c r="P12" t="s">
        <v>144</v>
      </c>
      <c r="Q12">
        <v>0.7</v>
      </c>
      <c r="S12" s="18" t="s">
        <v>220</v>
      </c>
      <c r="T12" s="18" t="s">
        <v>206</v>
      </c>
      <c r="U12" s="18" t="s">
        <v>205</v>
      </c>
    </row>
    <row r="13" spans="2:29" ht="30">
      <c r="B13" s="12" t="s">
        <v>246</v>
      </c>
      <c r="C13" s="23" t="s">
        <v>157</v>
      </c>
      <c r="D13" s="12">
        <v>25</v>
      </c>
      <c r="E13" s="12" t="s">
        <v>167</v>
      </c>
      <c r="F13" s="23" t="s">
        <v>168</v>
      </c>
      <c r="G13" s="23" t="s">
        <v>169</v>
      </c>
      <c r="H13" s="24" t="s">
        <v>170</v>
      </c>
      <c r="J13" t="s">
        <v>95</v>
      </c>
      <c r="O13">
        <v>9</v>
      </c>
      <c r="P13" t="s">
        <v>144</v>
      </c>
      <c r="Q13">
        <v>0.7</v>
      </c>
      <c r="S13" s="19" t="s">
        <v>221</v>
      </c>
      <c r="T13" s="19" t="s">
        <v>207</v>
      </c>
      <c r="U13" s="19" t="s">
        <v>206</v>
      </c>
    </row>
    <row r="14" spans="2:29" ht="30">
      <c r="B14" s="20" t="s">
        <v>182</v>
      </c>
      <c r="C14" s="21" t="s">
        <v>147</v>
      </c>
      <c r="D14" s="20">
        <v>50</v>
      </c>
      <c r="E14" s="20" t="s">
        <v>171</v>
      </c>
      <c r="F14" s="21" t="s">
        <v>172</v>
      </c>
      <c r="G14" s="21" t="s">
        <v>166</v>
      </c>
      <c r="H14" s="22" t="s">
        <v>45</v>
      </c>
      <c r="J14" t="s">
        <v>82</v>
      </c>
      <c r="O14">
        <v>10</v>
      </c>
      <c r="P14" t="s">
        <v>2</v>
      </c>
      <c r="Q14">
        <v>1</v>
      </c>
      <c r="S14" s="18" t="s">
        <v>222</v>
      </c>
      <c r="T14" s="18" t="s">
        <v>207</v>
      </c>
      <c r="U14" s="18" t="s">
        <v>206</v>
      </c>
    </row>
    <row r="15" spans="2:29" ht="30">
      <c r="B15" s="12" t="s">
        <v>184</v>
      </c>
      <c r="C15" s="23" t="s">
        <v>149</v>
      </c>
      <c r="D15" s="12">
        <v>100</v>
      </c>
      <c r="E15" s="12" t="s">
        <v>173</v>
      </c>
      <c r="F15" s="23" t="s">
        <v>174</v>
      </c>
      <c r="G15" s="23" t="s">
        <v>175</v>
      </c>
      <c r="H15" s="24" t="s">
        <v>176</v>
      </c>
      <c r="J15" t="s">
        <v>90</v>
      </c>
      <c r="O15">
        <v>11</v>
      </c>
      <c r="P15" t="s">
        <v>2</v>
      </c>
      <c r="Q15">
        <v>1</v>
      </c>
      <c r="S15" s="19" t="s">
        <v>223</v>
      </c>
      <c r="T15" s="19" t="s">
        <v>207</v>
      </c>
      <c r="U15" s="19" t="s">
        <v>206</v>
      </c>
    </row>
    <row r="16" spans="2:29" ht="30">
      <c r="B16" s="20" t="s">
        <v>186</v>
      </c>
      <c r="C16" s="21" t="s">
        <v>148</v>
      </c>
      <c r="D16" s="20">
        <v>200</v>
      </c>
      <c r="E16" s="20" t="s">
        <v>177</v>
      </c>
      <c r="F16" s="21" t="s">
        <v>178</v>
      </c>
      <c r="G16" s="21" t="s">
        <v>179</v>
      </c>
      <c r="H16" s="22" t="s">
        <v>176</v>
      </c>
      <c r="J16" t="s">
        <v>74</v>
      </c>
      <c r="O16">
        <v>12</v>
      </c>
      <c r="P16" t="s">
        <v>2</v>
      </c>
      <c r="Q16">
        <v>1</v>
      </c>
      <c r="S16" s="18" t="s">
        <v>224</v>
      </c>
      <c r="T16" s="18" t="s">
        <v>208</v>
      </c>
      <c r="U16" s="18" t="s">
        <v>207</v>
      </c>
    </row>
    <row r="17" spans="10:21">
      <c r="J17" t="s">
        <v>128</v>
      </c>
      <c r="S17" s="19" t="s">
        <v>225</v>
      </c>
      <c r="T17" s="19" t="s">
        <v>208</v>
      </c>
      <c r="U17" s="19" t="s">
        <v>207</v>
      </c>
    </row>
    <row r="18" spans="10:21">
      <c r="J18" t="s">
        <v>135</v>
      </c>
      <c r="S18" s="18" t="s">
        <v>226</v>
      </c>
      <c r="T18" s="18" t="s">
        <v>208</v>
      </c>
      <c r="U18" s="18" t="s">
        <v>207</v>
      </c>
    </row>
    <row r="19" spans="10:21">
      <c r="J19" t="s">
        <v>78</v>
      </c>
      <c r="S19" s="19" t="s">
        <v>227</v>
      </c>
      <c r="T19" s="19" t="s">
        <v>209</v>
      </c>
      <c r="U19" s="19" t="s">
        <v>208</v>
      </c>
    </row>
    <row r="20" spans="10:21">
      <c r="J20" t="s">
        <v>57</v>
      </c>
      <c r="S20" s="18" t="s">
        <v>228</v>
      </c>
      <c r="T20" s="18" t="s">
        <v>209</v>
      </c>
      <c r="U20" s="18" t="s">
        <v>208</v>
      </c>
    </row>
    <row r="21" spans="10:21">
      <c r="J21" t="s">
        <v>107</v>
      </c>
      <c r="S21" s="19" t="s">
        <v>229</v>
      </c>
      <c r="T21" s="19" t="s">
        <v>209</v>
      </c>
      <c r="U21" s="19" t="s">
        <v>208</v>
      </c>
    </row>
    <row r="22" spans="10:21">
      <c r="J22" t="s">
        <v>112</v>
      </c>
    </row>
    <row r="23" spans="10:21">
      <c r="J23" t="s">
        <v>119</v>
      </c>
    </row>
    <row r="24" spans="10:21">
      <c r="J24" t="s">
        <v>65</v>
      </c>
    </row>
    <row r="25" spans="10:21">
      <c r="J25" t="s">
        <v>103</v>
      </c>
    </row>
    <row r="26" spans="10:21">
      <c r="J26" t="s">
        <v>41</v>
      </c>
    </row>
    <row r="27" spans="10:21">
      <c r="J27" t="s">
        <v>123</v>
      </c>
    </row>
    <row r="28" spans="10:21">
      <c r="J28" t="s">
        <v>71</v>
      </c>
    </row>
    <row r="29" spans="10:21">
      <c r="J29" t="s">
        <v>53</v>
      </c>
    </row>
    <row r="30" spans="10:21">
      <c r="J30" t="s">
        <v>116</v>
      </c>
    </row>
  </sheetData>
  <phoneticPr fontId="10" type="noConversion"/>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8" t="s">
        <v>35</v>
      </c>
      <c r="B1" s="9" t="s">
        <v>36</v>
      </c>
      <c r="C1" s="9" t="s">
        <v>37</v>
      </c>
      <c r="D1" s="9" t="s">
        <v>38</v>
      </c>
      <c r="E1" s="9" t="s">
        <v>39</v>
      </c>
    </row>
    <row r="2" spans="1:5" ht="39" customHeight="1">
      <c r="A2" s="189" t="s">
        <v>40</v>
      </c>
      <c r="B2" s="10" t="s">
        <v>41</v>
      </c>
      <c r="C2" s="10" t="s">
        <v>42</v>
      </c>
      <c r="D2" s="10" t="s">
        <v>43</v>
      </c>
      <c r="E2" s="10" t="s">
        <v>44</v>
      </c>
    </row>
    <row r="3" spans="1:5" ht="39" customHeight="1">
      <c r="A3" s="190"/>
      <c r="B3" s="10" t="s">
        <v>45</v>
      </c>
      <c r="C3" s="10" t="s">
        <v>46</v>
      </c>
      <c r="D3" s="10" t="s">
        <v>47</v>
      </c>
      <c r="E3" s="10" t="s">
        <v>48</v>
      </c>
    </row>
    <row r="4" spans="1:5" ht="39" customHeight="1">
      <c r="A4" s="190"/>
      <c r="B4" s="10" t="s">
        <v>49</v>
      </c>
      <c r="C4" s="10" t="s">
        <v>50</v>
      </c>
      <c r="D4" s="10" t="s">
        <v>51</v>
      </c>
      <c r="E4" s="10" t="s">
        <v>52</v>
      </c>
    </row>
    <row r="5" spans="1:5" ht="39" customHeight="1">
      <c r="A5" s="190"/>
      <c r="B5" s="10" t="s">
        <v>53</v>
      </c>
      <c r="C5" s="10" t="s">
        <v>54</v>
      </c>
      <c r="D5" s="10" t="s">
        <v>55</v>
      </c>
      <c r="E5" s="10" t="s">
        <v>56</v>
      </c>
    </row>
    <row r="6" spans="1:5" ht="39" customHeight="1">
      <c r="A6" s="190"/>
      <c r="B6" s="10" t="s">
        <v>57</v>
      </c>
      <c r="C6" s="10" t="s">
        <v>58</v>
      </c>
      <c r="D6" s="10" t="s">
        <v>59</v>
      </c>
      <c r="E6" s="10" t="s">
        <v>44</v>
      </c>
    </row>
    <row r="7" spans="1:5" ht="39" customHeight="1">
      <c r="A7" s="191"/>
      <c r="B7" s="10" t="s">
        <v>60</v>
      </c>
      <c r="C7" s="10" t="s">
        <v>61</v>
      </c>
      <c r="D7" s="10" t="s">
        <v>62</v>
      </c>
      <c r="E7" s="10" t="s">
        <v>63</v>
      </c>
    </row>
    <row r="8" spans="1:5" ht="39" customHeight="1">
      <c r="A8" s="189" t="s">
        <v>64</v>
      </c>
      <c r="B8" s="10" t="s">
        <v>65</v>
      </c>
      <c r="C8" s="10" t="s">
        <v>66</v>
      </c>
      <c r="D8" s="10" t="s">
        <v>67</v>
      </c>
      <c r="E8" s="10" t="s">
        <v>56</v>
      </c>
    </row>
    <row r="9" spans="1:5" ht="39" customHeight="1">
      <c r="A9" s="190"/>
      <c r="B9" s="10" t="s">
        <v>68</v>
      </c>
      <c r="C9" s="10" t="s">
        <v>69</v>
      </c>
      <c r="D9" s="10" t="s">
        <v>70</v>
      </c>
      <c r="E9" s="10" t="s">
        <v>56</v>
      </c>
    </row>
    <row r="10" spans="1:5" ht="39" customHeight="1">
      <c r="A10" s="190"/>
      <c r="B10" s="10" t="s">
        <v>71</v>
      </c>
      <c r="C10" s="10" t="s">
        <v>72</v>
      </c>
      <c r="D10" s="10" t="s">
        <v>73</v>
      </c>
      <c r="E10" s="10" t="s">
        <v>56</v>
      </c>
    </row>
    <row r="11" spans="1:5" ht="39" customHeight="1">
      <c r="A11" s="190"/>
      <c r="B11" s="10" t="s">
        <v>74</v>
      </c>
      <c r="C11" s="10" t="s">
        <v>75</v>
      </c>
      <c r="D11" s="10" t="s">
        <v>76</v>
      </c>
      <c r="E11" s="10" t="s">
        <v>77</v>
      </c>
    </row>
    <row r="12" spans="1:5" ht="39" customHeight="1">
      <c r="A12" s="191"/>
      <c r="B12" s="10" t="s">
        <v>78</v>
      </c>
      <c r="C12" s="10" t="s">
        <v>79</v>
      </c>
      <c r="D12" s="10" t="s">
        <v>80</v>
      </c>
      <c r="E12" s="10" t="s">
        <v>56</v>
      </c>
    </row>
    <row r="13" spans="1:5" ht="39" customHeight="1">
      <c r="A13" s="189" t="s">
        <v>81</v>
      </c>
      <c r="B13" s="10" t="s">
        <v>82</v>
      </c>
      <c r="C13" s="10" t="s">
        <v>83</v>
      </c>
      <c r="D13" s="10" t="s">
        <v>84</v>
      </c>
      <c r="E13" s="10" t="s">
        <v>85</v>
      </c>
    </row>
    <row r="14" spans="1:5" ht="39" customHeight="1">
      <c r="A14" s="190"/>
      <c r="B14" s="10" t="s">
        <v>86</v>
      </c>
      <c r="C14" s="10" t="s">
        <v>87</v>
      </c>
      <c r="D14" s="10" t="s">
        <v>88</v>
      </c>
      <c r="E14" s="10" t="s">
        <v>89</v>
      </c>
    </row>
    <row r="15" spans="1:5" ht="39" customHeight="1">
      <c r="A15" s="191"/>
      <c r="B15" s="10" t="s">
        <v>90</v>
      </c>
      <c r="C15" s="10" t="s">
        <v>91</v>
      </c>
      <c r="D15" s="10" t="s">
        <v>92</v>
      </c>
      <c r="E15" s="10" t="s">
        <v>93</v>
      </c>
    </row>
    <row r="16" spans="1:5" ht="39" customHeight="1">
      <c r="A16" s="189" t="s">
        <v>94</v>
      </c>
      <c r="B16" s="10" t="s">
        <v>95</v>
      </c>
      <c r="C16" s="10" t="s">
        <v>96</v>
      </c>
      <c r="D16" s="10" t="s">
        <v>97</v>
      </c>
      <c r="E16" s="10" t="s">
        <v>98</v>
      </c>
    </row>
    <row r="17" spans="1:5" ht="39" customHeight="1">
      <c r="A17" s="190"/>
      <c r="B17" s="10" t="s">
        <v>99</v>
      </c>
      <c r="C17" s="10" t="s">
        <v>100</v>
      </c>
      <c r="D17" s="10" t="s">
        <v>101</v>
      </c>
      <c r="E17" s="10" t="s">
        <v>102</v>
      </c>
    </row>
    <row r="18" spans="1:5" ht="39" customHeight="1">
      <c r="A18" s="190"/>
      <c r="B18" s="10" t="s">
        <v>103</v>
      </c>
      <c r="C18" s="10" t="s">
        <v>104</v>
      </c>
      <c r="D18" s="10" t="s">
        <v>105</v>
      </c>
      <c r="E18" s="10" t="s">
        <v>106</v>
      </c>
    </row>
    <row r="19" spans="1:5" ht="39" customHeight="1">
      <c r="A19" s="191"/>
      <c r="B19" s="10" t="s">
        <v>107</v>
      </c>
      <c r="C19" s="10" t="s">
        <v>108</v>
      </c>
      <c r="D19" s="10" t="s">
        <v>109</v>
      </c>
      <c r="E19" s="10" t="s">
        <v>110</v>
      </c>
    </row>
    <row r="20" spans="1:5" ht="39" customHeight="1">
      <c r="A20" s="189" t="s">
        <v>111</v>
      </c>
      <c r="B20" s="10" t="s">
        <v>112</v>
      </c>
      <c r="C20" s="10" t="s">
        <v>113</v>
      </c>
      <c r="D20" s="10" t="s">
        <v>114</v>
      </c>
      <c r="E20" s="10" t="s">
        <v>115</v>
      </c>
    </row>
    <row r="21" spans="1:5" ht="39" customHeight="1">
      <c r="A21" s="190"/>
      <c r="B21" s="10" t="s">
        <v>116</v>
      </c>
      <c r="C21" s="10" t="s">
        <v>117</v>
      </c>
      <c r="D21" s="10" t="s">
        <v>118</v>
      </c>
      <c r="E21" s="10" t="s">
        <v>115</v>
      </c>
    </row>
    <row r="22" spans="1:5" ht="39" customHeight="1">
      <c r="A22" s="190"/>
      <c r="B22" s="10" t="s">
        <v>119</v>
      </c>
      <c r="C22" s="10" t="s">
        <v>120</v>
      </c>
      <c r="D22" s="10" t="s">
        <v>121</v>
      </c>
      <c r="E22" s="10" t="s">
        <v>122</v>
      </c>
    </row>
    <row r="23" spans="1:5" ht="39" customHeight="1">
      <c r="A23" s="191"/>
      <c r="B23" s="10" t="s">
        <v>123</v>
      </c>
      <c r="C23" s="10" t="s">
        <v>124</v>
      </c>
      <c r="D23" s="10" t="s">
        <v>125</v>
      </c>
      <c r="E23" s="10" t="s">
        <v>126</v>
      </c>
    </row>
    <row r="24" spans="1:5" ht="39" customHeight="1">
      <c r="A24" s="189" t="s">
        <v>127</v>
      </c>
      <c r="B24" s="10" t="s">
        <v>128</v>
      </c>
      <c r="C24" s="10" t="s">
        <v>129</v>
      </c>
      <c r="D24" s="10" t="s">
        <v>130</v>
      </c>
      <c r="E24" s="10" t="s">
        <v>131</v>
      </c>
    </row>
    <row r="25" spans="1:5" ht="39" customHeight="1">
      <c r="A25" s="190"/>
      <c r="B25" s="10" t="s">
        <v>132</v>
      </c>
      <c r="C25" s="10" t="s">
        <v>133</v>
      </c>
      <c r="D25" s="10" t="s">
        <v>134</v>
      </c>
      <c r="E25" s="10" t="s">
        <v>131</v>
      </c>
    </row>
    <row r="26" spans="1:5" ht="39" customHeight="1">
      <c r="A26" s="190"/>
      <c r="B26" s="10" t="s">
        <v>135</v>
      </c>
      <c r="C26" s="10" t="s">
        <v>136</v>
      </c>
      <c r="D26" s="10" t="s">
        <v>137</v>
      </c>
      <c r="E26" s="10" t="s">
        <v>138</v>
      </c>
    </row>
    <row r="27" spans="1:5" ht="39" customHeight="1">
      <c r="A27" s="191"/>
      <c r="B27" s="10" t="s">
        <v>139</v>
      </c>
      <c r="C27" s="10" t="s">
        <v>140</v>
      </c>
      <c r="D27" s="10" t="s">
        <v>141</v>
      </c>
      <c r="E27" s="10" t="s">
        <v>142</v>
      </c>
    </row>
  </sheetData>
  <mergeCells count="6">
    <mergeCell ref="A24:A27"/>
    <mergeCell ref="A2:A7"/>
    <mergeCell ref="A8:A12"/>
    <mergeCell ref="A13:A15"/>
    <mergeCell ref="A16:A19"/>
    <mergeCell ref="A20:A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B04-6696-490A-8C67-0DB12BD77496}">
  <sheetPr codeName="Sheet16">
    <tabColor theme="0" tint="-4.9989318521683403E-2"/>
  </sheetPr>
  <dimension ref="A1:B24"/>
  <sheetViews>
    <sheetView workbookViewId="0">
      <selection activeCell="J57" sqref="J57"/>
    </sheetView>
  </sheetViews>
  <sheetFormatPr defaultRowHeight="15"/>
  <cols>
    <col min="1" max="1" width="19.5703125" customWidth="1"/>
    <col min="2" max="2" width="83" style="7" customWidth="1"/>
  </cols>
  <sheetData>
    <row r="1" spans="1:2">
      <c r="A1" s="4" t="s">
        <v>4</v>
      </c>
      <c r="B1" s="3"/>
    </row>
    <row r="2" spans="1:2">
      <c r="A2" s="5" t="s">
        <v>5</v>
      </c>
      <c r="B2" s="2" t="s">
        <v>6</v>
      </c>
    </row>
    <row r="3" spans="1:2">
      <c r="A3" s="1" t="s">
        <v>7</v>
      </c>
      <c r="B3" s="3" t="s">
        <v>8</v>
      </c>
    </row>
    <row r="4" spans="1:2">
      <c r="A4" s="1" t="s">
        <v>9</v>
      </c>
      <c r="B4" s="3" t="s">
        <v>10</v>
      </c>
    </row>
    <row r="5" spans="1:2" ht="26.25">
      <c r="A5" s="1" t="s">
        <v>11</v>
      </c>
      <c r="B5" s="3" t="s">
        <v>12</v>
      </c>
    </row>
    <row r="6" spans="1:2">
      <c r="A6" s="1" t="s">
        <v>13</v>
      </c>
      <c r="B6" s="3" t="s">
        <v>14</v>
      </c>
    </row>
    <row r="7" spans="1:2" ht="26.25">
      <c r="A7" s="1" t="s">
        <v>15</v>
      </c>
      <c r="B7" s="3" t="s">
        <v>16</v>
      </c>
    </row>
    <row r="8" spans="1:2">
      <c r="A8" s="1"/>
      <c r="B8" s="3"/>
    </row>
    <row r="9" spans="1:2">
      <c r="A9" s="1"/>
      <c r="B9" s="3"/>
    </row>
    <row r="10" spans="1:2">
      <c r="A10" s="4" t="s">
        <v>17</v>
      </c>
      <c r="B10" s="3"/>
    </row>
    <row r="11" spans="1:2">
      <c r="A11" s="5" t="s">
        <v>5</v>
      </c>
      <c r="B11" s="2" t="s">
        <v>6</v>
      </c>
    </row>
    <row r="12" spans="1:2" ht="15.75">
      <c r="A12" s="1" t="s">
        <v>18</v>
      </c>
      <c r="B12" s="6" t="s">
        <v>19</v>
      </c>
    </row>
    <row r="13" spans="1:2" ht="15.75">
      <c r="A13" s="1" t="s">
        <v>20</v>
      </c>
      <c r="B13" s="6" t="s">
        <v>21</v>
      </c>
    </row>
    <row r="14" spans="1:2" ht="31.5">
      <c r="A14" s="1" t="s">
        <v>22</v>
      </c>
      <c r="B14" s="6" t="s">
        <v>23</v>
      </c>
    </row>
    <row r="15" spans="1:2" ht="15.75">
      <c r="A15" s="1" t="s">
        <v>24</v>
      </c>
      <c r="B15" s="6" t="s">
        <v>25</v>
      </c>
    </row>
    <row r="16" spans="1:2" ht="15.75">
      <c r="A16" s="1" t="s">
        <v>26</v>
      </c>
      <c r="B16" s="6" t="s">
        <v>27</v>
      </c>
    </row>
    <row r="18" spans="1:2">
      <c r="A18" s="4" t="s">
        <v>28</v>
      </c>
      <c r="B18" s="3"/>
    </row>
    <row r="19" spans="1:2">
      <c r="A19" s="5" t="s">
        <v>5</v>
      </c>
      <c r="B19" s="2" t="s">
        <v>6</v>
      </c>
    </row>
    <row r="20" spans="1:2" ht="15.75">
      <c r="A20" s="1" t="s">
        <v>18</v>
      </c>
      <c r="B20" s="6" t="s">
        <v>29</v>
      </c>
    </row>
    <row r="21" spans="1:2" ht="15.75">
      <c r="A21" s="1" t="s">
        <v>30</v>
      </c>
      <c r="B21" s="6" t="s">
        <v>31</v>
      </c>
    </row>
    <row r="22" spans="1:2" ht="15.75">
      <c r="A22" s="1" t="s">
        <v>22</v>
      </c>
      <c r="B22" s="6" t="s">
        <v>32</v>
      </c>
    </row>
    <row r="23" spans="1:2" ht="15.75">
      <c r="A23" s="1" t="s">
        <v>24</v>
      </c>
      <c r="B23" s="6" t="s">
        <v>33</v>
      </c>
    </row>
    <row r="24" spans="1:2" ht="15.75">
      <c r="A24" s="1" t="s">
        <v>26</v>
      </c>
      <c r="B24" s="6" t="s">
        <v>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Scorecard</vt:lpstr>
      <vt:lpstr>Sample</vt:lpstr>
      <vt:lpstr>P1</vt:lpstr>
      <vt:lpstr>P2</vt:lpstr>
      <vt:lpstr>P3</vt:lpstr>
      <vt:lpstr>P4</vt:lpstr>
      <vt:lpstr>P5</vt:lpstr>
      <vt:lpstr>P6</vt:lpstr>
      <vt:lpstr>P7</vt:lpstr>
      <vt:lpstr>P8</vt:lpstr>
      <vt:lpstr>P9</vt:lpstr>
      <vt:lpstr>P10</vt:lpstr>
      <vt:lpstr>Project Data</vt:lpstr>
      <vt:lpstr>Lookups</vt:lpstr>
      <vt:lpstr>KPI Library</vt:lpstr>
      <vt:lpstr>Maturity Ratings</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Winston</cp:lastModifiedBy>
  <cp:revision/>
  <cp:lastPrinted>2025-10-01T23:54:06Z</cp:lastPrinted>
  <dcterms:created xsi:type="dcterms:W3CDTF">2025-06-17T03:21:01Z</dcterms:created>
  <dcterms:modified xsi:type="dcterms:W3CDTF">2025-10-27T19:48:21Z</dcterms:modified>
  <cp:category/>
  <cp:contentStatus/>
</cp:coreProperties>
</file>