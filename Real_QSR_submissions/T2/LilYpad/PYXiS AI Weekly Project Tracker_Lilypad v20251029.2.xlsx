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https://pyxissoftware-my.sharepoint.com/personal/ed_leisman_pyxissoftware_com/Documents/Companies/LilYPad/ai/projects/tracking/2025-10-31/"/>
    </mc:Choice>
  </mc:AlternateContent>
  <xr:revisionPtr revIDLastSave="34" documentId="8_{54C847DF-7558-43E1-A9C4-681B8F6D298A}" xr6:coauthVersionLast="47" xr6:coauthVersionMax="47" xr10:uidLastSave="{FF6F8619-52EA-114C-AD1F-A722EE00E35B}"/>
  <bookViews>
    <workbookView xWindow="0" yWindow="620" windowWidth="38400" windowHeight="19720"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48" i="34" l="1"/>
  <c r="AM48" i="34"/>
  <c r="Y48" i="34"/>
  <c r="K48" i="34"/>
  <c r="AW47" i="34"/>
  <c r="AI47" i="34"/>
  <c r="U47" i="34"/>
  <c r="G47" i="34"/>
  <c r="BA45" i="34"/>
  <c r="AZ45" i="34"/>
  <c r="AY45" i="34"/>
  <c r="AX45" i="34"/>
  <c r="AW45" i="34"/>
  <c r="AV45" i="34"/>
  <c r="AU45" i="34"/>
  <c r="AT45" i="34"/>
  <c r="AS45" i="34"/>
  <c r="AR45" i="34"/>
  <c r="AM45" i="34"/>
  <c r="AL45" i="34"/>
  <c r="AK45" i="34"/>
  <c r="AJ45" i="34"/>
  <c r="AI45" i="34"/>
  <c r="AH45" i="34"/>
  <c r="AG45" i="34"/>
  <c r="AF45" i="34"/>
  <c r="AE45" i="34"/>
  <c r="AD45" i="34"/>
  <c r="Y45" i="34"/>
  <c r="X45" i="34"/>
  <c r="W45" i="34"/>
  <c r="V45" i="34"/>
  <c r="U45" i="34"/>
  <c r="T45" i="34"/>
  <c r="S45" i="34"/>
  <c r="R45" i="34"/>
  <c r="Q45" i="34"/>
  <c r="P45" i="34"/>
  <c r="K45" i="34"/>
  <c r="J45" i="34"/>
  <c r="I45" i="34"/>
  <c r="H45" i="34"/>
  <c r="G45" i="34"/>
  <c r="F45" i="34"/>
  <c r="BE44" i="34"/>
  <c r="BD44" i="34"/>
  <c r="BC44" i="34"/>
  <c r="BB44" i="34"/>
  <c r="AW44" i="34"/>
  <c r="AV44" i="34"/>
  <c r="AU44" i="34"/>
  <c r="AT44" i="34"/>
  <c r="AS44" i="34"/>
  <c r="AR44" i="34"/>
  <c r="AQ44" i="34"/>
  <c r="AP44" i="34"/>
  <c r="AO44" i="34"/>
  <c r="AN44" i="34"/>
  <c r="AI44" i="34"/>
  <c r="AH44" i="34"/>
  <c r="AG44" i="34"/>
  <c r="AF44" i="34"/>
  <c r="AE44" i="34"/>
  <c r="AD44" i="34"/>
  <c r="AC44" i="34"/>
  <c r="AB44" i="34"/>
  <c r="AA44" i="34"/>
  <c r="Z44" i="34"/>
  <c r="U44" i="34"/>
  <c r="T44" i="34"/>
  <c r="S44" i="34"/>
  <c r="R44" i="34"/>
  <c r="Q44" i="34"/>
  <c r="P44" i="34"/>
  <c r="O44" i="34"/>
  <c r="N44" i="34"/>
  <c r="M44" i="34"/>
  <c r="L44" i="34"/>
  <c r="G44" i="34"/>
  <c r="F44" i="34"/>
  <c r="BE42" i="34"/>
  <c r="BD42" i="34"/>
  <c r="BC42" i="34"/>
  <c r="BB42" i="34"/>
  <c r="BA42" i="34"/>
  <c r="AZ42" i="34"/>
  <c r="AZ48" i="34" s="1"/>
  <c r="AY42" i="34"/>
  <c r="AY48" i="34" s="1"/>
  <c r="AX42" i="34"/>
  <c r="AX48" i="34" s="1"/>
  <c r="AS42" i="34"/>
  <c r="AS48" i="34" s="1"/>
  <c r="AR42" i="34"/>
  <c r="AR48" i="34" s="1"/>
  <c r="AQ42" i="34"/>
  <c r="AP42" i="34"/>
  <c r="AO42" i="34"/>
  <c r="AN42" i="34"/>
  <c r="AM42" i="34"/>
  <c r="AL42" i="34"/>
  <c r="AL48" i="34" s="1"/>
  <c r="AK42" i="34"/>
  <c r="AK48" i="34" s="1"/>
  <c r="AJ42" i="34"/>
  <c r="AJ48" i="34" s="1"/>
  <c r="AE42" i="34"/>
  <c r="AE48" i="34" s="1"/>
  <c r="AD42" i="34"/>
  <c r="AD48" i="34" s="1"/>
  <c r="AC42" i="34"/>
  <c r="AB42" i="34"/>
  <c r="AA42" i="34"/>
  <c r="Z42" i="34"/>
  <c r="Y42" i="34"/>
  <c r="X42" i="34"/>
  <c r="X48" i="34" s="1"/>
  <c r="W42" i="34"/>
  <c r="W48" i="34" s="1"/>
  <c r="V42" i="34"/>
  <c r="V48" i="34" s="1"/>
  <c r="Q42" i="34"/>
  <c r="Q48" i="34" s="1"/>
  <c r="P42" i="34"/>
  <c r="P48" i="34" s="1"/>
  <c r="O42" i="34"/>
  <c r="N42" i="34"/>
  <c r="M42" i="34"/>
  <c r="L42" i="34"/>
  <c r="K42" i="34"/>
  <c r="J42" i="34"/>
  <c r="J48" i="34" s="1"/>
  <c r="I42" i="34"/>
  <c r="I48" i="34" s="1"/>
  <c r="H42" i="34"/>
  <c r="H48" i="34" s="1"/>
  <c r="BC41" i="34"/>
  <c r="BC47" i="34" s="1"/>
  <c r="BB41" i="34"/>
  <c r="BB47" i="34" s="1"/>
  <c r="BA41" i="34"/>
  <c r="AZ41" i="34"/>
  <c r="AY41" i="34"/>
  <c r="AX41" i="34"/>
  <c r="AW41" i="34"/>
  <c r="AV41" i="34"/>
  <c r="AV47" i="34" s="1"/>
  <c r="AU41" i="34"/>
  <c r="AU47" i="34" s="1"/>
  <c r="AT41" i="34"/>
  <c r="AT47" i="34" s="1"/>
  <c r="AO41" i="34"/>
  <c r="AO47" i="34" s="1"/>
  <c r="AN41" i="34"/>
  <c r="AN47" i="34" s="1"/>
  <c r="AM41" i="34"/>
  <c r="AL41" i="34"/>
  <c r="AK41" i="34"/>
  <c r="AJ41" i="34"/>
  <c r="AI41" i="34"/>
  <c r="AH41" i="34"/>
  <c r="AH47" i="34" s="1"/>
  <c r="AG41" i="34"/>
  <c r="AG47" i="34" s="1"/>
  <c r="AF41" i="34"/>
  <c r="AF47" i="34" s="1"/>
  <c r="AA41" i="34"/>
  <c r="AA47" i="34" s="1"/>
  <c r="Z41" i="34"/>
  <c r="Z47" i="34" s="1"/>
  <c r="Y41" i="34"/>
  <c r="X41" i="34"/>
  <c r="W41" i="34"/>
  <c r="V41" i="34"/>
  <c r="U41" i="34"/>
  <c r="T41" i="34"/>
  <c r="T47" i="34" s="1"/>
  <c r="S41" i="34"/>
  <c r="S47" i="34" s="1"/>
  <c r="R41" i="34"/>
  <c r="R47" i="34" s="1"/>
  <c r="M41" i="34"/>
  <c r="M47" i="34" s="1"/>
  <c r="L41" i="34"/>
  <c r="L47" i="34" s="1"/>
  <c r="K41" i="34"/>
  <c r="J41" i="34"/>
  <c r="I41" i="34"/>
  <c r="H41" i="34"/>
  <c r="G41" i="34"/>
  <c r="F41" i="34"/>
  <c r="F47" i="34" s="1"/>
  <c r="G37" i="34"/>
  <c r="F37" i="34"/>
  <c r="G35" i="34"/>
  <c r="H35" i="34" s="1"/>
  <c r="B35" i="34"/>
  <c r="G32" i="34"/>
  <c r="F32" i="34"/>
  <c r="G30" i="34"/>
  <c r="H30" i="34" s="1"/>
  <c r="B30" i="34"/>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5" i="34"/>
  <c r="G27" i="34" s="1"/>
  <c r="B25" i="34"/>
  <c r="F24" i="34"/>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21" i="34"/>
  <c r="AU20" i="34"/>
  <c r="AU19" i="34"/>
  <c r="AU18" i="34"/>
  <c r="AU17" i="34"/>
  <c r="AU16" i="34"/>
  <c r="AU15" i="34"/>
  <c r="AU14" i="34"/>
  <c r="AU13" i="34"/>
  <c r="AU12" i="34"/>
  <c r="X12" i="34"/>
  <c r="BE45" i="34" s="1"/>
  <c r="O12" i="34"/>
  <c r="F12" i="34"/>
  <c r="AU11" i="34"/>
  <c r="AU10" i="34"/>
  <c r="F9" i="34"/>
  <c r="F8" i="34"/>
  <c r="AO3" i="34" s="1"/>
  <c r="AZ3" i="34"/>
  <c r="BC4" i="34" s="1"/>
  <c r="AO5" i="34" s="1"/>
  <c r="AV3" i="34"/>
  <c r="AL48" i="33"/>
  <c r="AE48" i="33"/>
  <c r="Y48" i="33"/>
  <c r="K48" i="33"/>
  <c r="BC47" i="33"/>
  <c r="AW47" i="33"/>
  <c r="AV47" i="33"/>
  <c r="AI47" i="33"/>
  <c r="U47" i="33"/>
  <c r="T47" i="33"/>
  <c r="M47" i="33"/>
  <c r="BC45" i="33"/>
  <c r="BA45" i="33"/>
  <c r="AZ45" i="33"/>
  <c r="AY45" i="33"/>
  <c r="AX45" i="33"/>
  <c r="AW45" i="33"/>
  <c r="AV45" i="33"/>
  <c r="AU45" i="33"/>
  <c r="AT45" i="33"/>
  <c r="AS45" i="33"/>
  <c r="AS48" i="33" s="1"/>
  <c r="AR45" i="33"/>
  <c r="AO45" i="33"/>
  <c r="AM45" i="33"/>
  <c r="AL45" i="33"/>
  <c r="AK45" i="33"/>
  <c r="AJ45" i="33"/>
  <c r="AI45" i="33"/>
  <c r="AH45" i="33"/>
  <c r="AG45" i="33"/>
  <c r="AF45" i="33"/>
  <c r="AE45" i="33"/>
  <c r="AD45" i="33"/>
  <c r="AA45" i="33"/>
  <c r="Y45" i="33"/>
  <c r="X45" i="33"/>
  <c r="W45" i="33"/>
  <c r="V45" i="33"/>
  <c r="U45" i="33"/>
  <c r="T45" i="33"/>
  <c r="S45" i="33"/>
  <c r="R45" i="33"/>
  <c r="Q45" i="33"/>
  <c r="Q48" i="33" s="1"/>
  <c r="P45" i="33"/>
  <c r="M45" i="33"/>
  <c r="K45" i="33"/>
  <c r="J45" i="33"/>
  <c r="I45" i="33"/>
  <c r="H45" i="33"/>
  <c r="G45" i="33"/>
  <c r="F45" i="33"/>
  <c r="BE44" i="33"/>
  <c r="BD44" i="33"/>
  <c r="BC44" i="33"/>
  <c r="BB44" i="33"/>
  <c r="AY44" i="33"/>
  <c r="AW44" i="33"/>
  <c r="AV44" i="33"/>
  <c r="AU44" i="33"/>
  <c r="AT44" i="33"/>
  <c r="AS44" i="33"/>
  <c r="AR44" i="33"/>
  <c r="AQ44" i="33"/>
  <c r="AP44" i="33"/>
  <c r="AO44" i="33"/>
  <c r="AO47" i="33" s="1"/>
  <c r="AN44" i="33"/>
  <c r="AK44" i="33"/>
  <c r="AI44" i="33"/>
  <c r="AH44" i="33"/>
  <c r="AH47" i="33" s="1"/>
  <c r="AG44" i="33"/>
  <c r="AF44" i="33"/>
  <c r="AE44" i="33"/>
  <c r="AD44" i="33"/>
  <c r="AC44" i="33"/>
  <c r="AB44" i="33"/>
  <c r="AA44" i="33"/>
  <c r="AA47" i="33" s="1"/>
  <c r="Z44" i="33"/>
  <c r="W44" i="33"/>
  <c r="U44" i="33"/>
  <c r="T44" i="33"/>
  <c r="S44" i="33"/>
  <c r="R44" i="33"/>
  <c r="Q44" i="33"/>
  <c r="P44" i="33"/>
  <c r="O44" i="33"/>
  <c r="N44" i="33"/>
  <c r="M44" i="33"/>
  <c r="L44" i="33"/>
  <c r="I44" i="33"/>
  <c r="G44" i="33"/>
  <c r="F44" i="33"/>
  <c r="BE42" i="33"/>
  <c r="BE48" i="33" s="1"/>
  <c r="BD42" i="33"/>
  <c r="BC42" i="33"/>
  <c r="BC48" i="33" s="1"/>
  <c r="BB42" i="33"/>
  <c r="BA42" i="33"/>
  <c r="BA48" i="33" s="1"/>
  <c r="AZ42" i="33"/>
  <c r="AZ48" i="33" s="1"/>
  <c r="AY42" i="33"/>
  <c r="AY48" i="33" s="1"/>
  <c r="AX42" i="33"/>
  <c r="AX48" i="33" s="1"/>
  <c r="AU42" i="33"/>
  <c r="AU48" i="33" s="1"/>
  <c r="AS42" i="33"/>
  <c r="AR42" i="33"/>
  <c r="AR48" i="33" s="1"/>
  <c r="AQ42" i="33"/>
  <c r="AP42" i="33"/>
  <c r="AO42" i="33"/>
  <c r="AO48" i="33" s="1"/>
  <c r="AN42" i="33"/>
  <c r="AM42" i="33"/>
  <c r="AM48" i="33" s="1"/>
  <c r="AL42" i="33"/>
  <c r="AK42" i="33"/>
  <c r="AJ42" i="33"/>
  <c r="AG42" i="33"/>
  <c r="AG48" i="33" s="1"/>
  <c r="AE42" i="33"/>
  <c r="AD42" i="33"/>
  <c r="AC42" i="33"/>
  <c r="AB42" i="33"/>
  <c r="AA42" i="33"/>
  <c r="AA48" i="33" s="1"/>
  <c r="Z42" i="33"/>
  <c r="Y42" i="33"/>
  <c r="X42" i="33"/>
  <c r="X48" i="33" s="1"/>
  <c r="W42" i="33"/>
  <c r="W48" i="33" s="1"/>
  <c r="V42" i="33"/>
  <c r="V48" i="33" s="1"/>
  <c r="S42" i="33"/>
  <c r="S48" i="33" s="1"/>
  <c r="Q42" i="33"/>
  <c r="P42" i="33"/>
  <c r="O42" i="33"/>
  <c r="N42" i="33"/>
  <c r="M42" i="33"/>
  <c r="M48" i="33" s="1"/>
  <c r="L42" i="33"/>
  <c r="K42" i="33"/>
  <c r="J42" i="33"/>
  <c r="J48" i="33" s="1"/>
  <c r="I42" i="33"/>
  <c r="H42" i="33"/>
  <c r="BE41" i="33"/>
  <c r="BE47" i="33" s="1"/>
  <c r="BC41" i="33"/>
  <c r="BB41" i="33"/>
  <c r="BA41" i="33"/>
  <c r="AZ41" i="33"/>
  <c r="AY41" i="33"/>
  <c r="AY47" i="33" s="1"/>
  <c r="AX41" i="33"/>
  <c r="AW41" i="33"/>
  <c r="AV41" i="33"/>
  <c r="AU41" i="33"/>
  <c r="AT41" i="33"/>
  <c r="AQ41" i="33"/>
  <c r="AQ47" i="33" s="1"/>
  <c r="AO41" i="33"/>
  <c r="AN41" i="33"/>
  <c r="AN47" i="33" s="1"/>
  <c r="AM41" i="33"/>
  <c r="AL41" i="33"/>
  <c r="AK41" i="33"/>
  <c r="AK47" i="33" s="1"/>
  <c r="AJ41" i="33"/>
  <c r="AI41" i="33"/>
  <c r="AH41" i="33"/>
  <c r="AG41" i="33"/>
  <c r="AF41" i="33"/>
  <c r="AF47" i="33" s="1"/>
  <c r="AC41" i="33"/>
  <c r="AC47" i="33" s="1"/>
  <c r="AA41" i="33"/>
  <c r="Z41" i="33"/>
  <c r="Y41" i="33"/>
  <c r="X41" i="33"/>
  <c r="W41" i="33"/>
  <c r="W47" i="33" s="1"/>
  <c r="V41" i="33"/>
  <c r="U41" i="33"/>
  <c r="T41" i="33"/>
  <c r="S41" i="33"/>
  <c r="S47" i="33" s="1"/>
  <c r="R41" i="33"/>
  <c r="O41" i="33"/>
  <c r="O47" i="33" s="1"/>
  <c r="M41" i="33"/>
  <c r="L41" i="33"/>
  <c r="K41" i="33"/>
  <c r="J41" i="33"/>
  <c r="I41" i="33"/>
  <c r="I47" i="33" s="1"/>
  <c r="H41" i="33"/>
  <c r="G41" i="33"/>
  <c r="G47" i="33" s="1"/>
  <c r="F41" i="33"/>
  <c r="F47" i="33" s="1"/>
  <c r="H37" i="33"/>
  <c r="G37" i="33"/>
  <c r="F37" i="33"/>
  <c r="K35" i="33"/>
  <c r="K37" i="33" s="1"/>
  <c r="J35" i="33"/>
  <c r="J37" i="33" s="1"/>
  <c r="G35" i="33"/>
  <c r="H35" i="33" s="1"/>
  <c r="I35" i="33" s="1"/>
  <c r="I37" i="33" s="1"/>
  <c r="B35" i="33"/>
  <c r="F32" i="33"/>
  <c r="G30" i="33"/>
  <c r="G32" i="33" s="1"/>
  <c r="B30" i="33"/>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F27" i="33"/>
  <c r="G25" i="33"/>
  <c r="H25" i="33" s="1"/>
  <c r="B25" i="33"/>
  <c r="F24" i="33"/>
  <c r="G24" i="33" s="1"/>
  <c r="H24" i="33" s="1"/>
  <c r="L23" i="33"/>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I23" i="33"/>
  <c r="J23" i="33" s="1"/>
  <c r="K23" i="33" s="1"/>
  <c r="G23" i="33"/>
  <c r="H23" i="33" s="1"/>
  <c r="AU21" i="33"/>
  <c r="AU20" i="33"/>
  <c r="AU19" i="33"/>
  <c r="AU18" i="33"/>
  <c r="AU17" i="33"/>
  <c r="AU16" i="33"/>
  <c r="AU15" i="33"/>
  <c r="AU14" i="33"/>
  <c r="AU13" i="33"/>
  <c r="AU12" i="33"/>
  <c r="X12" i="33"/>
  <c r="BE45" i="33" s="1"/>
  <c r="O12" i="33"/>
  <c r="F12" i="33"/>
  <c r="AU11" i="33"/>
  <c r="AU10" i="33"/>
  <c r="F9" i="33"/>
  <c r="F8" i="33"/>
  <c r="AO3" i="33" s="1"/>
  <c r="AZ3" i="33"/>
  <c r="AV3" i="33"/>
  <c r="BA48" i="32"/>
  <c r="AR48" i="32"/>
  <c r="AM48" i="32"/>
  <c r="Y48" i="32"/>
  <c r="Q48" i="32"/>
  <c r="P48" i="32"/>
  <c r="K48" i="32"/>
  <c r="J48" i="32"/>
  <c r="BC47" i="32"/>
  <c r="AW47" i="32"/>
  <c r="AI47" i="32"/>
  <c r="AH47" i="32"/>
  <c r="AA47" i="32"/>
  <c r="Z47" i="32"/>
  <c r="U47" i="32"/>
  <c r="T47" i="32"/>
  <c r="G47" i="32"/>
  <c r="BA45" i="32"/>
  <c r="AZ45" i="32"/>
  <c r="AY45" i="32"/>
  <c r="AX45" i="32"/>
  <c r="AW45" i="32"/>
  <c r="AV45" i="32"/>
  <c r="AU45" i="32"/>
  <c r="AT45" i="32"/>
  <c r="AS45" i="32"/>
  <c r="AS48" i="32" s="1"/>
  <c r="AR45" i="32"/>
  <c r="AM45" i="32"/>
  <c r="AL45" i="32"/>
  <c r="AK45" i="32"/>
  <c r="AJ45" i="32"/>
  <c r="AI45" i="32"/>
  <c r="AH45" i="32"/>
  <c r="AG45" i="32"/>
  <c r="AF45" i="32"/>
  <c r="AE45" i="32"/>
  <c r="AE48" i="32" s="1"/>
  <c r="AD45" i="32"/>
  <c r="AD48" i="32" s="1"/>
  <c r="Y45" i="32"/>
  <c r="X45" i="32"/>
  <c r="W45" i="32"/>
  <c r="V45" i="32"/>
  <c r="U45" i="32"/>
  <c r="T45" i="32"/>
  <c r="S45" i="32"/>
  <c r="R45" i="32"/>
  <c r="Q45" i="32"/>
  <c r="P45" i="32"/>
  <c r="K45" i="32"/>
  <c r="J45" i="32"/>
  <c r="I45" i="32"/>
  <c r="H45" i="32"/>
  <c r="G45" i="32"/>
  <c r="F45" i="32"/>
  <c r="BE44" i="32"/>
  <c r="BD44" i="32"/>
  <c r="BC44" i="32"/>
  <c r="BB44" i="32"/>
  <c r="BB47" i="32" s="1"/>
  <c r="AW44" i="32"/>
  <c r="AV44" i="32"/>
  <c r="AU44" i="32"/>
  <c r="AT44" i="32"/>
  <c r="AS44" i="32"/>
  <c r="AR44" i="32"/>
  <c r="AQ44" i="32"/>
  <c r="AP44" i="32"/>
  <c r="AO44" i="32"/>
  <c r="AO47" i="32" s="1"/>
  <c r="AN44" i="32"/>
  <c r="AN47" i="32" s="1"/>
  <c r="AI44" i="32"/>
  <c r="AH44" i="32"/>
  <c r="AG44" i="32"/>
  <c r="AF44" i="32"/>
  <c r="AE44" i="32"/>
  <c r="AD44" i="32"/>
  <c r="AC44" i="32"/>
  <c r="AB44" i="32"/>
  <c r="AA44" i="32"/>
  <c r="Z44" i="32"/>
  <c r="U44" i="32"/>
  <c r="T44" i="32"/>
  <c r="S44" i="32"/>
  <c r="R44" i="32"/>
  <c r="Q44" i="32"/>
  <c r="P44" i="32"/>
  <c r="O44" i="32"/>
  <c r="N44" i="32"/>
  <c r="M44" i="32"/>
  <c r="M47" i="32" s="1"/>
  <c r="L44" i="32"/>
  <c r="L47" i="32" s="1"/>
  <c r="G44" i="32"/>
  <c r="F44" i="32"/>
  <c r="BE42" i="32"/>
  <c r="BE48" i="32" s="1"/>
  <c r="BD42" i="32"/>
  <c r="BC42" i="32"/>
  <c r="BB42" i="32"/>
  <c r="BA42" i="32"/>
  <c r="AZ42" i="32"/>
  <c r="AZ48" i="32" s="1"/>
  <c r="AY42" i="32"/>
  <c r="AY48" i="32" s="1"/>
  <c r="AX42" i="32"/>
  <c r="AS42" i="32"/>
  <c r="AR42" i="32"/>
  <c r="AQ42" i="32"/>
  <c r="AP42" i="32"/>
  <c r="AO42" i="32"/>
  <c r="AN42" i="32"/>
  <c r="AM42" i="32"/>
  <c r="AL42" i="32"/>
  <c r="AL48" i="32" s="1"/>
  <c r="AK42" i="32"/>
  <c r="AK48" i="32" s="1"/>
  <c r="AJ42" i="32"/>
  <c r="AJ48" i="32" s="1"/>
  <c r="AE42" i="32"/>
  <c r="AD42" i="32"/>
  <c r="AC42" i="32"/>
  <c r="AB42" i="32"/>
  <c r="AA42" i="32"/>
  <c r="Z42" i="32"/>
  <c r="Y42" i="32"/>
  <c r="X42" i="32"/>
  <c r="X48" i="32" s="1"/>
  <c r="W42" i="32"/>
  <c r="V42" i="32"/>
  <c r="V48" i="32" s="1"/>
  <c r="Q42" i="32"/>
  <c r="P42" i="32"/>
  <c r="O42" i="32"/>
  <c r="N42" i="32"/>
  <c r="M42" i="32"/>
  <c r="L42" i="32"/>
  <c r="K42" i="32"/>
  <c r="J42" i="32"/>
  <c r="I42" i="32"/>
  <c r="H42" i="32"/>
  <c r="BC41" i="32"/>
  <c r="BB41" i="32"/>
  <c r="BA41" i="32"/>
  <c r="AZ41" i="32"/>
  <c r="AY41" i="32"/>
  <c r="AX41" i="32"/>
  <c r="AW41" i="32"/>
  <c r="AV41" i="32"/>
  <c r="AV47" i="32" s="1"/>
  <c r="AU41" i="32"/>
  <c r="AU47" i="32" s="1"/>
  <c r="AT41" i="32"/>
  <c r="AT47" i="32" s="1"/>
  <c r="AO41" i="32"/>
  <c r="AN41" i="32"/>
  <c r="AM41" i="32"/>
  <c r="AL41" i="32"/>
  <c r="AK41" i="32"/>
  <c r="AJ41" i="32"/>
  <c r="AI41" i="32"/>
  <c r="AH41" i="32"/>
  <c r="AG41" i="32"/>
  <c r="AG47" i="32" s="1"/>
  <c r="AF41" i="32"/>
  <c r="AF47" i="32" s="1"/>
  <c r="AA41" i="32"/>
  <c r="Z41" i="32"/>
  <c r="Y41" i="32"/>
  <c r="X41" i="32"/>
  <c r="W41" i="32"/>
  <c r="V41" i="32"/>
  <c r="U41" i="32"/>
  <c r="T41" i="32"/>
  <c r="S41" i="32"/>
  <c r="R41" i="32"/>
  <c r="M41" i="32"/>
  <c r="L41" i="32"/>
  <c r="K41" i="32"/>
  <c r="J41" i="32"/>
  <c r="I41" i="32"/>
  <c r="H41" i="32"/>
  <c r="G41" i="32"/>
  <c r="F41" i="32"/>
  <c r="F47" i="32" s="1"/>
  <c r="G37" i="32"/>
  <c r="F37" i="32"/>
  <c r="G35" i="32"/>
  <c r="H35" i="32" s="1"/>
  <c r="B35" i="32"/>
  <c r="G32" i="32"/>
  <c r="F32" i="32"/>
  <c r="H30" i="32"/>
  <c r="I30" i="32" s="1"/>
  <c r="G30" i="32"/>
  <c r="B30"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5" i="32"/>
  <c r="G27" i="32" s="1"/>
  <c r="B25" i="32"/>
  <c r="F24" i="32"/>
  <c r="G24" i="32"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AU21" i="32"/>
  <c r="AU20" i="32"/>
  <c r="AU19" i="32"/>
  <c r="AU18" i="32"/>
  <c r="AU17" i="32"/>
  <c r="AU16" i="32"/>
  <c r="AU15" i="32"/>
  <c r="AU14" i="32"/>
  <c r="AU13" i="32"/>
  <c r="AU12" i="32"/>
  <c r="X12" i="32"/>
  <c r="BE45" i="32" s="1"/>
  <c r="O12" i="32"/>
  <c r="F12" i="32"/>
  <c r="AU11" i="32"/>
  <c r="AU10" i="32"/>
  <c r="F9" i="32"/>
  <c r="F8" i="32"/>
  <c r="AO3" i="32" s="1"/>
  <c r="AZ3" i="32"/>
  <c r="BE51" i="32" s="1"/>
  <c r="AV3" i="32"/>
  <c r="BA48" i="31"/>
  <c r="AM48" i="31"/>
  <c r="K48" i="31"/>
  <c r="J48" i="31"/>
  <c r="AW47" i="31"/>
  <c r="AI47" i="31"/>
  <c r="AH47" i="31"/>
  <c r="U47" i="31"/>
  <c r="G47" i="31"/>
  <c r="BA45" i="31"/>
  <c r="AZ45" i="31"/>
  <c r="AY45" i="31"/>
  <c r="AX45" i="31"/>
  <c r="AW45" i="31"/>
  <c r="AV45" i="31"/>
  <c r="AU45" i="31"/>
  <c r="AT45" i="31"/>
  <c r="AS45" i="31"/>
  <c r="AS48" i="31" s="1"/>
  <c r="AR45" i="31"/>
  <c r="AM45" i="31"/>
  <c r="AL45" i="31"/>
  <c r="AK45" i="31"/>
  <c r="AJ45" i="31"/>
  <c r="AI45" i="31"/>
  <c r="AH45" i="31"/>
  <c r="AG45" i="31"/>
  <c r="AF45" i="31"/>
  <c r="AE45" i="31"/>
  <c r="AE48" i="31" s="1"/>
  <c r="AD45" i="31"/>
  <c r="Y45" i="31"/>
  <c r="X45" i="31"/>
  <c r="W45" i="31"/>
  <c r="V45" i="31"/>
  <c r="U45" i="31"/>
  <c r="T45" i="31"/>
  <c r="S45" i="31"/>
  <c r="R45" i="31"/>
  <c r="Q45" i="31"/>
  <c r="Q48" i="31" s="1"/>
  <c r="P45" i="31"/>
  <c r="K45" i="31"/>
  <c r="J45" i="31"/>
  <c r="I45" i="31"/>
  <c r="H45" i="31"/>
  <c r="G45" i="31"/>
  <c r="F45" i="31"/>
  <c r="BE44" i="31"/>
  <c r="BD44" i="31"/>
  <c r="BC44" i="31"/>
  <c r="BC47" i="31" s="1"/>
  <c r="BB44" i="31"/>
  <c r="AW44" i="31"/>
  <c r="AV44" i="31"/>
  <c r="AU44" i="31"/>
  <c r="AT44" i="31"/>
  <c r="AS44" i="31"/>
  <c r="AR44" i="31"/>
  <c r="AQ44" i="31"/>
  <c r="AP44" i="31"/>
  <c r="AO44" i="31"/>
  <c r="AO47" i="31" s="1"/>
  <c r="AN44" i="31"/>
  <c r="AI44" i="31"/>
  <c r="AH44" i="31"/>
  <c r="AG44" i="31"/>
  <c r="AF44" i="31"/>
  <c r="AE44" i="31"/>
  <c r="AD44" i="31"/>
  <c r="AC44" i="31"/>
  <c r="AB44" i="31"/>
  <c r="AA44" i="31"/>
  <c r="AA47" i="31" s="1"/>
  <c r="Z44" i="31"/>
  <c r="U44" i="31"/>
  <c r="T44" i="31"/>
  <c r="S44" i="31"/>
  <c r="R44" i="31"/>
  <c r="Q44" i="31"/>
  <c r="P44" i="31"/>
  <c r="O44" i="31"/>
  <c r="N44" i="31"/>
  <c r="M44" i="31"/>
  <c r="M47" i="31" s="1"/>
  <c r="L44" i="31"/>
  <c r="G44" i="31"/>
  <c r="F44" i="31"/>
  <c r="BE42" i="31"/>
  <c r="BD42" i="31"/>
  <c r="BC42" i="31"/>
  <c r="BB42" i="31"/>
  <c r="BA42" i="31"/>
  <c r="AZ42" i="31"/>
  <c r="AZ48" i="31" s="1"/>
  <c r="AY42" i="31"/>
  <c r="AY48" i="31" s="1"/>
  <c r="AX42" i="31"/>
  <c r="AX48" i="31" s="1"/>
  <c r="AS42" i="31"/>
  <c r="AR42" i="31"/>
  <c r="AR48" i="31" s="1"/>
  <c r="AQ42" i="31"/>
  <c r="AP42" i="31"/>
  <c r="AO42" i="31"/>
  <c r="AN42" i="31"/>
  <c r="AM42" i="31"/>
  <c r="AL42" i="31"/>
  <c r="AL48" i="31" s="1"/>
  <c r="AK42" i="31"/>
  <c r="AK48" i="31" s="1"/>
  <c r="AJ42" i="31"/>
  <c r="AJ48" i="31" s="1"/>
  <c r="AE42" i="31"/>
  <c r="AD42" i="31"/>
  <c r="AD48" i="31" s="1"/>
  <c r="AC42" i="31"/>
  <c r="AB42" i="31"/>
  <c r="AA42" i="31"/>
  <c r="Z42" i="31"/>
  <c r="Y42" i="31"/>
  <c r="Y48" i="31" s="1"/>
  <c r="X42" i="31"/>
  <c r="X48" i="31" s="1"/>
  <c r="W42" i="31"/>
  <c r="W48" i="31" s="1"/>
  <c r="V42" i="31"/>
  <c r="V48" i="31" s="1"/>
  <c r="Q42" i="31"/>
  <c r="P42" i="31"/>
  <c r="P48" i="31" s="1"/>
  <c r="O42" i="31"/>
  <c r="N42" i="31"/>
  <c r="M42" i="31"/>
  <c r="L42" i="31"/>
  <c r="K42" i="31"/>
  <c r="J42" i="31"/>
  <c r="I42" i="31"/>
  <c r="I48" i="31" s="1"/>
  <c r="H42" i="31"/>
  <c r="H48" i="31" s="1"/>
  <c r="BC41" i="31"/>
  <c r="BB41" i="31"/>
  <c r="BB47" i="31" s="1"/>
  <c r="BA41" i="31"/>
  <c r="AZ41" i="31"/>
  <c r="AY41" i="31"/>
  <c r="AX41" i="31"/>
  <c r="AW41" i="31"/>
  <c r="AV41" i="31"/>
  <c r="AV47" i="31" s="1"/>
  <c r="AU41" i="31"/>
  <c r="AU47" i="31" s="1"/>
  <c r="AT41" i="31"/>
  <c r="AT47" i="31" s="1"/>
  <c r="AO41" i="31"/>
  <c r="AN41" i="31"/>
  <c r="AM41" i="31"/>
  <c r="AL41" i="31"/>
  <c r="AK41" i="31"/>
  <c r="AJ41" i="31"/>
  <c r="AI41" i="31"/>
  <c r="AH41" i="31"/>
  <c r="AG41" i="31"/>
  <c r="AG47" i="31" s="1"/>
  <c r="AF41" i="31"/>
  <c r="AF47" i="31" s="1"/>
  <c r="AA41" i="31"/>
  <c r="Z41" i="31"/>
  <c r="Z47" i="31" s="1"/>
  <c r="Y41" i="31"/>
  <c r="X41" i="31"/>
  <c r="W41" i="31"/>
  <c r="V41" i="31"/>
  <c r="U41" i="31"/>
  <c r="T41" i="31"/>
  <c r="T47" i="31" s="1"/>
  <c r="S41" i="31"/>
  <c r="S47" i="31" s="1"/>
  <c r="R41" i="31"/>
  <c r="R47" i="31" s="1"/>
  <c r="M41" i="31"/>
  <c r="L41" i="31"/>
  <c r="L47" i="31" s="1"/>
  <c r="K41" i="31"/>
  <c r="J41" i="31"/>
  <c r="I41" i="31"/>
  <c r="H41" i="31"/>
  <c r="G41" i="31"/>
  <c r="F41" i="31"/>
  <c r="F47" i="31" s="1"/>
  <c r="G37" i="31"/>
  <c r="F37" i="31"/>
  <c r="G35" i="31"/>
  <c r="H35" i="31" s="1"/>
  <c r="B35" i="31"/>
  <c r="I32" i="31"/>
  <c r="H32" i="31"/>
  <c r="G32" i="31"/>
  <c r="F32" i="31"/>
  <c r="H30" i="31"/>
  <c r="I30" i="31" s="1"/>
  <c r="J30" i="31" s="1"/>
  <c r="G30" i="31"/>
  <c r="B30" i="3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G25" i="31"/>
  <c r="B25" i="31"/>
  <c r="F24" i="31"/>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21" i="31"/>
  <c r="AU20" i="31"/>
  <c r="AU19" i="31"/>
  <c r="AU18" i="31"/>
  <c r="AU17" i="31"/>
  <c r="AU16" i="31"/>
  <c r="AU15" i="31"/>
  <c r="AU14" i="31"/>
  <c r="AU13" i="31"/>
  <c r="AU12" i="31"/>
  <c r="X12" i="31"/>
  <c r="BE45" i="31" s="1"/>
  <c r="O12" i="31"/>
  <c r="F12" i="31"/>
  <c r="AU11" i="31"/>
  <c r="AU10" i="31"/>
  <c r="F9" i="31"/>
  <c r="F8" i="31"/>
  <c r="AO3" i="31" s="1"/>
  <c r="AZ3" i="31"/>
  <c r="BC4" i="31" s="1"/>
  <c r="AO5" i="31" s="1"/>
  <c r="AV3" i="31"/>
  <c r="AS48" i="30"/>
  <c r="AM48" i="30"/>
  <c r="AL48" i="30"/>
  <c r="AE48" i="30"/>
  <c r="K48" i="30"/>
  <c r="J48" i="30"/>
  <c r="BC47" i="30"/>
  <c r="U47" i="30"/>
  <c r="T47" i="30"/>
  <c r="BA45" i="30"/>
  <c r="AZ45" i="30"/>
  <c r="AY45" i="30"/>
  <c r="AX45" i="30"/>
  <c r="AW45" i="30"/>
  <c r="AV45" i="30"/>
  <c r="AU45" i="30"/>
  <c r="AT45" i="30"/>
  <c r="AS45" i="30"/>
  <c r="AR45" i="30"/>
  <c r="AM45" i="30"/>
  <c r="AL45" i="30"/>
  <c r="AK45" i="30"/>
  <c r="AJ45" i="30"/>
  <c r="AI45" i="30"/>
  <c r="AH45" i="30"/>
  <c r="AG45" i="30"/>
  <c r="AF45" i="30"/>
  <c r="AE45" i="30"/>
  <c r="AD45" i="30"/>
  <c r="Y45" i="30"/>
  <c r="X45" i="30"/>
  <c r="W45" i="30"/>
  <c r="V45" i="30"/>
  <c r="U45" i="30"/>
  <c r="T45" i="30"/>
  <c r="S45" i="30"/>
  <c r="R45" i="30"/>
  <c r="Q45" i="30"/>
  <c r="Q48" i="30" s="1"/>
  <c r="P45" i="30"/>
  <c r="K45" i="30"/>
  <c r="J45" i="30"/>
  <c r="I45" i="30"/>
  <c r="H45" i="30"/>
  <c r="G45" i="30"/>
  <c r="F45" i="30"/>
  <c r="BE44" i="30"/>
  <c r="BD44" i="30"/>
  <c r="BC44" i="30"/>
  <c r="BB44" i="30"/>
  <c r="AW44" i="30"/>
  <c r="AV44" i="30"/>
  <c r="AU44" i="30"/>
  <c r="AT44" i="30"/>
  <c r="AS44" i="30"/>
  <c r="AR44" i="30"/>
  <c r="AQ44" i="30"/>
  <c r="AP44" i="30"/>
  <c r="AO44" i="30"/>
  <c r="AO47" i="30" s="1"/>
  <c r="AN44" i="30"/>
  <c r="AI44" i="30"/>
  <c r="AH44" i="30"/>
  <c r="AG44" i="30"/>
  <c r="AF44" i="30"/>
  <c r="AE44" i="30"/>
  <c r="AD44" i="30"/>
  <c r="AC44" i="30"/>
  <c r="AB44" i="30"/>
  <c r="AA44" i="30"/>
  <c r="AA47" i="30" s="1"/>
  <c r="Z44" i="30"/>
  <c r="U44" i="30"/>
  <c r="T44" i="30"/>
  <c r="S44" i="30"/>
  <c r="R44" i="30"/>
  <c r="Q44" i="30"/>
  <c r="P44" i="30"/>
  <c r="O44" i="30"/>
  <c r="N44" i="30"/>
  <c r="M44" i="30"/>
  <c r="M47" i="30" s="1"/>
  <c r="L44" i="30"/>
  <c r="G44" i="30"/>
  <c r="F44" i="30"/>
  <c r="BE42" i="30"/>
  <c r="BE48" i="30" s="1"/>
  <c r="BD42" i="30"/>
  <c r="BC42" i="30"/>
  <c r="BB42" i="30"/>
  <c r="BA42" i="30"/>
  <c r="BA48" i="30" s="1"/>
  <c r="AZ42" i="30"/>
  <c r="AZ48" i="30" s="1"/>
  <c r="AY42" i="30"/>
  <c r="AX42" i="30"/>
  <c r="AX48" i="30" s="1"/>
  <c r="AS42" i="30"/>
  <c r="AR42" i="30"/>
  <c r="AR48" i="30" s="1"/>
  <c r="AQ42" i="30"/>
  <c r="AP42" i="30"/>
  <c r="AO42" i="30"/>
  <c r="AN42" i="30"/>
  <c r="AM42" i="30"/>
  <c r="AL42" i="30"/>
  <c r="AK42" i="30"/>
  <c r="AK48" i="30" s="1"/>
  <c r="AJ42" i="30"/>
  <c r="AJ48" i="30" s="1"/>
  <c r="AE42" i="30"/>
  <c r="AD42" i="30"/>
  <c r="AD48" i="30" s="1"/>
  <c r="AC42" i="30"/>
  <c r="AB42" i="30"/>
  <c r="AA42" i="30"/>
  <c r="Z42" i="30"/>
  <c r="Y42" i="30"/>
  <c r="Y48" i="30" s="1"/>
  <c r="X42" i="30"/>
  <c r="X48" i="30" s="1"/>
  <c r="W42" i="30"/>
  <c r="W48" i="30" s="1"/>
  <c r="V42" i="30"/>
  <c r="V48" i="30" s="1"/>
  <c r="Q42" i="30"/>
  <c r="P42" i="30"/>
  <c r="P48" i="30" s="1"/>
  <c r="O42" i="30"/>
  <c r="N42" i="30"/>
  <c r="M42" i="30"/>
  <c r="L42" i="30"/>
  <c r="K42" i="30"/>
  <c r="J42" i="30"/>
  <c r="I42" i="30"/>
  <c r="H42" i="30"/>
  <c r="H48" i="30" s="1"/>
  <c r="BC41" i="30"/>
  <c r="BB41" i="30"/>
  <c r="BB47" i="30" s="1"/>
  <c r="BA41" i="30"/>
  <c r="AZ41" i="30"/>
  <c r="AY41" i="30"/>
  <c r="AX41" i="30"/>
  <c r="AW41" i="30"/>
  <c r="AW47" i="30" s="1"/>
  <c r="AV41" i="30"/>
  <c r="AV47" i="30" s="1"/>
  <c r="AU41" i="30"/>
  <c r="AU47" i="30" s="1"/>
  <c r="AT41" i="30"/>
  <c r="AT47" i="30" s="1"/>
  <c r="AO41" i="30"/>
  <c r="AN41" i="30"/>
  <c r="AM41" i="30"/>
  <c r="AL41" i="30"/>
  <c r="AK41" i="30"/>
  <c r="AJ41" i="30"/>
  <c r="AI41" i="30"/>
  <c r="AI47" i="30" s="1"/>
  <c r="AH41" i="30"/>
  <c r="AH47" i="30" s="1"/>
  <c r="AG41" i="30"/>
  <c r="AG47" i="30" s="1"/>
  <c r="AF41" i="30"/>
  <c r="AF47" i="30" s="1"/>
  <c r="AA41" i="30"/>
  <c r="Z41" i="30"/>
  <c r="Z47" i="30" s="1"/>
  <c r="Y41" i="30"/>
  <c r="X41" i="30"/>
  <c r="W41" i="30"/>
  <c r="V41" i="30"/>
  <c r="U41" i="30"/>
  <c r="T41" i="30"/>
  <c r="S41" i="30"/>
  <c r="R41" i="30"/>
  <c r="R47" i="30" s="1"/>
  <c r="M41" i="30"/>
  <c r="L41" i="30"/>
  <c r="K41" i="30"/>
  <c r="J41" i="30"/>
  <c r="I41" i="30"/>
  <c r="H41" i="30"/>
  <c r="G41" i="30"/>
  <c r="G47" i="30" s="1"/>
  <c r="F41" i="30"/>
  <c r="F47" i="30" s="1"/>
  <c r="G37" i="30"/>
  <c r="F37" i="30"/>
  <c r="G35" i="30"/>
  <c r="H35" i="30" s="1"/>
  <c r="I35" i="30" s="1"/>
  <c r="I37" i="30" s="1"/>
  <c r="B35" i="30"/>
  <c r="H32" i="30"/>
  <c r="G32" i="30"/>
  <c r="F32" i="30"/>
  <c r="I30" i="30"/>
  <c r="J30" i="30" s="1"/>
  <c r="G30" i="30"/>
  <c r="H30" i="30" s="1"/>
  <c r="B30" i="30"/>
  <c r="G27" i="30"/>
  <c r="F27" i="30"/>
  <c r="H25" i="30"/>
  <c r="H27" i="30" s="1"/>
  <c r="G25" i="30"/>
  <c r="B25" i="30"/>
  <c r="G24" i="30"/>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21" i="30"/>
  <c r="AU20" i="30"/>
  <c r="AU19" i="30"/>
  <c r="AU18" i="30"/>
  <c r="AU17" i="30"/>
  <c r="AU16" i="30"/>
  <c r="AU15" i="30"/>
  <c r="AU14" i="30"/>
  <c r="AU13" i="30"/>
  <c r="AU12" i="30"/>
  <c r="X12" i="30"/>
  <c r="BE45" i="30" s="1"/>
  <c r="O12" i="30"/>
  <c r="F12" i="30"/>
  <c r="AU11" i="30"/>
  <c r="AU10" i="30"/>
  <c r="F9" i="30"/>
  <c r="F8" i="30"/>
  <c r="AO3" i="30" s="1"/>
  <c r="AZ3" i="30"/>
  <c r="BC4" i="30" s="1"/>
  <c r="AO5" i="30" s="1"/>
  <c r="AV3" i="30"/>
  <c r="BA48" i="13"/>
  <c r="AZ48" i="13"/>
  <c r="AL48" i="13"/>
  <c r="Y48" i="13"/>
  <c r="X48" i="13"/>
  <c r="K48" i="13"/>
  <c r="G47" i="13"/>
  <c r="BE45" i="13"/>
  <c r="BA45" i="13"/>
  <c r="AZ45" i="13"/>
  <c r="AW45" i="13"/>
  <c r="AV45" i="13"/>
  <c r="AU45" i="13"/>
  <c r="AT45" i="13"/>
  <c r="AS45" i="13"/>
  <c r="AR45" i="13"/>
  <c r="AQ45" i="13"/>
  <c r="AM45" i="13"/>
  <c r="AL45" i="13"/>
  <c r="AI45" i="13"/>
  <c r="AH45" i="13"/>
  <c r="AG45" i="13"/>
  <c r="AF45" i="13"/>
  <c r="AE45" i="13"/>
  <c r="AD45" i="13"/>
  <c r="AC45" i="13"/>
  <c r="Y45" i="13"/>
  <c r="X45" i="13"/>
  <c r="U45" i="13"/>
  <c r="T45" i="13"/>
  <c r="S45" i="13"/>
  <c r="R45" i="13"/>
  <c r="Q45" i="13"/>
  <c r="P45" i="13"/>
  <c r="O45" i="13"/>
  <c r="K45" i="13"/>
  <c r="J45" i="13"/>
  <c r="G45" i="13"/>
  <c r="F45" i="13"/>
  <c r="BE44" i="13"/>
  <c r="BD44" i="13"/>
  <c r="BC44" i="13"/>
  <c r="BB44" i="13"/>
  <c r="BA44" i="13"/>
  <c r="AW44" i="13"/>
  <c r="AV44" i="13"/>
  <c r="AS44" i="13"/>
  <c r="AR44" i="13"/>
  <c r="AQ44" i="13"/>
  <c r="AP44" i="13"/>
  <c r="AO44" i="13"/>
  <c r="AN44" i="13"/>
  <c r="AM44" i="13"/>
  <c r="AI44" i="13"/>
  <c r="AH44" i="13"/>
  <c r="AE44" i="13"/>
  <c r="AD44" i="13"/>
  <c r="AC44" i="13"/>
  <c r="AB44" i="13"/>
  <c r="AA44" i="13"/>
  <c r="Z44" i="13"/>
  <c r="Y44" i="13"/>
  <c r="U44" i="13"/>
  <c r="T44" i="13"/>
  <c r="Q44" i="13"/>
  <c r="P44" i="13"/>
  <c r="O44" i="13"/>
  <c r="N44" i="13"/>
  <c r="M44" i="13"/>
  <c r="L44" i="13"/>
  <c r="K44" i="13"/>
  <c r="G44" i="13"/>
  <c r="F44" i="13"/>
  <c r="BC42" i="13"/>
  <c r="BB42" i="13"/>
  <c r="BA42" i="13"/>
  <c r="AZ42" i="13"/>
  <c r="AY42" i="13"/>
  <c r="AX42" i="13"/>
  <c r="AW42" i="13"/>
  <c r="AW48" i="13" s="1"/>
  <c r="AS42" i="13"/>
  <c r="AR42" i="13"/>
  <c r="AR48" i="13" s="1"/>
  <c r="AO42" i="13"/>
  <c r="AN42" i="13"/>
  <c r="AM42" i="13"/>
  <c r="AM48" i="13" s="1"/>
  <c r="AL42" i="13"/>
  <c r="AK42" i="13"/>
  <c r="AJ42" i="13"/>
  <c r="AI42" i="13"/>
  <c r="AI48" i="13" s="1"/>
  <c r="AE42" i="13"/>
  <c r="AD42" i="13"/>
  <c r="AA42" i="13"/>
  <c r="Z42" i="13"/>
  <c r="Y42" i="13"/>
  <c r="X42" i="13"/>
  <c r="W42" i="13"/>
  <c r="V42" i="13"/>
  <c r="U42" i="13"/>
  <c r="U48" i="13" s="1"/>
  <c r="Q42" i="13"/>
  <c r="Q48" i="13" s="1"/>
  <c r="P42" i="13"/>
  <c r="M42" i="13"/>
  <c r="L42" i="13"/>
  <c r="K42" i="13"/>
  <c r="J42" i="13"/>
  <c r="J48" i="13" s="1"/>
  <c r="I42" i="13"/>
  <c r="H42" i="13"/>
  <c r="G42" i="13"/>
  <c r="G48" i="13" s="1"/>
  <c r="G41" i="13"/>
  <c r="F41" i="13"/>
  <c r="F47" i="13" s="1"/>
  <c r="F37" i="13"/>
  <c r="G35" i="13"/>
  <c r="H35" i="13" s="1"/>
  <c r="H37" i="13" s="1"/>
  <c r="B35" i="13"/>
  <c r="G32" i="13"/>
  <c r="F32" i="13"/>
  <c r="J30" i="13"/>
  <c r="J32" i="13" s="1"/>
  <c r="G30" i="13"/>
  <c r="H30" i="13" s="1"/>
  <c r="I30" i="13" s="1"/>
  <c r="I32" i="13" s="1"/>
  <c r="B30" i="13"/>
  <c r="F27" i="13"/>
  <c r="G25" i="13"/>
  <c r="B25" i="13"/>
  <c r="G24" i="13"/>
  <c r="H24" i="13" s="1"/>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U21" i="13"/>
  <c r="AU20" i="13"/>
  <c r="AU19" i="13"/>
  <c r="AU18" i="13"/>
  <c r="AU17" i="13"/>
  <c r="AU16" i="13"/>
  <c r="AU15" i="13"/>
  <c r="AU14" i="13"/>
  <c r="AU13" i="13"/>
  <c r="AU12" i="13"/>
  <c r="X12" i="13"/>
  <c r="BD45" i="13" s="1"/>
  <c r="O12" i="13"/>
  <c r="F12" i="13"/>
  <c r="AU11" i="13"/>
  <c r="AU10" i="13"/>
  <c r="F9" i="13"/>
  <c r="F8" i="13"/>
  <c r="AO3" i="13" s="1"/>
  <c r="AZ3" i="13"/>
  <c r="G50" i="13" s="1"/>
  <c r="AV3" i="13"/>
  <c r="F37" i="35"/>
  <c r="G35" i="35"/>
  <c r="F32" i="35"/>
  <c r="G30" i="35"/>
  <c r="G32" i="35" s="1"/>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F27" i="35"/>
  <c r="G25" i="35"/>
  <c r="H25" i="35" s="1"/>
  <c r="I25" i="35" s="1"/>
  <c r="I27" i="35" s="1"/>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5"/>
  <c r="X12" i="36"/>
  <c r="X12" i="38"/>
  <c r="X12" i="39"/>
  <c r="O12" i="35"/>
  <c r="O12" i="36"/>
  <c r="O12" i="38"/>
  <c r="O12" i="39"/>
  <c r="F12" i="35"/>
  <c r="F12" i="36"/>
  <c r="F12" i="38"/>
  <c r="F12" i="39"/>
  <c r="X12" i="5"/>
  <c r="O12" i="5"/>
  <c r="F12" i="5"/>
  <c r="AV3" i="35"/>
  <c r="AV3" i="36"/>
  <c r="AV3" i="38"/>
  <c r="AV3" i="39"/>
  <c r="F9" i="35"/>
  <c r="F9" i="36"/>
  <c r="F9" i="38"/>
  <c r="F9" i="39"/>
  <c r="F9" i="5"/>
  <c r="F8" i="35"/>
  <c r="F8" i="36"/>
  <c r="F8" i="38"/>
  <c r="F8" i="39"/>
  <c r="AV3" i="5"/>
  <c r="F8" i="5"/>
  <c r="B35" i="35"/>
  <c r="B35" i="36"/>
  <c r="B35" i="38"/>
  <c r="B35" i="39"/>
  <c r="B30" i="35"/>
  <c r="B30" i="36"/>
  <c r="B30" i="38"/>
  <c r="B30" i="39"/>
  <c r="B25" i="35"/>
  <c r="B25" i="36"/>
  <c r="B25" i="38"/>
  <c r="B25" i="39"/>
  <c r="B35" i="5"/>
  <c r="B30" i="5"/>
  <c r="B25" i="5"/>
  <c r="P51" i="34" l="1"/>
  <c r="Q51" i="34"/>
  <c r="V51" i="34"/>
  <c r="AR51" i="34"/>
  <c r="S51" i="33"/>
  <c r="BC51" i="33"/>
  <c r="AS51" i="34"/>
  <c r="AR51" i="33"/>
  <c r="Y51" i="34"/>
  <c r="AA51" i="33"/>
  <c r="F50" i="34"/>
  <c r="AD51" i="34"/>
  <c r="AM51" i="34"/>
  <c r="AE51" i="34"/>
  <c r="AX47" i="34"/>
  <c r="BE48" i="34"/>
  <c r="I30" i="34"/>
  <c r="H32" i="34"/>
  <c r="BA47" i="34"/>
  <c r="AO48" i="34"/>
  <c r="BE51" i="34"/>
  <c r="AJ47" i="34"/>
  <c r="I35" i="34"/>
  <c r="H37" i="34"/>
  <c r="AA48" i="34"/>
  <c r="V47" i="34"/>
  <c r="AY47" i="34"/>
  <c r="L48" i="34"/>
  <c r="Y47" i="34"/>
  <c r="H25" i="34"/>
  <c r="X51" i="33"/>
  <c r="AO51" i="33"/>
  <c r="AS51" i="33"/>
  <c r="G24" i="34"/>
  <c r="H24" i="34" s="1"/>
  <c r="G51" i="34"/>
  <c r="AJ51" i="34"/>
  <c r="AX51" i="34"/>
  <c r="W51" i="34"/>
  <c r="AK51" i="34"/>
  <c r="AY51" i="34"/>
  <c r="X51" i="34"/>
  <c r="AL51" i="34"/>
  <c r="AZ51" i="34"/>
  <c r="BA51" i="34"/>
  <c r="N41" i="34"/>
  <c r="N47" i="34" s="1"/>
  <c r="AB41" i="34"/>
  <c r="AB47" i="34" s="1"/>
  <c r="AP41" i="34"/>
  <c r="AP47" i="34" s="1"/>
  <c r="BD41" i="34"/>
  <c r="BD47" i="34" s="1"/>
  <c r="R42" i="34"/>
  <c r="R48" i="34" s="1"/>
  <c r="R51" i="34" s="1"/>
  <c r="AF42" i="34"/>
  <c r="AF48" i="34" s="1"/>
  <c r="AF51" i="34" s="1"/>
  <c r="AT42" i="34"/>
  <c r="AT48" i="34" s="1"/>
  <c r="AT51" i="34" s="1"/>
  <c r="H44" i="34"/>
  <c r="H47" i="34" s="1"/>
  <c r="V44" i="34"/>
  <c r="AJ44" i="34"/>
  <c r="AX44" i="34"/>
  <c r="L45" i="34"/>
  <c r="Z45" i="34"/>
  <c r="Z48" i="34" s="1"/>
  <c r="AN45" i="34"/>
  <c r="AN48" i="34" s="1"/>
  <c r="AN51" i="34" s="1"/>
  <c r="BB45" i="34"/>
  <c r="BB48" i="34" s="1"/>
  <c r="BB51" i="34" s="1"/>
  <c r="Z51" i="34"/>
  <c r="AG51" i="33"/>
  <c r="AZ51" i="33"/>
  <c r="O41" i="34"/>
  <c r="O47" i="34" s="1"/>
  <c r="AC41" i="34"/>
  <c r="AC47" i="34" s="1"/>
  <c r="AQ41" i="34"/>
  <c r="AQ47" i="34" s="1"/>
  <c r="BE41" i="34"/>
  <c r="BE47" i="34" s="1"/>
  <c r="S42" i="34"/>
  <c r="S48" i="34" s="1"/>
  <c r="S51" i="34" s="1"/>
  <c r="AG42" i="34"/>
  <c r="AG48" i="34" s="1"/>
  <c r="AG51" i="34" s="1"/>
  <c r="AU42" i="34"/>
  <c r="AU48" i="34" s="1"/>
  <c r="AU51" i="34" s="1"/>
  <c r="I44" i="34"/>
  <c r="I47" i="34" s="1"/>
  <c r="W44" i="34"/>
  <c r="W47" i="34" s="1"/>
  <c r="AK44" i="34"/>
  <c r="AK47" i="34" s="1"/>
  <c r="AY44" i="34"/>
  <c r="M45" i="34"/>
  <c r="M48" i="34" s="1"/>
  <c r="AA45" i="34"/>
  <c r="AO45" i="34"/>
  <c r="BC45" i="34"/>
  <c r="BC48" i="34" s="1"/>
  <c r="BC51" i="34" s="1"/>
  <c r="AA51" i="34"/>
  <c r="AO51" i="34"/>
  <c r="BA51" i="33"/>
  <c r="P41" i="34"/>
  <c r="P47" i="34" s="1"/>
  <c r="AD41" i="34"/>
  <c r="AD47" i="34" s="1"/>
  <c r="AR41" i="34"/>
  <c r="AR47" i="34" s="1"/>
  <c r="F42" i="34"/>
  <c r="F48" i="34" s="1"/>
  <c r="F51" i="34" s="1"/>
  <c r="T42" i="34"/>
  <c r="T48" i="34" s="1"/>
  <c r="T51" i="34" s="1"/>
  <c r="AH42" i="34"/>
  <c r="AH48" i="34" s="1"/>
  <c r="AH51" i="34" s="1"/>
  <c r="AV42" i="34"/>
  <c r="AV48" i="34" s="1"/>
  <c r="AV51" i="34" s="1"/>
  <c r="J44" i="34"/>
  <c r="J47" i="34" s="1"/>
  <c r="X44" i="34"/>
  <c r="X47" i="34" s="1"/>
  <c r="AL44" i="34"/>
  <c r="AL47" i="34" s="1"/>
  <c r="AZ44" i="34"/>
  <c r="AZ47" i="34" s="1"/>
  <c r="N45" i="34"/>
  <c r="N48" i="34" s="1"/>
  <c r="N51" i="34" s="1"/>
  <c r="AB45" i="34"/>
  <c r="AB48" i="34" s="1"/>
  <c r="AB51" i="34" s="1"/>
  <c r="AP45" i="34"/>
  <c r="AP48" i="34" s="1"/>
  <c r="AP51" i="34" s="1"/>
  <c r="BD45" i="34"/>
  <c r="BD48" i="34" s="1"/>
  <c r="BD51" i="34"/>
  <c r="F50" i="33"/>
  <c r="AO4" i="34"/>
  <c r="Q41" i="34"/>
  <c r="Q47" i="34" s="1"/>
  <c r="AE41" i="34"/>
  <c r="AE47" i="34" s="1"/>
  <c r="AS41" i="34"/>
  <c r="AS47" i="34" s="1"/>
  <c r="G42" i="34"/>
  <c r="G48" i="34" s="1"/>
  <c r="U42" i="34"/>
  <c r="U48" i="34" s="1"/>
  <c r="U51" i="34" s="1"/>
  <c r="AI42" i="34"/>
  <c r="AI48" i="34" s="1"/>
  <c r="AI51" i="34" s="1"/>
  <c r="AW42" i="34"/>
  <c r="AW48" i="34" s="1"/>
  <c r="AW51" i="34" s="1"/>
  <c r="K44" i="34"/>
  <c r="K47" i="34" s="1"/>
  <c r="Y44" i="34"/>
  <c r="AM44" i="34"/>
  <c r="AM47" i="34" s="1"/>
  <c r="BA44" i="34"/>
  <c r="O45" i="34"/>
  <c r="O48" i="34" s="1"/>
  <c r="O51" i="34" s="1"/>
  <c r="AC45" i="34"/>
  <c r="AC48" i="34" s="1"/>
  <c r="AC51" i="34" s="1"/>
  <c r="AQ45" i="34"/>
  <c r="AQ48" i="34" s="1"/>
  <c r="AQ51" i="34" s="1"/>
  <c r="V51" i="33"/>
  <c r="AM51" i="33"/>
  <c r="W51" i="33"/>
  <c r="Y51" i="33"/>
  <c r="BC4" i="33"/>
  <c r="AO5" i="33" s="1"/>
  <c r="AU51" i="33"/>
  <c r="AE51" i="33"/>
  <c r="AX51" i="33"/>
  <c r="Q51" i="33"/>
  <c r="AL51" i="33"/>
  <c r="AY51" i="33"/>
  <c r="H50" i="33"/>
  <c r="I24" i="33"/>
  <c r="J24" i="33" s="1"/>
  <c r="H27" i="33"/>
  <c r="I25" i="33"/>
  <c r="Y47" i="33"/>
  <c r="G50" i="33"/>
  <c r="H48" i="33"/>
  <c r="H51" i="33" s="1"/>
  <c r="AP48" i="33"/>
  <c r="AP51" i="33" s="1"/>
  <c r="I48" i="33"/>
  <c r="Z47" i="33"/>
  <c r="AT47" i="33"/>
  <c r="AB48" i="33"/>
  <c r="H30" i="33"/>
  <c r="AU47" i="33"/>
  <c r="AD48" i="33"/>
  <c r="AD51" i="33" s="1"/>
  <c r="AJ51" i="32"/>
  <c r="AD51" i="32"/>
  <c r="AK51" i="32"/>
  <c r="AE51" i="32"/>
  <c r="AG47" i="33"/>
  <c r="P48" i="33"/>
  <c r="P51" i="33" s="1"/>
  <c r="AJ48" i="33"/>
  <c r="AJ51" i="33" s="1"/>
  <c r="R47" i="33"/>
  <c r="AK48" i="33"/>
  <c r="AK51" i="33" s="1"/>
  <c r="L35" i="33"/>
  <c r="G27" i="33"/>
  <c r="G51" i="33"/>
  <c r="BE51" i="33"/>
  <c r="L47" i="33"/>
  <c r="BB47" i="33"/>
  <c r="BD48" i="33"/>
  <c r="BD51" i="33" s="1"/>
  <c r="N41" i="33"/>
  <c r="N47" i="33" s="1"/>
  <c r="AB41" i="33"/>
  <c r="AB47" i="33" s="1"/>
  <c r="AP41" i="33"/>
  <c r="AP47" i="33" s="1"/>
  <c r="BD41" i="33"/>
  <c r="BD47" i="33" s="1"/>
  <c r="R42" i="33"/>
  <c r="R48" i="33" s="1"/>
  <c r="R51" i="33" s="1"/>
  <c r="AF42" i="33"/>
  <c r="AF48" i="33" s="1"/>
  <c r="AF51" i="33" s="1"/>
  <c r="AT42" i="33"/>
  <c r="AT48" i="33" s="1"/>
  <c r="AT51" i="33" s="1"/>
  <c r="H44" i="33"/>
  <c r="H47" i="33" s="1"/>
  <c r="V44" i="33"/>
  <c r="V47" i="33" s="1"/>
  <c r="AJ44" i="33"/>
  <c r="AJ47" i="33" s="1"/>
  <c r="AX44" i="33"/>
  <c r="AX47" i="33" s="1"/>
  <c r="L45" i="33"/>
  <c r="L48" i="33" s="1"/>
  <c r="Z45" i="33"/>
  <c r="Z48" i="33" s="1"/>
  <c r="AN45" i="33"/>
  <c r="AN48" i="33" s="1"/>
  <c r="AN51" i="33" s="1"/>
  <c r="BB45" i="33"/>
  <c r="BB48" i="33" s="1"/>
  <c r="BB51" i="33" s="1"/>
  <c r="Z51" i="33"/>
  <c r="P41" i="33"/>
  <c r="P47" i="33" s="1"/>
  <c r="AD41" i="33"/>
  <c r="AD47" i="33" s="1"/>
  <c r="AR41" i="33"/>
  <c r="AR47" i="33" s="1"/>
  <c r="F42" i="33"/>
  <c r="F48" i="33" s="1"/>
  <c r="F51" i="33" s="1"/>
  <c r="T42" i="33"/>
  <c r="T48" i="33" s="1"/>
  <c r="T51" i="33" s="1"/>
  <c r="AH42" i="33"/>
  <c r="AH48" i="33" s="1"/>
  <c r="AH51" i="33" s="1"/>
  <c r="AV42" i="33"/>
  <c r="AV48" i="33" s="1"/>
  <c r="AV51" i="33" s="1"/>
  <c r="J44" i="33"/>
  <c r="J47" i="33" s="1"/>
  <c r="X44" i="33"/>
  <c r="X47" i="33" s="1"/>
  <c r="AL44" i="33"/>
  <c r="AL47" i="33" s="1"/>
  <c r="AZ44" i="33"/>
  <c r="AZ47" i="33" s="1"/>
  <c r="N45" i="33"/>
  <c r="N48" i="33" s="1"/>
  <c r="N51" i="33" s="1"/>
  <c r="AB45" i="33"/>
  <c r="AP45" i="33"/>
  <c r="BD45" i="33"/>
  <c r="AB51" i="33"/>
  <c r="AZ51" i="32"/>
  <c r="AO4" i="33"/>
  <c r="Q41" i="33"/>
  <c r="Q47" i="33" s="1"/>
  <c r="AE41" i="33"/>
  <c r="AE47" i="33" s="1"/>
  <c r="AS41" i="33"/>
  <c r="AS47" i="33" s="1"/>
  <c r="G42" i="33"/>
  <c r="G48" i="33" s="1"/>
  <c r="U42" i="33"/>
  <c r="U48" i="33" s="1"/>
  <c r="U51" i="33" s="1"/>
  <c r="AI42" i="33"/>
  <c r="AI48" i="33" s="1"/>
  <c r="AI51" i="33" s="1"/>
  <c r="AW42" i="33"/>
  <c r="AW48" i="33" s="1"/>
  <c r="AW51" i="33" s="1"/>
  <c r="K44" i="33"/>
  <c r="K47" i="33" s="1"/>
  <c r="Y44" i="33"/>
  <c r="AM44" i="33"/>
  <c r="AM47" i="33" s="1"/>
  <c r="BA44" i="33"/>
  <c r="BA47" i="33" s="1"/>
  <c r="O45" i="33"/>
  <c r="O48" i="33" s="1"/>
  <c r="O51" i="33" s="1"/>
  <c r="AC45" i="33"/>
  <c r="AC48" i="33" s="1"/>
  <c r="AC51" i="33" s="1"/>
  <c r="AQ45" i="33"/>
  <c r="AQ48" i="33" s="1"/>
  <c r="AQ51" i="33" s="1"/>
  <c r="AS51" i="31"/>
  <c r="AL51" i="32"/>
  <c r="P51" i="32"/>
  <c r="Y51" i="32"/>
  <c r="BC4" i="32"/>
  <c r="AO5" i="32" s="1"/>
  <c r="X51" i="32"/>
  <c r="AM51" i="32"/>
  <c r="AR51" i="32"/>
  <c r="BA51" i="32"/>
  <c r="F50" i="32"/>
  <c r="Q51" i="32"/>
  <c r="G50" i="32"/>
  <c r="AY51" i="32"/>
  <c r="AS51" i="32"/>
  <c r="V51" i="32"/>
  <c r="J30" i="32"/>
  <c r="I32" i="32"/>
  <c r="H25" i="32"/>
  <c r="K47" i="32"/>
  <c r="S47" i="32"/>
  <c r="Y47" i="32"/>
  <c r="I35" i="32"/>
  <c r="H37" i="32"/>
  <c r="AZ47" i="32"/>
  <c r="H24" i="32"/>
  <c r="W48" i="32"/>
  <c r="W51" i="32" s="1"/>
  <c r="H48" i="32"/>
  <c r="R47" i="32"/>
  <c r="H32" i="32"/>
  <c r="AM47" i="32"/>
  <c r="I48" i="32"/>
  <c r="O48" i="32"/>
  <c r="BA47" i="32"/>
  <c r="AB48" i="32"/>
  <c r="AB51" i="32" s="1"/>
  <c r="AX48" i="32"/>
  <c r="AX51" i="32" s="1"/>
  <c r="F50" i="31"/>
  <c r="AW51" i="32"/>
  <c r="N41" i="32"/>
  <c r="N47" i="32" s="1"/>
  <c r="AB41" i="32"/>
  <c r="AB47" i="32" s="1"/>
  <c r="AP41" i="32"/>
  <c r="AP47" i="32" s="1"/>
  <c r="BD41" i="32"/>
  <c r="BD47" i="32" s="1"/>
  <c r="R42" i="32"/>
  <c r="R48" i="32" s="1"/>
  <c r="R51" i="32" s="1"/>
  <c r="AF42" i="32"/>
  <c r="AF48" i="32" s="1"/>
  <c r="AF51" i="32" s="1"/>
  <c r="AT42" i="32"/>
  <c r="AT48" i="32" s="1"/>
  <c r="AT51" i="32" s="1"/>
  <c r="H44" i="32"/>
  <c r="H47" i="32" s="1"/>
  <c r="V44" i="32"/>
  <c r="V47" i="32" s="1"/>
  <c r="AJ44" i="32"/>
  <c r="AJ47" i="32" s="1"/>
  <c r="AX44" i="32"/>
  <c r="AX47" i="32" s="1"/>
  <c r="L45" i="32"/>
  <c r="L48" i="32" s="1"/>
  <c r="Z45" i="32"/>
  <c r="Z48" i="32" s="1"/>
  <c r="Z51" i="32" s="1"/>
  <c r="AN45" i="32"/>
  <c r="AN48" i="32" s="1"/>
  <c r="AN51" i="32" s="1"/>
  <c r="BB45" i="32"/>
  <c r="BB48" i="32" s="1"/>
  <c r="BB51" i="32" s="1"/>
  <c r="O41" i="32"/>
  <c r="O47" i="32" s="1"/>
  <c r="AC41" i="32"/>
  <c r="AC47" i="32" s="1"/>
  <c r="AQ41" i="32"/>
  <c r="AQ47" i="32" s="1"/>
  <c r="BE41" i="32"/>
  <c r="BE47" i="32" s="1"/>
  <c r="S42" i="32"/>
  <c r="S48" i="32" s="1"/>
  <c r="S51" i="32" s="1"/>
  <c r="AG42" i="32"/>
  <c r="AG48" i="32" s="1"/>
  <c r="AG51" i="32" s="1"/>
  <c r="AU42" i="32"/>
  <c r="AU48" i="32" s="1"/>
  <c r="AU51" i="32" s="1"/>
  <c r="I44" i="32"/>
  <c r="I47" i="32" s="1"/>
  <c r="W44" i="32"/>
  <c r="W47" i="32" s="1"/>
  <c r="AK44" i="32"/>
  <c r="AK47" i="32" s="1"/>
  <c r="AY44" i="32"/>
  <c r="AY47" i="32" s="1"/>
  <c r="M45" i="32"/>
  <c r="M48" i="32" s="1"/>
  <c r="AA45" i="32"/>
  <c r="AA48" i="32" s="1"/>
  <c r="AO45" i="32"/>
  <c r="AO48" i="32" s="1"/>
  <c r="BC45" i="32"/>
  <c r="BC48" i="32" s="1"/>
  <c r="AA51" i="32"/>
  <c r="AO51" i="32"/>
  <c r="BC51" i="32"/>
  <c r="P41" i="32"/>
  <c r="P47" i="32" s="1"/>
  <c r="AD41" i="32"/>
  <c r="AD47" i="32" s="1"/>
  <c r="AR41" i="32"/>
  <c r="AR47" i="32" s="1"/>
  <c r="F42" i="32"/>
  <c r="F48" i="32" s="1"/>
  <c r="F51" i="32" s="1"/>
  <c r="T42" i="32"/>
  <c r="T48" i="32" s="1"/>
  <c r="T51" i="32" s="1"/>
  <c r="AH42" i="32"/>
  <c r="AH48" i="32" s="1"/>
  <c r="AH51" i="32" s="1"/>
  <c r="AV42" i="32"/>
  <c r="AV48" i="32" s="1"/>
  <c r="AV51" i="32" s="1"/>
  <c r="J44" i="32"/>
  <c r="J47" i="32" s="1"/>
  <c r="X44" i="32"/>
  <c r="X47" i="32" s="1"/>
  <c r="AL44" i="32"/>
  <c r="AL47" i="32" s="1"/>
  <c r="AZ44" i="32"/>
  <c r="N45" i="32"/>
  <c r="N48" i="32" s="1"/>
  <c r="N51" i="32" s="1"/>
  <c r="AB45" i="32"/>
  <c r="AP45" i="32"/>
  <c r="AP48" i="32" s="1"/>
  <c r="AP51" i="32" s="1"/>
  <c r="BD45" i="32"/>
  <c r="BD48" i="32" s="1"/>
  <c r="BD51" i="32" s="1"/>
  <c r="AO4" i="32"/>
  <c r="Q41" i="32"/>
  <c r="Q47" i="32" s="1"/>
  <c r="AE41" i="32"/>
  <c r="AE47" i="32" s="1"/>
  <c r="AS41" i="32"/>
  <c r="AS47" i="32" s="1"/>
  <c r="G42" i="32"/>
  <c r="G48" i="32" s="1"/>
  <c r="G51" i="32" s="1"/>
  <c r="U42" i="32"/>
  <c r="U48" i="32" s="1"/>
  <c r="U51" i="32" s="1"/>
  <c r="AI42" i="32"/>
  <c r="AI48" i="32" s="1"/>
  <c r="AI51" i="32" s="1"/>
  <c r="AW42" i="32"/>
  <c r="AW48" i="32" s="1"/>
  <c r="K44" i="32"/>
  <c r="Y44" i="32"/>
  <c r="AM44" i="32"/>
  <c r="BA44" i="32"/>
  <c r="O45" i="32"/>
  <c r="AC45" i="32"/>
  <c r="AC48" i="32" s="1"/>
  <c r="AC51" i="32" s="1"/>
  <c r="AQ45" i="32"/>
  <c r="AQ48" i="32" s="1"/>
  <c r="AQ51" i="32" s="1"/>
  <c r="O51" i="32"/>
  <c r="AE51" i="31"/>
  <c r="W51" i="31"/>
  <c r="Q51" i="31"/>
  <c r="Y51" i="31"/>
  <c r="X51" i="31"/>
  <c r="AR51" i="31"/>
  <c r="AD51" i="31"/>
  <c r="AZ51" i="31"/>
  <c r="AX51" i="31"/>
  <c r="AM51" i="31"/>
  <c r="AK51" i="31"/>
  <c r="P51" i="31"/>
  <c r="AL51" i="31"/>
  <c r="V51" i="31"/>
  <c r="AY51" i="31"/>
  <c r="AJ51" i="31"/>
  <c r="BA51" i="31"/>
  <c r="G27" i="31"/>
  <c r="H25" i="31"/>
  <c r="BD48" i="31"/>
  <c r="BE48" i="31"/>
  <c r="BE51" i="31"/>
  <c r="AZ47" i="31"/>
  <c r="BA47" i="31"/>
  <c r="I35" i="31"/>
  <c r="H37" i="31"/>
  <c r="N48" i="31"/>
  <c r="AN47" i="31"/>
  <c r="AB48" i="31"/>
  <c r="K30" i="31"/>
  <c r="J32" i="31"/>
  <c r="G24" i="31"/>
  <c r="N41" i="31"/>
  <c r="N47" i="31" s="1"/>
  <c r="AB41" i="31"/>
  <c r="AB47" i="31" s="1"/>
  <c r="AP41" i="31"/>
  <c r="AP47" i="31" s="1"/>
  <c r="BD41" i="31"/>
  <c r="BD47" i="31" s="1"/>
  <c r="R42" i="31"/>
  <c r="R48" i="31" s="1"/>
  <c r="R51" i="31" s="1"/>
  <c r="AF42" i="31"/>
  <c r="AF48" i="31" s="1"/>
  <c r="AF51" i="31" s="1"/>
  <c r="AT42" i="31"/>
  <c r="AT48" i="31" s="1"/>
  <c r="AT51" i="31" s="1"/>
  <c r="H44" i="31"/>
  <c r="H47" i="31" s="1"/>
  <c r="V44" i="31"/>
  <c r="V47" i="31" s="1"/>
  <c r="AJ44" i="31"/>
  <c r="AJ47" i="31" s="1"/>
  <c r="AX44" i="31"/>
  <c r="AX47" i="31" s="1"/>
  <c r="L45" i="31"/>
  <c r="L48" i="31" s="1"/>
  <c r="Z45" i="31"/>
  <c r="Z48" i="31" s="1"/>
  <c r="Z51" i="31" s="1"/>
  <c r="AN45" i="31"/>
  <c r="AN48" i="31" s="1"/>
  <c r="AN51" i="31" s="1"/>
  <c r="BB45" i="31"/>
  <c r="BB48" i="31" s="1"/>
  <c r="BB51" i="31" s="1"/>
  <c r="O41" i="31"/>
  <c r="O47" i="31" s="1"/>
  <c r="AC41" i="31"/>
  <c r="AC47" i="31" s="1"/>
  <c r="AQ41" i="31"/>
  <c r="AQ47" i="31" s="1"/>
  <c r="BE41" i="31"/>
  <c r="BE47" i="31" s="1"/>
  <c r="S42" i="31"/>
  <c r="S48" i="31" s="1"/>
  <c r="S51" i="31" s="1"/>
  <c r="AG42" i="31"/>
  <c r="AG48" i="31" s="1"/>
  <c r="AG51" i="31" s="1"/>
  <c r="AU42" i="31"/>
  <c r="AU48" i="31" s="1"/>
  <c r="AU51" i="31" s="1"/>
  <c r="I44" i="31"/>
  <c r="I47" i="31" s="1"/>
  <c r="W44" i="31"/>
  <c r="W47" i="31" s="1"/>
  <c r="AK44" i="31"/>
  <c r="AK47" i="31" s="1"/>
  <c r="AY44" i="31"/>
  <c r="AY47" i="31" s="1"/>
  <c r="M45" i="31"/>
  <c r="M48" i="31" s="1"/>
  <c r="AA45" i="31"/>
  <c r="AA48" i="31" s="1"/>
  <c r="AA51" i="31" s="1"/>
  <c r="AO45" i="31"/>
  <c r="AO48" i="31" s="1"/>
  <c r="AO51" i="31" s="1"/>
  <c r="BC45" i="31"/>
  <c r="BC48" i="31" s="1"/>
  <c r="BC51" i="31" s="1"/>
  <c r="P41" i="31"/>
  <c r="P47" i="31" s="1"/>
  <c r="AD41" i="31"/>
  <c r="AD47" i="31" s="1"/>
  <c r="AR41" i="31"/>
  <c r="AR47" i="31" s="1"/>
  <c r="F42" i="31"/>
  <c r="F48" i="31" s="1"/>
  <c r="F51" i="31" s="1"/>
  <c r="T42" i="31"/>
  <c r="T48" i="31" s="1"/>
  <c r="T51" i="31" s="1"/>
  <c r="AH42" i="31"/>
  <c r="AH48" i="31" s="1"/>
  <c r="AH51" i="31" s="1"/>
  <c r="AV42" i="31"/>
  <c r="AV48" i="31" s="1"/>
  <c r="AV51" i="31" s="1"/>
  <c r="J44" i="31"/>
  <c r="J47" i="31" s="1"/>
  <c r="X44" i="31"/>
  <c r="X47" i="31" s="1"/>
  <c r="AL44" i="31"/>
  <c r="AL47" i="31" s="1"/>
  <c r="AZ44" i="31"/>
  <c r="N45" i="31"/>
  <c r="AB45" i="31"/>
  <c r="AP45" i="31"/>
  <c r="AP48" i="31" s="1"/>
  <c r="AP51" i="31" s="1"/>
  <c r="BD45" i="31"/>
  <c r="N51" i="31"/>
  <c r="AB51" i="31"/>
  <c r="BD51" i="31"/>
  <c r="AO4" i="31"/>
  <c r="Q41" i="31"/>
  <c r="Q47" i="31" s="1"/>
  <c r="AE41" i="31"/>
  <c r="AE47" i="31" s="1"/>
  <c r="AS41" i="31"/>
  <c r="AS47" i="31" s="1"/>
  <c r="G42" i="31"/>
  <c r="G48" i="31" s="1"/>
  <c r="G51" i="31" s="1"/>
  <c r="U42" i="31"/>
  <c r="U48" i="31" s="1"/>
  <c r="U51" i="31" s="1"/>
  <c r="AI42" i="31"/>
  <c r="AI48" i="31" s="1"/>
  <c r="AI51" i="31" s="1"/>
  <c r="AW42" i="31"/>
  <c r="AW48" i="31" s="1"/>
  <c r="AW51" i="31" s="1"/>
  <c r="K44" i="31"/>
  <c r="K47" i="31" s="1"/>
  <c r="Y44" i="31"/>
  <c r="Y47" i="31" s="1"/>
  <c r="AM44" i="31"/>
  <c r="AM47" i="31" s="1"/>
  <c r="BA44" i="31"/>
  <c r="O45" i="31"/>
  <c r="O48" i="31" s="1"/>
  <c r="O51" i="31" s="1"/>
  <c r="AC45" i="31"/>
  <c r="AC48" i="31" s="1"/>
  <c r="AC51" i="31" s="1"/>
  <c r="AQ45" i="31"/>
  <c r="AQ48" i="31" s="1"/>
  <c r="AQ51" i="31" s="1"/>
  <c r="F50" i="30"/>
  <c r="G51" i="13"/>
  <c r="K30" i="30"/>
  <c r="J32" i="30"/>
  <c r="Z48" i="30"/>
  <c r="BB48" i="30"/>
  <c r="I32" i="30"/>
  <c r="L47" i="30"/>
  <c r="O48" i="30"/>
  <c r="J35" i="30"/>
  <c r="I25" i="30"/>
  <c r="S47" i="30"/>
  <c r="G50" i="30"/>
  <c r="H24" i="30"/>
  <c r="AM47" i="30"/>
  <c r="I48" i="30"/>
  <c r="Y47" i="30"/>
  <c r="H37" i="30"/>
  <c r="AN47" i="30"/>
  <c r="AC48" i="30"/>
  <c r="AY48" i="30"/>
  <c r="H51" i="30"/>
  <c r="N41" i="30"/>
  <c r="N47" i="30" s="1"/>
  <c r="AB41" i="30"/>
  <c r="AB47" i="30" s="1"/>
  <c r="AP41" i="30"/>
  <c r="AP47" i="30" s="1"/>
  <c r="BD41" i="30"/>
  <c r="BD47" i="30" s="1"/>
  <c r="R42" i="30"/>
  <c r="R48" i="30" s="1"/>
  <c r="AF42" i="30"/>
  <c r="AF48" i="30" s="1"/>
  <c r="AT42" i="30"/>
  <c r="AT48" i="30" s="1"/>
  <c r="H44" i="30"/>
  <c r="H47" i="30" s="1"/>
  <c r="V44" i="30"/>
  <c r="V47" i="30" s="1"/>
  <c r="AJ44" i="30"/>
  <c r="AJ47" i="30" s="1"/>
  <c r="AX44" i="30"/>
  <c r="AX47" i="30" s="1"/>
  <c r="L45" i="30"/>
  <c r="L48" i="30" s="1"/>
  <c r="Z45" i="30"/>
  <c r="AN45" i="30"/>
  <c r="AN48" i="30" s="1"/>
  <c r="BB45" i="30"/>
  <c r="O41" i="30"/>
  <c r="O47" i="30" s="1"/>
  <c r="AC41" i="30"/>
  <c r="AC47" i="30" s="1"/>
  <c r="AQ41" i="30"/>
  <c r="AQ47" i="30" s="1"/>
  <c r="BE41" i="30"/>
  <c r="BE47" i="30" s="1"/>
  <c r="S42" i="30"/>
  <c r="S48" i="30" s="1"/>
  <c r="AG42" i="30"/>
  <c r="AG48" i="30" s="1"/>
  <c r="AU42" i="30"/>
  <c r="AU48" i="30" s="1"/>
  <c r="I44" i="30"/>
  <c r="I47" i="30" s="1"/>
  <c r="W44" i="30"/>
  <c r="W47" i="30" s="1"/>
  <c r="AK44" i="30"/>
  <c r="AK47" i="30" s="1"/>
  <c r="AY44" i="30"/>
  <c r="AY47" i="30" s="1"/>
  <c r="M45" i="30"/>
  <c r="M48" i="30" s="1"/>
  <c r="AA45" i="30"/>
  <c r="AA48" i="30" s="1"/>
  <c r="AO45" i="30"/>
  <c r="AO48" i="30" s="1"/>
  <c r="BC45" i="30"/>
  <c r="BC48" i="30" s="1"/>
  <c r="AO4" i="30"/>
  <c r="P41" i="30"/>
  <c r="P47" i="30" s="1"/>
  <c r="AD41" i="30"/>
  <c r="AD47" i="30" s="1"/>
  <c r="AR41" i="30"/>
  <c r="AR47" i="30" s="1"/>
  <c r="F42" i="30"/>
  <c r="F48" i="30" s="1"/>
  <c r="F51" i="30" s="1"/>
  <c r="T42" i="30"/>
  <c r="T48" i="30" s="1"/>
  <c r="AH42" i="30"/>
  <c r="AH48" i="30" s="1"/>
  <c r="AV42" i="30"/>
  <c r="AV48" i="30" s="1"/>
  <c r="J44" i="30"/>
  <c r="J47" i="30" s="1"/>
  <c r="X44" i="30"/>
  <c r="X47" i="30" s="1"/>
  <c r="AL44" i="30"/>
  <c r="AL47" i="30" s="1"/>
  <c r="AZ44" i="30"/>
  <c r="AZ47" i="30" s="1"/>
  <c r="N45" i="30"/>
  <c r="N48" i="30" s="1"/>
  <c r="AB45" i="30"/>
  <c r="AB48" i="30" s="1"/>
  <c r="AP45" i="30"/>
  <c r="AP48" i="30" s="1"/>
  <c r="BD45" i="30"/>
  <c r="BD48" i="30" s="1"/>
  <c r="Q41" i="30"/>
  <c r="Q47" i="30" s="1"/>
  <c r="AE41" i="30"/>
  <c r="AE47" i="30" s="1"/>
  <c r="AS41" i="30"/>
  <c r="AS47" i="30" s="1"/>
  <c r="G42" i="30"/>
  <c r="G48" i="30" s="1"/>
  <c r="G51" i="30" s="1"/>
  <c r="U42" i="30"/>
  <c r="U48" i="30" s="1"/>
  <c r="AI42" i="30"/>
  <c r="AI48" i="30" s="1"/>
  <c r="AW42" i="30"/>
  <c r="AW48" i="30" s="1"/>
  <c r="K44" i="30"/>
  <c r="K47" i="30" s="1"/>
  <c r="Y44" i="30"/>
  <c r="AM44" i="30"/>
  <c r="BA44" i="30"/>
  <c r="BA47" i="30" s="1"/>
  <c r="O45" i="30"/>
  <c r="AC45" i="30"/>
  <c r="AQ45" i="30"/>
  <c r="AQ48" i="30" s="1"/>
  <c r="BC4" i="13"/>
  <c r="AO5" i="13" s="1"/>
  <c r="I24" i="13"/>
  <c r="J24" i="13" s="1"/>
  <c r="K24" i="13" s="1"/>
  <c r="L24" i="13" s="1"/>
  <c r="V48" i="13"/>
  <c r="AD48" i="13"/>
  <c r="G27" i="13"/>
  <c r="AX48" i="13"/>
  <c r="K30" i="13"/>
  <c r="H32" i="13"/>
  <c r="AE48" i="13"/>
  <c r="H41" i="13"/>
  <c r="H47" i="13" s="1"/>
  <c r="H50" i="13" s="1"/>
  <c r="AJ48" i="13"/>
  <c r="H25" i="13"/>
  <c r="AS48" i="13"/>
  <c r="I35" i="13"/>
  <c r="H48" i="13"/>
  <c r="P48" i="13"/>
  <c r="N42" i="13"/>
  <c r="AB42" i="13"/>
  <c r="AP42" i="13"/>
  <c r="BD42" i="13"/>
  <c r="BD48" i="13" s="1"/>
  <c r="R44" i="13"/>
  <c r="AF44" i="13"/>
  <c r="AT44" i="13"/>
  <c r="H45" i="13"/>
  <c r="V45" i="13"/>
  <c r="AJ45" i="13"/>
  <c r="AX45" i="13"/>
  <c r="H51" i="13"/>
  <c r="G37" i="13"/>
  <c r="O42" i="13"/>
  <c r="O48" i="13" s="1"/>
  <c r="AC42" i="13"/>
  <c r="AC48" i="13" s="1"/>
  <c r="AQ42" i="13"/>
  <c r="AQ48" i="13" s="1"/>
  <c r="BE42" i="13"/>
  <c r="BE48" i="13" s="1"/>
  <c r="S44" i="13"/>
  <c r="AG44" i="13"/>
  <c r="AU44" i="13"/>
  <c r="I45" i="13"/>
  <c r="I48" i="13" s="1"/>
  <c r="W45" i="13"/>
  <c r="W48" i="13" s="1"/>
  <c r="AK45" i="13"/>
  <c r="AK48" i="13" s="1"/>
  <c r="AY45" i="13"/>
  <c r="AY48" i="13" s="1"/>
  <c r="F50" i="13"/>
  <c r="R42" i="13"/>
  <c r="R48" i="13" s="1"/>
  <c r="AF42" i="13"/>
  <c r="AF48" i="13" s="1"/>
  <c r="AT42" i="13"/>
  <c r="AT48" i="13" s="1"/>
  <c r="H44" i="13"/>
  <c r="V44" i="13"/>
  <c r="AJ44" i="13"/>
  <c r="AX44" i="13"/>
  <c r="L45" i="13"/>
  <c r="L48" i="13" s="1"/>
  <c r="Z45" i="13"/>
  <c r="Z48" i="13" s="1"/>
  <c r="AN45" i="13"/>
  <c r="AN48" i="13" s="1"/>
  <c r="BB45" i="13"/>
  <c r="BB48" i="13" s="1"/>
  <c r="S42" i="13"/>
  <c r="S48" i="13" s="1"/>
  <c r="AG42" i="13"/>
  <c r="AG48" i="13" s="1"/>
  <c r="AU42" i="13"/>
  <c r="AU48" i="13" s="1"/>
  <c r="I44" i="13"/>
  <c r="W44" i="13"/>
  <c r="AK44" i="13"/>
  <c r="AY44" i="13"/>
  <c r="M45" i="13"/>
  <c r="M48" i="13" s="1"/>
  <c r="AA45" i="13"/>
  <c r="AA48" i="13" s="1"/>
  <c r="AO45" i="13"/>
  <c r="AO48" i="13" s="1"/>
  <c r="BC45" i="13"/>
  <c r="BC48" i="13" s="1"/>
  <c r="AO4" i="13"/>
  <c r="F42" i="13"/>
  <c r="F48" i="13" s="1"/>
  <c r="F51" i="13" s="1"/>
  <c r="T42" i="13"/>
  <c r="T48" i="13" s="1"/>
  <c r="AH42" i="13"/>
  <c r="AH48" i="13" s="1"/>
  <c r="AV42" i="13"/>
  <c r="AV48" i="13" s="1"/>
  <c r="J44" i="13"/>
  <c r="X44" i="13"/>
  <c r="AL44" i="13"/>
  <c r="AZ44" i="13"/>
  <c r="N45" i="13"/>
  <c r="AB45" i="13"/>
  <c r="AP45" i="13"/>
  <c r="K50" i="13"/>
  <c r="H30" i="35"/>
  <c r="H32" i="35" s="1"/>
  <c r="H30" i="36"/>
  <c r="G32" i="38"/>
  <c r="H32" i="38"/>
  <c r="G32" i="39"/>
  <c r="H32" i="39"/>
  <c r="J25" i="35"/>
  <c r="H25" i="38"/>
  <c r="G27" i="35"/>
  <c r="H27" i="35"/>
  <c r="I25" i="39"/>
  <c r="I27" i="39" s="1"/>
  <c r="J25" i="39"/>
  <c r="J30" i="39"/>
  <c r="I32" i="39"/>
  <c r="J30" i="38"/>
  <c r="I32" i="38"/>
  <c r="H25" i="36"/>
  <c r="G27" i="36"/>
  <c r="G27" i="39"/>
  <c r="H35" i="39"/>
  <c r="H35" i="38"/>
  <c r="H35" i="36"/>
  <c r="H35" i="35"/>
  <c r="G37" i="35"/>
  <c r="F24" i="35"/>
  <c r="G24" i="35" s="1"/>
  <c r="H24" i="35" s="1"/>
  <c r="F24" i="36"/>
  <c r="G24" i="36" s="1"/>
  <c r="F24" i="38"/>
  <c r="G24" i="38" s="1"/>
  <c r="F24" i="39"/>
  <c r="G24" i="39" s="1"/>
  <c r="H24" i="39" s="1"/>
  <c r="F15" i="9"/>
  <c r="F14" i="9"/>
  <c r="C14" i="9" s="1"/>
  <c r="F13" i="9"/>
  <c r="F12" i="9"/>
  <c r="F11" i="9"/>
  <c r="F10" i="9"/>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21" i="35"/>
  <c r="AU20" i="35"/>
  <c r="AU19" i="35"/>
  <c r="AU18" i="35"/>
  <c r="AU17" i="35"/>
  <c r="AU16" i="35"/>
  <c r="AU15" i="35"/>
  <c r="AU14" i="35"/>
  <c r="AU13" i="35"/>
  <c r="AU12" i="35"/>
  <c r="N45" i="35"/>
  <c r="AU11" i="35"/>
  <c r="AU10" i="35"/>
  <c r="AZ3" i="35"/>
  <c r="O12" i="9"/>
  <c r="F9" i="9"/>
  <c r="F8" i="9"/>
  <c r="J8" i="9" s="1"/>
  <c r="F7" i="9"/>
  <c r="C7" i="9" s="1"/>
  <c r="F6" i="9"/>
  <c r="L6" i="9" s="1"/>
  <c r="F5" i="9"/>
  <c r="L5" i="9"/>
  <c r="K5" i="9"/>
  <c r="J5" i="9"/>
  <c r="O6" i="9"/>
  <c r="F37" i="5"/>
  <c r="G37" i="5"/>
  <c r="G25" i="5"/>
  <c r="G50" i="34" l="1"/>
  <c r="AV5" i="34"/>
  <c r="AQ5" i="34" s="1"/>
  <c r="AV4" i="34"/>
  <c r="AV6" i="34" s="1"/>
  <c r="J30" i="34"/>
  <c r="I32" i="34"/>
  <c r="H50" i="34"/>
  <c r="I24" i="34"/>
  <c r="L11" i="9"/>
  <c r="D11" i="9"/>
  <c r="I37" i="34"/>
  <c r="J35" i="34"/>
  <c r="H27" i="34"/>
  <c r="H51" i="34"/>
  <c r="I25" i="34"/>
  <c r="I50" i="33"/>
  <c r="AV5" i="33"/>
  <c r="AQ5" i="33" s="1"/>
  <c r="AV4" i="33"/>
  <c r="L10" i="9"/>
  <c r="D10" i="9"/>
  <c r="L37" i="33"/>
  <c r="M35" i="33"/>
  <c r="H32" i="33"/>
  <c r="I30" i="33"/>
  <c r="J25" i="33"/>
  <c r="I27" i="33"/>
  <c r="I51" i="33"/>
  <c r="J50" i="33"/>
  <c r="K24" i="33"/>
  <c r="H50" i="32"/>
  <c r="I24" i="32"/>
  <c r="I37" i="32"/>
  <c r="J35" i="32"/>
  <c r="AV5" i="32"/>
  <c r="AQ5" i="32" s="1"/>
  <c r="AV4" i="32"/>
  <c r="H27" i="32"/>
  <c r="I25" i="32"/>
  <c r="H51" i="32"/>
  <c r="K30" i="32"/>
  <c r="J32" i="32"/>
  <c r="I37" i="31"/>
  <c r="J35" i="31"/>
  <c r="L30" i="31"/>
  <c r="K32" i="31"/>
  <c r="AV5" i="31"/>
  <c r="AQ5" i="31" s="1"/>
  <c r="AV4" i="31"/>
  <c r="H24" i="31"/>
  <c r="G50" i="31"/>
  <c r="H27" i="31"/>
  <c r="H51" i="31"/>
  <c r="I25" i="31"/>
  <c r="I27" i="30"/>
  <c r="I51" i="30"/>
  <c r="J25" i="30"/>
  <c r="J37" i="30"/>
  <c r="K35" i="30"/>
  <c r="AV4" i="30"/>
  <c r="AV5" i="30"/>
  <c r="AQ5" i="30" s="1"/>
  <c r="H50" i="30"/>
  <c r="I24" i="30"/>
  <c r="L30" i="30"/>
  <c r="K32" i="30"/>
  <c r="N48" i="13"/>
  <c r="I37" i="13"/>
  <c r="I41" i="13"/>
  <c r="I47" i="13" s="1"/>
  <c r="I50" i="13" s="1"/>
  <c r="J35" i="13"/>
  <c r="AP48" i="13"/>
  <c r="L50" i="13"/>
  <c r="M24" i="13"/>
  <c r="AV4" i="13"/>
  <c r="AV5" i="13"/>
  <c r="AQ5" i="13" s="1"/>
  <c r="AB48" i="13"/>
  <c r="L30" i="13"/>
  <c r="K32" i="13"/>
  <c r="H27" i="13"/>
  <c r="I25" i="13"/>
  <c r="I30" i="35"/>
  <c r="I32" i="35" s="1"/>
  <c r="H32" i="36"/>
  <c r="I30" i="36"/>
  <c r="H27" i="38"/>
  <c r="I25" i="38"/>
  <c r="J27" i="35"/>
  <c r="K25" i="35"/>
  <c r="H37" i="36"/>
  <c r="I35" i="36"/>
  <c r="I25" i="36"/>
  <c r="H27" i="36"/>
  <c r="H37" i="35"/>
  <c r="I35" i="35"/>
  <c r="H37" i="38"/>
  <c r="I35" i="38"/>
  <c r="H37" i="39"/>
  <c r="I35" i="39"/>
  <c r="K30" i="39"/>
  <c r="J32" i="39"/>
  <c r="K30" i="38"/>
  <c r="J32" i="38"/>
  <c r="J27" i="39"/>
  <c r="K25" i="39"/>
  <c r="O13" i="9"/>
  <c r="AL45" i="36"/>
  <c r="AF45" i="38"/>
  <c r="AV45" i="39"/>
  <c r="AN41" i="39"/>
  <c r="AL42" i="39"/>
  <c r="V42" i="36"/>
  <c r="AG44" i="38"/>
  <c r="AQ42" i="39"/>
  <c r="W42" i="36"/>
  <c r="AH44" i="38"/>
  <c r="BA42" i="39"/>
  <c r="AR42" i="36"/>
  <c r="V45" i="38"/>
  <c r="Z44" i="39"/>
  <c r="AT45" i="39"/>
  <c r="AM45" i="36"/>
  <c r="O15" i="9"/>
  <c r="AS45" i="36"/>
  <c r="F44" i="36"/>
  <c r="M44" i="36"/>
  <c r="AO3" i="39"/>
  <c r="D8" i="9"/>
  <c r="N44" i="36"/>
  <c r="V45" i="39"/>
  <c r="T41" i="36"/>
  <c r="O44" i="36"/>
  <c r="AF41" i="36"/>
  <c r="AD44" i="36"/>
  <c r="AI41" i="36"/>
  <c r="AG44" i="36"/>
  <c r="AK41" i="36"/>
  <c r="H42" i="36"/>
  <c r="BB44" i="36"/>
  <c r="AE42" i="38"/>
  <c r="I42" i="36"/>
  <c r="W45" i="36"/>
  <c r="AN42" i="38"/>
  <c r="AT44" i="36"/>
  <c r="AL41" i="36"/>
  <c r="AV44" i="36"/>
  <c r="N42" i="36"/>
  <c r="AK45" i="36"/>
  <c r="AD44" i="38"/>
  <c r="W41" i="39"/>
  <c r="AA41" i="35"/>
  <c r="O7" i="9"/>
  <c r="AO41" i="35"/>
  <c r="Q44" i="35"/>
  <c r="BD45" i="35"/>
  <c r="AV41" i="35"/>
  <c r="AG44" i="35"/>
  <c r="AY41" i="35"/>
  <c r="AH44" i="35"/>
  <c r="G41" i="35"/>
  <c r="AZ45" i="35"/>
  <c r="AB45" i="35"/>
  <c r="BD44" i="35"/>
  <c r="AE44" i="35"/>
  <c r="F44" i="35"/>
  <c r="AK42" i="35"/>
  <c r="L42" i="35"/>
  <c r="AN41" i="35"/>
  <c r="T41" i="35"/>
  <c r="AW45" i="35"/>
  <c r="Y45" i="35"/>
  <c r="BC44" i="35"/>
  <c r="AD44" i="35"/>
  <c r="BE42" i="35"/>
  <c r="AJ42" i="35"/>
  <c r="J42" i="35"/>
  <c r="AM41" i="35"/>
  <c r="S41" i="35"/>
  <c r="AV45" i="35"/>
  <c r="W45" i="35"/>
  <c r="BB44" i="35"/>
  <c r="AB44" i="35"/>
  <c r="BD42" i="35"/>
  <c r="AE42" i="35"/>
  <c r="I42" i="35"/>
  <c r="AL41" i="35"/>
  <c r="R41" i="35"/>
  <c r="R45" i="35"/>
  <c r="AU45" i="35"/>
  <c r="V45" i="35"/>
  <c r="AZ44" i="35"/>
  <c r="AA44" i="35"/>
  <c r="BC42" i="35"/>
  <c r="AB42" i="35"/>
  <c r="H42" i="35"/>
  <c r="AK41" i="35"/>
  <c r="P41" i="35"/>
  <c r="AT44" i="35"/>
  <c r="AY42" i="35"/>
  <c r="Z42" i="35"/>
  <c r="AI41" i="35"/>
  <c r="J41" i="35"/>
  <c r="AP45" i="35"/>
  <c r="AS44" i="35"/>
  <c r="AV42" i="35"/>
  <c r="Y42" i="35"/>
  <c r="BB41" i="35"/>
  <c r="AG41" i="35"/>
  <c r="I41" i="35"/>
  <c r="AT45" i="35"/>
  <c r="U45" i="35"/>
  <c r="AU44" i="35"/>
  <c r="Z44" i="35"/>
  <c r="BB42" i="35"/>
  <c r="AA42" i="35"/>
  <c r="F42" i="35"/>
  <c r="AJ41" i="35"/>
  <c r="K41" i="35"/>
  <c r="AR45" i="35"/>
  <c r="T45" i="35"/>
  <c r="X44" i="35"/>
  <c r="BC41" i="35"/>
  <c r="U44" i="35"/>
  <c r="AM45" i="35"/>
  <c r="P45" i="35"/>
  <c r="AR44" i="35"/>
  <c r="R44" i="35"/>
  <c r="AS42" i="35"/>
  <c r="X42" i="35"/>
  <c r="BA41" i="35"/>
  <c r="AD41" i="35"/>
  <c r="H41" i="35"/>
  <c r="AJ45" i="35"/>
  <c r="K45" i="35"/>
  <c r="AO44" i="35"/>
  <c r="P44" i="35"/>
  <c r="AQ42" i="35"/>
  <c r="V42" i="35"/>
  <c r="AX41" i="35"/>
  <c r="Z41" i="35"/>
  <c r="AG45" i="35"/>
  <c r="H45" i="35"/>
  <c r="AI44" i="35"/>
  <c r="M44" i="35"/>
  <c r="AO42" i="35"/>
  <c r="P42" i="35"/>
  <c r="AU41" i="35"/>
  <c r="W41" i="35"/>
  <c r="AM42" i="35"/>
  <c r="U41" i="35"/>
  <c r="AP42" i="35"/>
  <c r="AD45" i="35"/>
  <c r="V41" i="35"/>
  <c r="AR42" i="35"/>
  <c r="AF45" i="35"/>
  <c r="Y41" i="35"/>
  <c r="J44" i="35"/>
  <c r="AI45" i="35"/>
  <c r="L44" i="35"/>
  <c r="AK45" i="35"/>
  <c r="N44" i="35"/>
  <c r="M42" i="35"/>
  <c r="AL44" i="35"/>
  <c r="O42" i="35"/>
  <c r="AQ44" i="35"/>
  <c r="Q42" i="35"/>
  <c r="BE44" i="35"/>
  <c r="BA45" i="35"/>
  <c r="AT41" i="35"/>
  <c r="W42" i="35"/>
  <c r="G45" i="35"/>
  <c r="AL42" i="35"/>
  <c r="J45" i="35"/>
  <c r="AP42" i="38"/>
  <c r="AP42" i="39"/>
  <c r="AK45" i="39"/>
  <c r="D14" i="9"/>
  <c r="V41" i="39"/>
  <c r="AZ42" i="39"/>
  <c r="AU45" i="39"/>
  <c r="Q42" i="36"/>
  <c r="AU44" i="36"/>
  <c r="U45" i="38"/>
  <c r="AL41" i="39"/>
  <c r="U44" i="39"/>
  <c r="AX45" i="39"/>
  <c r="H25" i="5"/>
  <c r="AH44" i="39"/>
  <c r="AD42" i="36"/>
  <c r="F45" i="36"/>
  <c r="AT41" i="39"/>
  <c r="AI44" i="39"/>
  <c r="AO41" i="39"/>
  <c r="AO3" i="35"/>
  <c r="S41" i="36"/>
  <c r="AQ42" i="36"/>
  <c r="U45" i="36"/>
  <c r="BA41" i="39"/>
  <c r="AO44" i="39"/>
  <c r="AL41" i="38"/>
  <c r="BB41" i="39"/>
  <c r="AP44" i="39"/>
  <c r="Z41" i="36"/>
  <c r="BC42" i="36"/>
  <c r="AH45" i="36"/>
  <c r="AO41" i="38"/>
  <c r="V42" i="39"/>
  <c r="BB44" i="39"/>
  <c r="O9" i="9"/>
  <c r="AV41" i="38"/>
  <c r="AC42" i="39"/>
  <c r="BD44" i="39"/>
  <c r="AJ42" i="39"/>
  <c r="T45" i="39"/>
  <c r="O11" i="9"/>
  <c r="AA41" i="38"/>
  <c r="Q42" i="38"/>
  <c r="R44" i="38"/>
  <c r="I45" i="38"/>
  <c r="AF41" i="38"/>
  <c r="V42" i="38"/>
  <c r="S44" i="38"/>
  <c r="R45" i="38"/>
  <c r="U41" i="36"/>
  <c r="L42" i="36"/>
  <c r="BA42" i="36"/>
  <c r="AP44" i="36"/>
  <c r="AE45" i="36"/>
  <c r="AG41" i="38"/>
  <c r="AB42" i="38"/>
  <c r="T44" i="38"/>
  <c r="S45" i="38"/>
  <c r="AA41" i="39"/>
  <c r="AD42" i="39"/>
  <c r="AB44" i="39"/>
  <c r="Y45" i="39"/>
  <c r="F41" i="5"/>
  <c r="AO3" i="36"/>
  <c r="Y41" i="36"/>
  <c r="M42" i="36"/>
  <c r="BB42" i="36"/>
  <c r="AS44" i="36"/>
  <c r="AH41" i="38"/>
  <c r="AH47" i="38" s="1"/>
  <c r="AD42" i="38"/>
  <c r="U44" i="38"/>
  <c r="AH41" i="39"/>
  <c r="AE42" i="39"/>
  <c r="AE48" i="39" s="1"/>
  <c r="AE51" i="39" s="1"/>
  <c r="AF44" i="39"/>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I41" i="38"/>
  <c r="AZ41" i="38"/>
  <c r="AS42" i="38"/>
  <c r="AQ44" i="38"/>
  <c r="AM45" i="38"/>
  <c r="I5" i="9"/>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L9" i="9"/>
  <c r="D9" i="9"/>
  <c r="H41" i="36"/>
  <c r="AX41" i="36"/>
  <c r="AK42" i="36"/>
  <c r="AA44" i="36"/>
  <c r="J45" i="36"/>
  <c r="BA45" i="36"/>
  <c r="S41" i="38"/>
  <c r="L42" i="38"/>
  <c r="BC42" i="38"/>
  <c r="F45" i="38"/>
  <c r="AU45" i="38"/>
  <c r="K41" i="39"/>
  <c r="J42" i="39"/>
  <c r="L44" i="39"/>
  <c r="I45" i="39"/>
  <c r="O10" i="9"/>
  <c r="I25" i="5"/>
  <c r="O8" i="9"/>
  <c r="I41" i="36"/>
  <c r="AY41" i="36"/>
  <c r="AL42" i="36"/>
  <c r="AB44" i="36"/>
  <c r="Q45" i="36"/>
  <c r="T41" i="38"/>
  <c r="M42" i="38"/>
  <c r="BD42" i="38"/>
  <c r="G45" i="38"/>
  <c r="AY45" i="38"/>
  <c r="L41" i="39"/>
  <c r="K42" i="39"/>
  <c r="M44" i="39"/>
  <c r="J45" i="39"/>
  <c r="K41" i="36"/>
  <c r="AZ41" i="36"/>
  <c r="AP42" i="36"/>
  <c r="AC44" i="36"/>
  <c r="T45" i="36"/>
  <c r="O14" i="9"/>
  <c r="V41" i="38"/>
  <c r="P42" i="38"/>
  <c r="P44" i="38"/>
  <c r="H45" i="38"/>
  <c r="R41" i="39"/>
  <c r="N42" i="39"/>
  <c r="N44" i="39"/>
  <c r="P45" i="39"/>
  <c r="D5" i="9"/>
  <c r="E5" i="9" s="1"/>
  <c r="C5" i="9"/>
  <c r="AO3" i="38"/>
  <c r="K12" i="9"/>
  <c r="D12" i="9"/>
  <c r="L7" i="9"/>
  <c r="D7" i="9"/>
  <c r="K13" i="9"/>
  <c r="D13" i="9"/>
  <c r="BE45" i="35"/>
  <c r="AY45" i="35"/>
  <c r="AH45" i="35"/>
  <c r="Q45" i="35"/>
  <c r="AW44" i="35"/>
  <c r="AF44" i="35"/>
  <c r="O44" i="35"/>
  <c r="AX42" i="35"/>
  <c r="AD42" i="35"/>
  <c r="AS45" i="35"/>
  <c r="X45" i="35"/>
  <c r="F45" i="35"/>
  <c r="AN44" i="35"/>
  <c r="S44" i="35"/>
  <c r="BA42" i="35"/>
  <c r="AH42" i="35"/>
  <c r="N42" i="35"/>
  <c r="N48" i="35" s="1"/>
  <c r="N51" i="35" s="1"/>
  <c r="AW41" i="35"/>
  <c r="AF41" i="35"/>
  <c r="L41" i="35"/>
  <c r="F41" i="35"/>
  <c r="X41" i="35"/>
  <c r="AR41" i="35"/>
  <c r="K42" i="35"/>
  <c r="AC42" i="35"/>
  <c r="AZ42" i="35"/>
  <c r="T44" i="35"/>
  <c r="AP44" i="35"/>
  <c r="I45" i="35"/>
  <c r="AE45" i="35"/>
  <c r="AX45" i="35"/>
  <c r="M41" i="35"/>
  <c r="AH41" i="35"/>
  <c r="AZ41" i="35"/>
  <c r="T42" i="35"/>
  <c r="AN42" i="35"/>
  <c r="G44" i="35"/>
  <c r="AC44" i="35"/>
  <c r="AV44" i="35"/>
  <c r="S45" i="35"/>
  <c r="AL45" i="35"/>
  <c r="C15" i="9"/>
  <c r="D15" i="9"/>
  <c r="C6" i="9"/>
  <c r="J6" i="9"/>
  <c r="K6" i="9"/>
  <c r="I6" i="9"/>
  <c r="D6" i="9"/>
  <c r="E6" i="9"/>
  <c r="G15" i="9"/>
  <c r="H15" i="9"/>
  <c r="I15" i="9"/>
  <c r="J15" i="9"/>
  <c r="K15" i="9"/>
  <c r="L15" i="9"/>
  <c r="G14" i="9"/>
  <c r="H14" i="9"/>
  <c r="I14" i="9"/>
  <c r="J14" i="9"/>
  <c r="K14" i="9"/>
  <c r="L14" i="9"/>
  <c r="E13" i="9"/>
  <c r="G13" i="9"/>
  <c r="C13" i="9"/>
  <c r="H13" i="9"/>
  <c r="I13" i="9"/>
  <c r="J13" i="9"/>
  <c r="L13" i="9"/>
  <c r="G12" i="9"/>
  <c r="L12" i="9"/>
  <c r="H12" i="9"/>
  <c r="I12" i="9"/>
  <c r="J12" i="9"/>
  <c r="I11" i="9"/>
  <c r="J11" i="9"/>
  <c r="K11" i="9"/>
  <c r="I10" i="9"/>
  <c r="J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V44" i="35"/>
  <c r="AJ44" i="35"/>
  <c r="AX44" i="35"/>
  <c r="L45" i="35"/>
  <c r="Z45" i="35"/>
  <c r="AN45" i="35"/>
  <c r="BB45" i="35"/>
  <c r="AO4" i="35"/>
  <c r="O41" i="35"/>
  <c r="AC41" i="35"/>
  <c r="AQ41" i="35"/>
  <c r="BE41" i="35"/>
  <c r="S42" i="35"/>
  <c r="AG42" i="35"/>
  <c r="AU42" i="35"/>
  <c r="I44" i="35"/>
  <c r="W44" i="35"/>
  <c r="AK44" i="35"/>
  <c r="AY44" i="35"/>
  <c r="M45" i="35"/>
  <c r="AA45" i="35"/>
  <c r="AO45" i="35"/>
  <c r="BC45" i="35"/>
  <c r="BC4" i="35"/>
  <c r="AO5" i="35" s="1"/>
  <c r="Q41" i="35"/>
  <c r="AE41" i="35"/>
  <c r="AS41" i="35"/>
  <c r="G42" i="35"/>
  <c r="U42" i="35"/>
  <c r="AI42" i="35"/>
  <c r="AW42" i="35"/>
  <c r="K44" i="35"/>
  <c r="Y44" i="35"/>
  <c r="AM44" i="35"/>
  <c r="BA44" i="35"/>
  <c r="O45" i="35"/>
  <c r="AC45" i="35"/>
  <c r="AQ45" i="35"/>
  <c r="G11" i="9"/>
  <c r="H11" i="9"/>
  <c r="H10" i="9"/>
  <c r="G10" i="9"/>
  <c r="C10" i="9"/>
  <c r="C9" i="9"/>
  <c r="I9" i="9"/>
  <c r="J9" i="9"/>
  <c r="K9" i="9"/>
  <c r="I8" i="9"/>
  <c r="K8" i="9"/>
  <c r="L8" i="9"/>
  <c r="C8" i="9"/>
  <c r="I7" i="9"/>
  <c r="J7" i="9"/>
  <c r="K7" i="9"/>
  <c r="C11" i="9"/>
  <c r="E10" i="9"/>
  <c r="E12" i="9"/>
  <c r="C12" i="9"/>
  <c r="E11" i="9"/>
  <c r="E9" i="9"/>
  <c r="E15" i="9"/>
  <c r="E8" i="9"/>
  <c r="E14" i="9"/>
  <c r="E7" i="9"/>
  <c r="H9" i="9"/>
  <c r="G9" i="9"/>
  <c r="G8" i="9"/>
  <c r="H8" i="9"/>
  <c r="G7" i="9"/>
  <c r="H7" i="9"/>
  <c r="J37" i="34" l="1"/>
  <c r="K35" i="34"/>
  <c r="J24" i="34"/>
  <c r="I50" i="34"/>
  <c r="J32" i="34"/>
  <c r="K30" i="34"/>
  <c r="I27" i="34"/>
  <c r="I51" i="34"/>
  <c r="J25" i="34"/>
  <c r="AV6" i="33"/>
  <c r="L24" i="33"/>
  <c r="K50" i="33"/>
  <c r="J27" i="33"/>
  <c r="K25" i="33"/>
  <c r="J51" i="33"/>
  <c r="I32" i="33"/>
  <c r="J30" i="33"/>
  <c r="M37" i="33"/>
  <c r="N35" i="33"/>
  <c r="I27" i="32"/>
  <c r="J25" i="32"/>
  <c r="I51" i="32"/>
  <c r="AV6" i="32"/>
  <c r="J37" i="32"/>
  <c r="K35" i="32"/>
  <c r="J24" i="32"/>
  <c r="I50" i="32"/>
  <c r="L30" i="32"/>
  <c r="K32" i="32"/>
  <c r="I27" i="31"/>
  <c r="I51" i="31"/>
  <c r="J25" i="31"/>
  <c r="I24" i="31"/>
  <c r="H50" i="31"/>
  <c r="AV6" i="31"/>
  <c r="M30" i="31"/>
  <c r="L32" i="31"/>
  <c r="J37" i="31"/>
  <c r="K35" i="31"/>
  <c r="J24" i="30"/>
  <c r="I50" i="30"/>
  <c r="K37" i="30"/>
  <c r="L35" i="30"/>
  <c r="J51" i="30"/>
  <c r="J27" i="30"/>
  <c r="K25" i="30"/>
  <c r="M30" i="30"/>
  <c r="L32" i="30"/>
  <c r="AV6" i="30"/>
  <c r="M30" i="13"/>
  <c r="L32" i="13"/>
  <c r="N24" i="13"/>
  <c r="M50" i="13"/>
  <c r="AV6" i="13"/>
  <c r="J37" i="13"/>
  <c r="K35" i="13"/>
  <c r="J41" i="13"/>
  <c r="J47" i="13" s="1"/>
  <c r="J50" i="13" s="1"/>
  <c r="I27" i="13"/>
  <c r="J25" i="13"/>
  <c r="I51" i="13"/>
  <c r="J30" i="35"/>
  <c r="J32" i="35" s="1"/>
  <c r="I32" i="36"/>
  <c r="J30" i="36"/>
  <c r="I27" i="38"/>
  <c r="J25" i="38"/>
  <c r="K27" i="35"/>
  <c r="L25" i="35"/>
  <c r="J25" i="36"/>
  <c r="I27" i="36"/>
  <c r="I37" i="39"/>
  <c r="J35" i="39"/>
  <c r="I37" i="36"/>
  <c r="J35" i="36"/>
  <c r="I37" i="35"/>
  <c r="J35" i="35"/>
  <c r="L25" i="39"/>
  <c r="K27" i="39"/>
  <c r="I37" i="38"/>
  <c r="J35" i="38"/>
  <c r="K32" i="38"/>
  <c r="L30" i="38"/>
  <c r="AS48" i="35"/>
  <c r="AS51" i="35" s="1"/>
  <c r="K32" i="39"/>
  <c r="L30" i="39"/>
  <c r="V48" i="38"/>
  <c r="V51" i="38" s="1"/>
  <c r="AO48" i="36"/>
  <c r="AO51" i="36" s="1"/>
  <c r="AG47" i="38"/>
  <c r="AK48" i="35"/>
  <c r="AK51" i="35" s="1"/>
  <c r="P47" i="35"/>
  <c r="H48" i="36"/>
  <c r="H51" i="36" s="1"/>
  <c r="AG47" i="35"/>
  <c r="T47" i="36"/>
  <c r="Y47" i="38"/>
  <c r="AO47" i="39"/>
  <c r="AI47" i="39"/>
  <c r="AQ48" i="39"/>
  <c r="AQ51" i="39" s="1"/>
  <c r="AX48" i="38"/>
  <c r="AX51" i="38" s="1"/>
  <c r="AN47" i="38"/>
  <c r="AO48" i="35"/>
  <c r="AO51" i="35" s="1"/>
  <c r="AL47" i="39"/>
  <c r="AY47" i="35"/>
  <c r="Z48" i="35"/>
  <c r="Z51" i="35" s="1"/>
  <c r="AT48" i="39"/>
  <c r="AT51" i="39" s="1"/>
  <c r="AJ48" i="38"/>
  <c r="AJ51" i="38" s="1"/>
  <c r="R47" i="38"/>
  <c r="O47" i="35"/>
  <c r="AI47" i="36"/>
  <c r="AY48" i="39"/>
  <c r="AY51" i="39" s="1"/>
  <c r="F47" i="36"/>
  <c r="F50" i="36" s="1"/>
  <c r="AE48" i="38"/>
  <c r="AE51" i="38" s="1"/>
  <c r="K47" i="38"/>
  <c r="O48" i="35"/>
  <c r="O51" i="35" s="1"/>
  <c r="Q48" i="35"/>
  <c r="Q51" i="35" s="1"/>
  <c r="V48" i="36"/>
  <c r="V51" i="36" s="1"/>
  <c r="AT47" i="38"/>
  <c r="W48" i="38"/>
  <c r="W51" i="38" s="1"/>
  <c r="H48" i="35"/>
  <c r="H51" i="35" s="1"/>
  <c r="L47" i="36"/>
  <c r="AH47" i="35"/>
  <c r="AC48" i="36"/>
  <c r="AC51" i="36" s="1"/>
  <c r="BC47" i="35"/>
  <c r="AS48" i="36"/>
  <c r="AS51" i="36" s="1"/>
  <c r="AG48" i="36"/>
  <c r="AG51" i="36" s="1"/>
  <c r="W47" i="39"/>
  <c r="AK48" i="39"/>
  <c r="AK51" i="39" s="1"/>
  <c r="AM48" i="36"/>
  <c r="AM51" i="36" s="1"/>
  <c r="I48" i="36"/>
  <c r="I51" i="36" s="1"/>
  <c r="BB47" i="35"/>
  <c r="BE47" i="36"/>
  <c r="AT48" i="36"/>
  <c r="AT51" i="36" s="1"/>
  <c r="AX47" i="38"/>
  <c r="AA48" i="38"/>
  <c r="AA51" i="38" s="1"/>
  <c r="BA48" i="35"/>
  <c r="BA51" i="35" s="1"/>
  <c r="AK48" i="36"/>
  <c r="AK51" i="36" s="1"/>
  <c r="Z47" i="39"/>
  <c r="AG47" i="36"/>
  <c r="K48" i="38"/>
  <c r="AZ47" i="38"/>
  <c r="AY48" i="38"/>
  <c r="AY51" i="38" s="1"/>
  <c r="BA48" i="39"/>
  <c r="BA51" i="39" s="1"/>
  <c r="AG47" i="39"/>
  <c r="AJ48" i="36"/>
  <c r="AJ51" i="36" s="1"/>
  <c r="P48" i="36"/>
  <c r="P51" i="36" s="1"/>
  <c r="W48" i="36"/>
  <c r="W51" i="36" s="1"/>
  <c r="Z47" i="35"/>
  <c r="AN47" i="39"/>
  <c r="AT47" i="39"/>
  <c r="AR48" i="39"/>
  <c r="AR51" i="39" s="1"/>
  <c r="BE47" i="35"/>
  <c r="AF48" i="38"/>
  <c r="AF51" i="38" s="1"/>
  <c r="AV48" i="38"/>
  <c r="AV51" i="38" s="1"/>
  <c r="W48" i="35"/>
  <c r="W51" i="35" s="1"/>
  <c r="R47" i="35"/>
  <c r="N47" i="36"/>
  <c r="AH48" i="38"/>
  <c r="AH51" i="38" s="1"/>
  <c r="AP47" i="39"/>
  <c r="AV47" i="36"/>
  <c r="V48" i="39"/>
  <c r="V51" i="39" s="1"/>
  <c r="AZ48" i="39"/>
  <c r="AZ51" i="39" s="1"/>
  <c r="Z47" i="36"/>
  <c r="AL48" i="35"/>
  <c r="AL51" i="35" s="1"/>
  <c r="BC47" i="38"/>
  <c r="J48" i="38"/>
  <c r="J51" i="38" s="1"/>
  <c r="AR48" i="35"/>
  <c r="AR51" i="35" s="1"/>
  <c r="P48" i="35"/>
  <c r="P51" i="35" s="1"/>
  <c r="J48" i="35"/>
  <c r="J51" i="35" s="1"/>
  <c r="BB48" i="35"/>
  <c r="BB51" i="35" s="1"/>
  <c r="N47" i="35"/>
  <c r="L48" i="36"/>
  <c r="T48" i="35"/>
  <c r="T51" i="35" s="1"/>
  <c r="AR47" i="35"/>
  <c r="AD48" i="35"/>
  <c r="AD51" i="35" s="1"/>
  <c r="J48" i="39"/>
  <c r="J51" i="39" s="1"/>
  <c r="F47" i="39"/>
  <c r="AH47" i="39"/>
  <c r="AD47" i="35"/>
  <c r="AJ48" i="35"/>
  <c r="AJ51" i="35" s="1"/>
  <c r="AZ48" i="35"/>
  <c r="AZ51" i="35" s="1"/>
  <c r="AE48" i="36"/>
  <c r="AE51" i="36" s="1"/>
  <c r="AN47" i="36"/>
  <c r="BC48" i="39"/>
  <c r="BC51" i="39" s="1"/>
  <c r="BC48" i="35"/>
  <c r="BC51" i="35" s="1"/>
  <c r="AB48" i="39"/>
  <c r="AB51" i="39" s="1"/>
  <c r="AB47" i="35"/>
  <c r="K48" i="35"/>
  <c r="K51" i="35" s="1"/>
  <c r="L47" i="39"/>
  <c r="V48" i="35"/>
  <c r="V51" i="35" s="1"/>
  <c r="I47" i="36"/>
  <c r="AL47" i="36"/>
  <c r="AW48" i="39"/>
  <c r="AW51" i="39" s="1"/>
  <c r="X47" i="35"/>
  <c r="Q48" i="36"/>
  <c r="Q51" i="36" s="1"/>
  <c r="BE48" i="39"/>
  <c r="BE51" i="39" s="1"/>
  <c r="BE48" i="36"/>
  <c r="BE51" i="36" s="1"/>
  <c r="X47" i="36"/>
  <c r="AL47" i="35"/>
  <c r="J47" i="35"/>
  <c r="AA48" i="36"/>
  <c r="AA51" i="36" s="1"/>
  <c r="Y47" i="35"/>
  <c r="AV47" i="39"/>
  <c r="AI47" i="35"/>
  <c r="AL48" i="36"/>
  <c r="AL51" i="36" s="1"/>
  <c r="AB48" i="38"/>
  <c r="AB51" i="38" s="1"/>
  <c r="AV48" i="39"/>
  <c r="AV51" i="39" s="1"/>
  <c r="P48" i="38"/>
  <c r="P51" i="38" s="1"/>
  <c r="AL48" i="39"/>
  <c r="AL51" i="39" s="1"/>
  <c r="AV47" i="38"/>
  <c r="AR48" i="36"/>
  <c r="AR51" i="36" s="1"/>
  <c r="AO47" i="38"/>
  <c r="U47" i="35"/>
  <c r="AR47" i="36"/>
  <c r="AJ48" i="39"/>
  <c r="AJ51" i="39" s="1"/>
  <c r="AE47" i="35"/>
  <c r="AD47" i="36"/>
  <c r="AP47" i="36"/>
  <c r="S47" i="35"/>
  <c r="AR48" i="38"/>
  <c r="AR51" i="38" s="1"/>
  <c r="F47" i="38"/>
  <c r="BA48" i="36"/>
  <c r="BA51" i="36" s="1"/>
  <c r="AM47" i="35"/>
  <c r="AL47" i="38"/>
  <c r="AZ47" i="35"/>
  <c r="S47" i="39"/>
  <c r="X47" i="38"/>
  <c r="AK47" i="38"/>
  <c r="AU48" i="39"/>
  <c r="AU51" i="39" s="1"/>
  <c r="T47" i="38"/>
  <c r="AU47" i="39"/>
  <c r="P48" i="39"/>
  <c r="P51" i="39" s="1"/>
  <c r="AO47" i="36"/>
  <c r="R47" i="36"/>
  <c r="AW47" i="38"/>
  <c r="AK48" i="38"/>
  <c r="AK51" i="38" s="1"/>
  <c r="BB47" i="39"/>
  <c r="K47" i="35"/>
  <c r="L48" i="35"/>
  <c r="K47" i="36"/>
  <c r="AK47" i="36"/>
  <c r="N48" i="36"/>
  <c r="N51" i="36" s="1"/>
  <c r="Z48" i="36"/>
  <c r="Z51" i="36" s="1"/>
  <c r="AT48" i="38"/>
  <c r="AT51" i="38" s="1"/>
  <c r="J47" i="38"/>
  <c r="AE47" i="39"/>
  <c r="L47" i="35"/>
  <c r="AF47" i="39"/>
  <c r="AM48" i="39"/>
  <c r="AM51" i="39" s="1"/>
  <c r="AW47" i="36"/>
  <c r="AY48" i="36"/>
  <c r="AY51" i="36" s="1"/>
  <c r="M47" i="36"/>
  <c r="AS48" i="38"/>
  <c r="AS51" i="38" s="1"/>
  <c r="AJ47" i="35"/>
  <c r="AU48" i="35"/>
  <c r="AU51" i="35" s="1"/>
  <c r="V47" i="35"/>
  <c r="H47" i="35"/>
  <c r="AY48" i="35"/>
  <c r="AY51" i="35" s="1"/>
  <c r="AX48" i="39"/>
  <c r="AX51" i="39" s="1"/>
  <c r="AT47" i="35"/>
  <c r="AB47" i="38"/>
  <c r="BE47" i="38"/>
  <c r="I48" i="35"/>
  <c r="I51" i="35" s="1"/>
  <c r="AB48" i="35"/>
  <c r="AB51" i="35" s="1"/>
  <c r="Q47" i="35"/>
  <c r="AQ47" i="35"/>
  <c r="Q47" i="36"/>
  <c r="T48" i="36"/>
  <c r="T51" i="36" s="1"/>
  <c r="AN48" i="38"/>
  <c r="AN51" i="38" s="1"/>
  <c r="Y47" i="39"/>
  <c r="AA48" i="39"/>
  <c r="AA51" i="39" s="1"/>
  <c r="AT47" i="36"/>
  <c r="AU47" i="36"/>
  <c r="AF47" i="36"/>
  <c r="BB47" i="36"/>
  <c r="AV48" i="35"/>
  <c r="AV51" i="35" s="1"/>
  <c r="AU47" i="35"/>
  <c r="G48" i="35"/>
  <c r="G51" i="35" s="1"/>
  <c r="AG48" i="35"/>
  <c r="AG51" i="35" s="1"/>
  <c r="AS47" i="35"/>
  <c r="AT48" i="35"/>
  <c r="AT51" i="35" s="1"/>
  <c r="AQ48" i="38"/>
  <c r="AQ51" i="38" s="1"/>
  <c r="BA47" i="39"/>
  <c r="AN48" i="36"/>
  <c r="AN51" i="36" s="1"/>
  <c r="S47" i="38"/>
  <c r="AF48" i="35"/>
  <c r="AF51" i="35" s="1"/>
  <c r="N47" i="38"/>
  <c r="AD47" i="38"/>
  <c r="U47" i="39"/>
  <c r="AQ48" i="35"/>
  <c r="AQ51" i="35" s="1"/>
  <c r="BD47" i="35"/>
  <c r="AQ48" i="36"/>
  <c r="AQ51" i="36" s="1"/>
  <c r="Z48" i="38"/>
  <c r="Z51" i="38" s="1"/>
  <c r="M48" i="39"/>
  <c r="AP48" i="36"/>
  <c r="AP51" i="36" s="1"/>
  <c r="I48" i="38"/>
  <c r="I51" i="38" s="1"/>
  <c r="AI47" i="38"/>
  <c r="Y48" i="35"/>
  <c r="Y51" i="35" s="1"/>
  <c r="AA47" i="35"/>
  <c r="AO47" i="35"/>
  <c r="AH48" i="36"/>
  <c r="AH51" i="36" s="1"/>
  <c r="AJ47" i="38"/>
  <c r="AO48" i="39"/>
  <c r="AO51" i="39" s="1"/>
  <c r="AD48" i="36"/>
  <c r="AD51" i="36" s="1"/>
  <c r="AZ48" i="38"/>
  <c r="AZ51" i="38" s="1"/>
  <c r="W47" i="38"/>
  <c r="AC47" i="36"/>
  <c r="M48" i="38"/>
  <c r="AZ47" i="39"/>
  <c r="AZ48" i="36"/>
  <c r="AZ51" i="36" s="1"/>
  <c r="AD48" i="38"/>
  <c r="AD51" i="38" s="1"/>
  <c r="R48" i="35"/>
  <c r="R51" i="35" s="1"/>
  <c r="O48" i="36"/>
  <c r="O51" i="36" s="1"/>
  <c r="BC48" i="36"/>
  <c r="BC51" i="36" s="1"/>
  <c r="F48" i="36"/>
  <c r="F51" i="36" s="1"/>
  <c r="AI48" i="38"/>
  <c r="AI51" i="38" s="1"/>
  <c r="H47" i="38"/>
  <c r="AY47" i="38"/>
  <c r="F47" i="35"/>
  <c r="AA47" i="39"/>
  <c r="X48" i="39"/>
  <c r="X51" i="39" s="1"/>
  <c r="G47" i="39"/>
  <c r="AS48" i="39"/>
  <c r="AS51" i="39" s="1"/>
  <c r="BE48" i="38"/>
  <c r="BE51" i="38" s="1"/>
  <c r="AD48" i="39"/>
  <c r="AD51" i="39" s="1"/>
  <c r="Y48" i="38"/>
  <c r="Y51" i="38" s="1"/>
  <c r="G48" i="39"/>
  <c r="G51" i="39" s="1"/>
  <c r="BA47" i="35"/>
  <c r="AA48" i="35"/>
  <c r="AA51" i="35" s="1"/>
  <c r="AX48" i="35"/>
  <c r="AX51" i="35" s="1"/>
  <c r="H48" i="38"/>
  <c r="H51" i="38" s="1"/>
  <c r="Y48" i="39"/>
  <c r="Y51" i="39" s="1"/>
  <c r="W48" i="39"/>
  <c r="W51" i="39" s="1"/>
  <c r="AA47" i="36"/>
  <c r="AC48" i="38"/>
  <c r="AC51" i="38" s="1"/>
  <c r="Y47" i="36"/>
  <c r="BD48" i="35"/>
  <c r="BD51" i="35" s="1"/>
  <c r="M48" i="35"/>
  <c r="AN48" i="35"/>
  <c r="AN51" i="35" s="1"/>
  <c r="Q47" i="38"/>
  <c r="T48" i="39"/>
  <c r="T51" i="39" s="1"/>
  <c r="V47" i="39"/>
  <c r="AE48" i="35"/>
  <c r="AE51" i="35" s="1"/>
  <c r="K48" i="36"/>
  <c r="S47" i="36"/>
  <c r="U48" i="38"/>
  <c r="U51" i="38" s="1"/>
  <c r="AY47" i="39"/>
  <c r="K48" i="39"/>
  <c r="K51" i="39" s="1"/>
  <c r="J48" i="36"/>
  <c r="J51" i="36" s="1"/>
  <c r="R47" i="39"/>
  <c r="X48" i="36"/>
  <c r="X51" i="36" s="1"/>
  <c r="BC47" i="39"/>
  <c r="U48" i="36"/>
  <c r="U51" i="36" s="1"/>
  <c r="AW48" i="35"/>
  <c r="AW51" i="35" s="1"/>
  <c r="W47" i="35"/>
  <c r="AX47" i="35"/>
  <c r="G48" i="36"/>
  <c r="G51" i="36" s="1"/>
  <c r="AD47" i="39"/>
  <c r="BE47" i="39"/>
  <c r="AF48" i="39"/>
  <c r="AF51" i="39" s="1"/>
  <c r="AV47" i="35"/>
  <c r="T47" i="35"/>
  <c r="AN47" i="35"/>
  <c r="M47" i="35"/>
  <c r="AZ47" i="36"/>
  <c r="Z48" i="39"/>
  <c r="Z51" i="39" s="1"/>
  <c r="BD48" i="39"/>
  <c r="BD51" i="39" s="1"/>
  <c r="P47" i="39"/>
  <c r="AQ47" i="39"/>
  <c r="F48" i="35"/>
  <c r="F51" i="35" s="1"/>
  <c r="AK47" i="39"/>
  <c r="AL48" i="38"/>
  <c r="AL51" i="38" s="1"/>
  <c r="J47" i="39"/>
  <c r="AS47" i="38"/>
  <c r="BE48" i="35"/>
  <c r="BE51" i="35" s="1"/>
  <c r="AM48" i="35"/>
  <c r="AM51" i="35" s="1"/>
  <c r="AK47" i="35"/>
  <c r="AC48" i="39"/>
  <c r="AC51" i="39" s="1"/>
  <c r="AI48" i="35"/>
  <c r="AI51" i="35" s="1"/>
  <c r="I47" i="35"/>
  <c r="U48" i="35"/>
  <c r="U51" i="35" s="1"/>
  <c r="S48" i="36"/>
  <c r="S51" i="36" s="1"/>
  <c r="J47" i="36"/>
  <c r="L48" i="38"/>
  <c r="AP48" i="38"/>
  <c r="AP51" i="38" s="1"/>
  <c r="O47" i="38"/>
  <c r="AM47" i="39"/>
  <c r="AP48" i="39"/>
  <c r="AP51" i="39" s="1"/>
  <c r="AC47" i="39"/>
  <c r="BD47" i="39"/>
  <c r="G47" i="35"/>
  <c r="X48" i="35"/>
  <c r="X51" i="35" s="1"/>
  <c r="BB47" i="38"/>
  <c r="W47" i="36"/>
  <c r="U47" i="36"/>
  <c r="AP48" i="35"/>
  <c r="AP51" i="35" s="1"/>
  <c r="G48" i="38"/>
  <c r="G51" i="38" s="1"/>
  <c r="AW47" i="35"/>
  <c r="R48" i="39"/>
  <c r="R51" i="39" s="1"/>
  <c r="AH48" i="35"/>
  <c r="AH51" i="35" s="1"/>
  <c r="G47" i="36"/>
  <c r="AX48" i="36"/>
  <c r="AX51" i="36" s="1"/>
  <c r="BB48" i="36"/>
  <c r="BB51" i="36" s="1"/>
  <c r="O47" i="39"/>
  <c r="U47" i="38"/>
  <c r="N47" i="39"/>
  <c r="AU48" i="36"/>
  <c r="AU51" i="36" s="1"/>
  <c r="AX47" i="36"/>
  <c r="BA47" i="38"/>
  <c r="BD48" i="38"/>
  <c r="BD51" i="38" s="1"/>
  <c r="P47" i="38"/>
  <c r="AN48" i="39"/>
  <c r="AN51" i="39" s="1"/>
  <c r="AS47" i="36"/>
  <c r="AJ47" i="36"/>
  <c r="AM47" i="38"/>
  <c r="X47" i="39"/>
  <c r="AE47" i="36"/>
  <c r="V47" i="36"/>
  <c r="BC48" i="38"/>
  <c r="BC51" i="38" s="1"/>
  <c r="L48" i="39"/>
  <c r="AV48" i="36"/>
  <c r="AV51" i="36" s="1"/>
  <c r="H47" i="36"/>
  <c r="N48" i="38"/>
  <c r="N51" i="38" s="1"/>
  <c r="AO48" i="38"/>
  <c r="AO51" i="38" s="1"/>
  <c r="AS47" i="39"/>
  <c r="AF47" i="35"/>
  <c r="R48" i="38"/>
  <c r="R51" i="38" s="1"/>
  <c r="Y48" i="36"/>
  <c r="Y51" i="36" s="1"/>
  <c r="AF47" i="38"/>
  <c r="Z47" i="38"/>
  <c r="K47" i="39"/>
  <c r="N48" i="39"/>
  <c r="N51" i="39" s="1"/>
  <c r="AB47" i="39"/>
  <c r="BC47" i="36"/>
  <c r="BB48" i="39"/>
  <c r="BB51" i="39" s="1"/>
  <c r="AQ47" i="38"/>
  <c r="AI48" i="39"/>
  <c r="AI51" i="39" s="1"/>
  <c r="AC47" i="38"/>
  <c r="U48" i="39"/>
  <c r="U51" i="39" s="1"/>
  <c r="AP47" i="35"/>
  <c r="AQ47" i="36"/>
  <c r="AW48" i="38"/>
  <c r="AW51" i="38" s="1"/>
  <c r="V47" i="38"/>
  <c r="G47" i="38"/>
  <c r="AM48" i="38"/>
  <c r="AM51" i="38" s="1"/>
  <c r="M47" i="38"/>
  <c r="AM47" i="36"/>
  <c r="BD47" i="38"/>
  <c r="AX47" i="39"/>
  <c r="H48" i="39"/>
  <c r="H51" i="39" s="1"/>
  <c r="T47" i="39"/>
  <c r="X48" i="38"/>
  <c r="X51" i="38" s="1"/>
  <c r="AC48" i="35"/>
  <c r="AC51" i="35" s="1"/>
  <c r="S48" i="35"/>
  <c r="S51" i="35" s="1"/>
  <c r="M48" i="36"/>
  <c r="P47" i="36"/>
  <c r="R48" i="36"/>
  <c r="R51" i="36" s="1"/>
  <c r="I47" i="38"/>
  <c r="Q47" i="39"/>
  <c r="AH48" i="39"/>
  <c r="AH51" i="39" s="1"/>
  <c r="AJ47" i="39"/>
  <c r="M47" i="39"/>
  <c r="Q48" i="39"/>
  <c r="Q51" i="39" s="1"/>
  <c r="AY47" i="36"/>
  <c r="BD47" i="36"/>
  <c r="AU48" i="38"/>
  <c r="AU51" i="38" s="1"/>
  <c r="AH47" i="36"/>
  <c r="Q48" i="38"/>
  <c r="Q51" i="38" s="1"/>
  <c r="AW48" i="36"/>
  <c r="AW51" i="36" s="1"/>
  <c r="AB48" i="36"/>
  <c r="AB51" i="36" s="1"/>
  <c r="BB48" i="38"/>
  <c r="BB51" i="38" s="1"/>
  <c r="F48" i="38"/>
  <c r="F51" i="38" s="1"/>
  <c r="AG48" i="38"/>
  <c r="AG51" i="38" s="1"/>
  <c r="F48" i="39"/>
  <c r="F51" i="39" s="1"/>
  <c r="AG48" i="39"/>
  <c r="AG51" i="39" s="1"/>
  <c r="H47" i="39"/>
  <c r="H50" i="39" s="1"/>
  <c r="AW47" i="39"/>
  <c r="I48" i="39"/>
  <c r="I51" i="39" s="1"/>
  <c r="L47" i="38"/>
  <c r="AA47" i="38"/>
  <c r="AE47" i="38"/>
  <c r="BD48" i="36"/>
  <c r="BD51" i="36" s="1"/>
  <c r="AP47" i="38"/>
  <c r="I47" i="39"/>
  <c r="AC47" i="35"/>
  <c r="AI48" i="36"/>
  <c r="AI51" i="36" s="1"/>
  <c r="AB47" i="36"/>
  <c r="O48" i="38"/>
  <c r="O51" i="38" s="1"/>
  <c r="AR47" i="38"/>
  <c r="S48" i="38"/>
  <c r="S51" i="38" s="1"/>
  <c r="O48" i="39"/>
  <c r="O51" i="39" s="1"/>
  <c r="AR47" i="39"/>
  <c r="S48" i="39"/>
  <c r="S51" i="39" s="1"/>
  <c r="J25" i="5"/>
  <c r="AU47" i="38"/>
  <c r="I50" i="39"/>
  <c r="L50" i="39"/>
  <c r="J50" i="39"/>
  <c r="AV4" i="39"/>
  <c r="AV5" i="39"/>
  <c r="N24" i="39"/>
  <c r="M50" i="39"/>
  <c r="K50" i="39"/>
  <c r="AV4" i="38"/>
  <c r="AV5" i="38"/>
  <c r="H50" i="38"/>
  <c r="I24" i="38"/>
  <c r="AV4" i="36"/>
  <c r="AV5" i="36"/>
  <c r="H50" i="36"/>
  <c r="I24" i="36"/>
  <c r="I50" i="35"/>
  <c r="AV4" i="35"/>
  <c r="AV5" i="35"/>
  <c r="K50" i="35"/>
  <c r="L24" i="35"/>
  <c r="J50" i="35"/>
  <c r="H37" i="5"/>
  <c r="J27" i="34" l="1"/>
  <c r="K25" i="34"/>
  <c r="J51" i="34"/>
  <c r="L30" i="34"/>
  <c r="K32" i="34"/>
  <c r="K24" i="34"/>
  <c r="J50" i="34"/>
  <c r="K37" i="34"/>
  <c r="L35" i="34"/>
  <c r="N37" i="33"/>
  <c r="O35" i="33"/>
  <c r="K30" i="33"/>
  <c r="J32" i="33"/>
  <c r="K27" i="33"/>
  <c r="K51" i="33"/>
  <c r="L25" i="33"/>
  <c r="M24" i="33"/>
  <c r="L50" i="33"/>
  <c r="M30" i="32"/>
  <c r="L32" i="32"/>
  <c r="K24" i="32"/>
  <c r="J50" i="32"/>
  <c r="K37" i="32"/>
  <c r="L35" i="32"/>
  <c r="J27" i="32"/>
  <c r="J51" i="32"/>
  <c r="K25" i="32"/>
  <c r="K37" i="31"/>
  <c r="L35" i="31"/>
  <c r="N30" i="31"/>
  <c r="M32" i="31"/>
  <c r="J24" i="31"/>
  <c r="I50" i="31"/>
  <c r="J27" i="31"/>
  <c r="J51" i="31"/>
  <c r="K25" i="31"/>
  <c r="N30" i="30"/>
  <c r="M32" i="30"/>
  <c r="K27" i="30"/>
  <c r="K51" i="30"/>
  <c r="L25" i="30"/>
  <c r="L37" i="30"/>
  <c r="M35" i="30"/>
  <c r="K24" i="30"/>
  <c r="J50" i="30"/>
  <c r="J27" i="13"/>
  <c r="K25" i="13"/>
  <c r="J51" i="13"/>
  <c r="K37" i="13"/>
  <c r="L35" i="13"/>
  <c r="K41" i="13"/>
  <c r="K47" i="13" s="1"/>
  <c r="O24" i="13"/>
  <c r="N50" i="13"/>
  <c r="N30" i="13"/>
  <c r="M32" i="13"/>
  <c r="K30" i="35"/>
  <c r="L30" i="35" s="1"/>
  <c r="K30" i="36"/>
  <c r="J32" i="36"/>
  <c r="L51" i="39"/>
  <c r="L51" i="35"/>
  <c r="K25" i="38"/>
  <c r="J27" i="38"/>
  <c r="L27" i="35"/>
  <c r="M25" i="35"/>
  <c r="M27" i="35" s="1"/>
  <c r="K51" i="38"/>
  <c r="L32" i="39"/>
  <c r="M30" i="39"/>
  <c r="J37" i="35"/>
  <c r="K35" i="35"/>
  <c r="J37" i="38"/>
  <c r="K35" i="38"/>
  <c r="K25" i="36"/>
  <c r="J27" i="36"/>
  <c r="L27" i="39"/>
  <c r="M25" i="39"/>
  <c r="M27" i="39" s="1"/>
  <c r="J37" i="36"/>
  <c r="K35" i="36"/>
  <c r="L32" i="38"/>
  <c r="M30" i="38"/>
  <c r="J37" i="39"/>
  <c r="K35" i="39"/>
  <c r="K25" i="5"/>
  <c r="P15" i="9"/>
  <c r="P14" i="9"/>
  <c r="P13" i="9"/>
  <c r="P12" i="9"/>
  <c r="P11" i="9"/>
  <c r="P10" i="9"/>
  <c r="P9" i="9"/>
  <c r="P8" i="9"/>
  <c r="P7" i="9"/>
  <c r="AQ5" i="39"/>
  <c r="Q15" i="9"/>
  <c r="R15" i="9" s="1"/>
  <c r="AQ5" i="38"/>
  <c r="Q14" i="9"/>
  <c r="R14" i="9" s="1"/>
  <c r="AQ5" i="36"/>
  <c r="Q13" i="9"/>
  <c r="R13" i="9" s="1"/>
  <c r="AQ5" i="35"/>
  <c r="Q12" i="9"/>
  <c r="R12" i="9" s="1"/>
  <c r="Q11" i="9"/>
  <c r="R11" i="9" s="1"/>
  <c r="Q10" i="9"/>
  <c r="R10" i="9" s="1"/>
  <c r="O24" i="39"/>
  <c r="N50" i="39"/>
  <c r="AV6" i="39"/>
  <c r="J24" i="38"/>
  <c r="I50" i="38"/>
  <c r="AV6" i="38"/>
  <c r="J24" i="36"/>
  <c r="I50" i="36"/>
  <c r="AV6" i="36"/>
  <c r="AV6" i="35"/>
  <c r="M24" i="35"/>
  <c r="L50" i="35"/>
  <c r="Q9" i="9"/>
  <c r="Q8" i="9"/>
  <c r="Q7" i="9"/>
  <c r="L37" i="34" l="1"/>
  <c r="M35" i="34"/>
  <c r="L24" i="34"/>
  <c r="K50" i="34"/>
  <c r="M30" i="34"/>
  <c r="L32" i="34"/>
  <c r="K27" i="34"/>
  <c r="K51" i="34"/>
  <c r="L25" i="34"/>
  <c r="N24" i="33"/>
  <c r="M50" i="33"/>
  <c r="L30" i="33"/>
  <c r="K32" i="33"/>
  <c r="O37" i="33"/>
  <c r="P35" i="33"/>
  <c r="L27" i="33"/>
  <c r="M25" i="33"/>
  <c r="L51" i="33"/>
  <c r="L24" i="32"/>
  <c r="K50" i="32"/>
  <c r="N30" i="32"/>
  <c r="M32" i="32"/>
  <c r="K27" i="32"/>
  <c r="K51" i="32"/>
  <c r="L25" i="32"/>
  <c r="L37" i="32"/>
  <c r="M35" i="32"/>
  <c r="K24" i="31"/>
  <c r="J50" i="31"/>
  <c r="L37" i="31"/>
  <c r="M35" i="31"/>
  <c r="O30" i="31"/>
  <c r="N32" i="31"/>
  <c r="K27" i="31"/>
  <c r="K51" i="31"/>
  <c r="L25" i="31"/>
  <c r="L24" i="30"/>
  <c r="K50" i="30"/>
  <c r="M37" i="30"/>
  <c r="N35" i="30"/>
  <c r="M25" i="30"/>
  <c r="L27" i="30"/>
  <c r="L51" i="30"/>
  <c r="O30" i="30"/>
  <c r="N32" i="30"/>
  <c r="L37" i="13"/>
  <c r="L41" i="13"/>
  <c r="L47" i="13" s="1"/>
  <c r="M35" i="13"/>
  <c r="N32" i="13"/>
  <c r="O30" i="13"/>
  <c r="P24" i="13"/>
  <c r="O50" i="13"/>
  <c r="K51" i="13"/>
  <c r="K27" i="13"/>
  <c r="L25" i="13"/>
  <c r="L30" i="36"/>
  <c r="K32" i="36"/>
  <c r="K32" i="35"/>
  <c r="K27" i="38"/>
  <c r="L25" i="38"/>
  <c r="M51" i="35"/>
  <c r="E51" i="35" s="1"/>
  <c r="N12" i="9" s="1"/>
  <c r="L35" i="39"/>
  <c r="K37" i="39"/>
  <c r="M32" i="38"/>
  <c r="N30" i="38"/>
  <c r="K27" i="36"/>
  <c r="L25" i="36"/>
  <c r="L32" i="35"/>
  <c r="M30" i="35"/>
  <c r="M51" i="39"/>
  <c r="E51" i="39" s="1"/>
  <c r="N15" i="9" s="1"/>
  <c r="L35" i="36"/>
  <c r="K37" i="36"/>
  <c r="M32" i="39"/>
  <c r="N30" i="39"/>
  <c r="L35" i="38"/>
  <c r="K37" i="38"/>
  <c r="L35" i="35"/>
  <c r="K37" i="35"/>
  <c r="K51" i="36"/>
  <c r="L25" i="5"/>
  <c r="H6" i="9"/>
  <c r="P24" i="39"/>
  <c r="O50" i="39"/>
  <c r="K24" i="38"/>
  <c r="J50" i="38"/>
  <c r="K24" i="36"/>
  <c r="J50" i="36"/>
  <c r="N24" i="35"/>
  <c r="M50" i="35"/>
  <c r="M25" i="34" l="1"/>
  <c r="L27" i="34"/>
  <c r="L51" i="34"/>
  <c r="M24" i="34"/>
  <c r="L50" i="34"/>
  <c r="N30" i="34"/>
  <c r="M32" i="34"/>
  <c r="M37" i="34"/>
  <c r="N35" i="34"/>
  <c r="M51" i="33"/>
  <c r="E51" i="33" s="1"/>
  <c r="M27" i="33"/>
  <c r="P37" i="33"/>
  <c r="Q35" i="33"/>
  <c r="L32" i="33"/>
  <c r="M30" i="33"/>
  <c r="O24" i="33"/>
  <c r="N50" i="33"/>
  <c r="M24" i="32"/>
  <c r="L50" i="32"/>
  <c r="M37" i="32"/>
  <c r="N35" i="32"/>
  <c r="M25" i="32"/>
  <c r="L27" i="32"/>
  <c r="L51" i="32"/>
  <c r="O30" i="32"/>
  <c r="N32" i="32"/>
  <c r="M25" i="31"/>
  <c r="L27" i="31"/>
  <c r="L51" i="31"/>
  <c r="O32" i="31"/>
  <c r="P30" i="31"/>
  <c r="M37" i="31"/>
  <c r="N35" i="31"/>
  <c r="L24" i="31"/>
  <c r="K50" i="31"/>
  <c r="O32" i="30"/>
  <c r="P30" i="30"/>
  <c r="N25" i="30"/>
  <c r="M27" i="30"/>
  <c r="M51" i="30"/>
  <c r="O35" i="30"/>
  <c r="N37" i="30"/>
  <c r="M24" i="30"/>
  <c r="L50" i="30"/>
  <c r="M25" i="13"/>
  <c r="L27" i="13"/>
  <c r="L51" i="13"/>
  <c r="P30" i="13"/>
  <c r="O32" i="13"/>
  <c r="M41" i="13"/>
  <c r="M47" i="13" s="1"/>
  <c r="M37" i="13"/>
  <c r="N35" i="13"/>
  <c r="P50" i="13"/>
  <c r="Q24" i="13"/>
  <c r="L32" i="36"/>
  <c r="M30" i="36"/>
  <c r="L51" i="38"/>
  <c r="M25" i="38"/>
  <c r="L27" i="38"/>
  <c r="N32" i="39"/>
  <c r="O30" i="39"/>
  <c r="M32" i="35"/>
  <c r="N30" i="35"/>
  <c r="L27" i="36"/>
  <c r="M25" i="36"/>
  <c r="L51" i="36"/>
  <c r="L37" i="36"/>
  <c r="M35" i="36"/>
  <c r="L37" i="35"/>
  <c r="M35" i="35"/>
  <c r="N32" i="38"/>
  <c r="O30" i="38"/>
  <c r="L37" i="38"/>
  <c r="M35" i="38"/>
  <c r="M35" i="39"/>
  <c r="L37" i="39"/>
  <c r="M25" i="5"/>
  <c r="G6" i="9"/>
  <c r="Q24" i="39"/>
  <c r="P50" i="39"/>
  <c r="L24" i="38"/>
  <c r="K50" i="38"/>
  <c r="L24" i="36"/>
  <c r="K50" i="36"/>
  <c r="O24" i="35"/>
  <c r="N50" i="35"/>
  <c r="R8" i="9"/>
  <c r="R9" i="9"/>
  <c r="R7" i="9"/>
  <c r="P6" i="9"/>
  <c r="N24" i="34" l="1"/>
  <c r="M50" i="34"/>
  <c r="O35" i="34"/>
  <c r="N37" i="34"/>
  <c r="O30" i="34"/>
  <c r="N32" i="34"/>
  <c r="M27" i="34"/>
  <c r="M51" i="34"/>
  <c r="E51" i="34" s="1"/>
  <c r="N11" i="9" s="1"/>
  <c r="O50" i="33"/>
  <c r="P24" i="33"/>
  <c r="Q37" i="33"/>
  <c r="R35" i="33"/>
  <c r="N30" i="33"/>
  <c r="M32" i="33"/>
  <c r="M27" i="32"/>
  <c r="M51" i="32"/>
  <c r="E51" i="32" s="1"/>
  <c r="O32" i="32"/>
  <c r="P30" i="32"/>
  <c r="O35" i="32"/>
  <c r="N37" i="32"/>
  <c r="N24" i="32"/>
  <c r="M50" i="32"/>
  <c r="O35" i="31"/>
  <c r="N37" i="31"/>
  <c r="M24" i="31"/>
  <c r="L50" i="31"/>
  <c r="P32" i="31"/>
  <c r="Q30" i="31"/>
  <c r="M27" i="31"/>
  <c r="M51" i="31"/>
  <c r="E51" i="31" s="1"/>
  <c r="N8" i="9" s="1"/>
  <c r="P35" i="30"/>
  <c r="O37" i="30"/>
  <c r="P32" i="30"/>
  <c r="Q30" i="30"/>
  <c r="N24" i="30"/>
  <c r="M50" i="30"/>
  <c r="O25" i="30"/>
  <c r="N27" i="30"/>
  <c r="N51" i="30"/>
  <c r="Q50" i="13"/>
  <c r="R24" i="13"/>
  <c r="O35" i="13"/>
  <c r="N37" i="13"/>
  <c r="N41" i="13"/>
  <c r="N47" i="13" s="1"/>
  <c r="P32" i="13"/>
  <c r="Q30" i="13"/>
  <c r="N25" i="13"/>
  <c r="M27" i="13"/>
  <c r="M51" i="13"/>
  <c r="M32" i="36"/>
  <c r="N30" i="36"/>
  <c r="M27" i="38"/>
  <c r="M51" i="38"/>
  <c r="E51" i="38" s="1"/>
  <c r="N14" i="9" s="1"/>
  <c r="M37" i="36"/>
  <c r="N35" i="36"/>
  <c r="N35" i="35"/>
  <c r="M37" i="35"/>
  <c r="M37" i="39"/>
  <c r="N35" i="39"/>
  <c r="N32" i="35"/>
  <c r="O30" i="35"/>
  <c r="O32" i="38"/>
  <c r="P30" i="38"/>
  <c r="M27" i="36"/>
  <c r="M51" i="36"/>
  <c r="E51" i="36" s="1"/>
  <c r="N13" i="9" s="1"/>
  <c r="O32" i="39"/>
  <c r="P30" i="39"/>
  <c r="M37" i="38"/>
  <c r="N35" i="38"/>
  <c r="R24" i="39"/>
  <c r="Q50" i="39"/>
  <c r="M24" i="38"/>
  <c r="L50" i="38"/>
  <c r="M24" i="36"/>
  <c r="L50" i="36"/>
  <c r="P24" i="35"/>
  <c r="O50" i="35"/>
  <c r="Q6" i="9"/>
  <c r="O32" i="34" l="1"/>
  <c r="P30" i="34"/>
  <c r="P35" i="34"/>
  <c r="O37" i="34"/>
  <c r="O24" i="34"/>
  <c r="N50" i="34"/>
  <c r="O30" i="33"/>
  <c r="N32" i="33"/>
  <c r="S35" i="33"/>
  <c r="R37" i="33"/>
  <c r="P50" i="33"/>
  <c r="Q24" i="33"/>
  <c r="O24" i="32"/>
  <c r="N50" i="32"/>
  <c r="O37" i="32"/>
  <c r="P35" i="32"/>
  <c r="P32" i="32"/>
  <c r="Q30" i="32"/>
  <c r="Q32" i="31"/>
  <c r="R30" i="31"/>
  <c r="N24" i="31"/>
  <c r="M50" i="31"/>
  <c r="P35" i="31"/>
  <c r="O37" i="31"/>
  <c r="P25" i="30"/>
  <c r="O27" i="30"/>
  <c r="O51" i="30"/>
  <c r="Q32" i="30"/>
  <c r="R30" i="30"/>
  <c r="O24" i="30"/>
  <c r="N50" i="30"/>
  <c r="P37" i="30"/>
  <c r="Q35" i="30"/>
  <c r="O25" i="13"/>
  <c r="N27" i="13"/>
  <c r="N51" i="13"/>
  <c r="P35" i="13"/>
  <c r="O37" i="13"/>
  <c r="O41" i="13"/>
  <c r="O47" i="13" s="1"/>
  <c r="Q32" i="13"/>
  <c r="R30" i="13"/>
  <c r="R50" i="13"/>
  <c r="S24" i="13"/>
  <c r="O30" i="36"/>
  <c r="N32" i="36"/>
  <c r="N37" i="38"/>
  <c r="O35" i="38"/>
  <c r="O35" i="36"/>
  <c r="N37" i="36"/>
  <c r="O35" i="35"/>
  <c r="N37" i="35"/>
  <c r="P30" i="35"/>
  <c r="O32" i="35"/>
  <c r="N37" i="39"/>
  <c r="O35" i="39"/>
  <c r="P32" i="39"/>
  <c r="Q30" i="39"/>
  <c r="P32" i="38"/>
  <c r="Q30" i="38"/>
  <c r="R50" i="39"/>
  <c r="S24" i="39"/>
  <c r="N24" i="38"/>
  <c r="M50" i="38"/>
  <c r="M50" i="36"/>
  <c r="N24" i="36"/>
  <c r="Q24" i="35"/>
  <c r="P50" i="35"/>
  <c r="Q35" i="34" l="1"/>
  <c r="P37" i="34"/>
  <c r="O50" i="34"/>
  <c r="P24" i="34"/>
  <c r="Q30" i="34"/>
  <c r="P32" i="34"/>
  <c r="R24" i="33"/>
  <c r="Q50" i="33"/>
  <c r="T35" i="33"/>
  <c r="S37" i="33"/>
  <c r="O32" i="33"/>
  <c r="P30" i="33"/>
  <c r="Q32" i="32"/>
  <c r="R30" i="32"/>
  <c r="Q35" i="32"/>
  <c r="P37" i="32"/>
  <c r="O50" i="32"/>
  <c r="P24" i="32"/>
  <c r="O24" i="31"/>
  <c r="N50" i="31"/>
  <c r="R32" i="31"/>
  <c r="S30" i="31"/>
  <c r="Q35" i="31"/>
  <c r="P37" i="31"/>
  <c r="R35" i="30"/>
  <c r="Q37" i="30"/>
  <c r="P24" i="30"/>
  <c r="O50" i="30"/>
  <c r="R32" i="30"/>
  <c r="S30" i="30"/>
  <c r="Q25" i="30"/>
  <c r="P27" i="30"/>
  <c r="P51" i="30"/>
  <c r="T24" i="13"/>
  <c r="S50" i="13"/>
  <c r="R32" i="13"/>
  <c r="S30" i="13"/>
  <c r="Q35" i="13"/>
  <c r="P37" i="13"/>
  <c r="P41" i="13"/>
  <c r="P47" i="13" s="1"/>
  <c r="O51" i="13"/>
  <c r="O27" i="13"/>
  <c r="P25" i="13"/>
  <c r="O32" i="36"/>
  <c r="P30" i="36"/>
  <c r="P35" i="39"/>
  <c r="O37" i="39"/>
  <c r="Q30" i="35"/>
  <c r="P32" i="35"/>
  <c r="P35" i="35"/>
  <c r="O37" i="35"/>
  <c r="R30" i="39"/>
  <c r="Q32" i="39"/>
  <c r="O37" i="36"/>
  <c r="P35" i="36"/>
  <c r="Q32" i="38"/>
  <c r="R30" i="38"/>
  <c r="P35" i="38"/>
  <c r="O37" i="38"/>
  <c r="S50" i="39"/>
  <c r="T24" i="39"/>
  <c r="O24" i="38"/>
  <c r="N50" i="38"/>
  <c r="O24" i="36"/>
  <c r="N50" i="36"/>
  <c r="R24" i="35"/>
  <c r="Q50" i="35"/>
  <c r="Q24" i="34" l="1"/>
  <c r="P50" i="34"/>
  <c r="Q32" i="34"/>
  <c r="R30" i="34"/>
  <c r="R35" i="34"/>
  <c r="Q37" i="34"/>
  <c r="U35" i="33"/>
  <c r="T37" i="33"/>
  <c r="P32" i="33"/>
  <c r="Q30" i="33"/>
  <c r="S24" i="33"/>
  <c r="R50" i="33"/>
  <c r="R35" i="32"/>
  <c r="Q37" i="32"/>
  <c r="R32" i="32"/>
  <c r="S30" i="32"/>
  <c r="P50" i="32"/>
  <c r="Q24" i="32"/>
  <c r="S32" i="31"/>
  <c r="T30" i="31"/>
  <c r="R35" i="31"/>
  <c r="Q37" i="31"/>
  <c r="O50" i="31"/>
  <c r="P24" i="31"/>
  <c r="R25" i="30"/>
  <c r="Q27" i="30"/>
  <c r="Q51" i="30"/>
  <c r="Q24" i="30"/>
  <c r="P50" i="30"/>
  <c r="S32" i="30"/>
  <c r="T30" i="30"/>
  <c r="S35" i="30"/>
  <c r="R37" i="30"/>
  <c r="P27" i="13"/>
  <c r="Q25" i="13"/>
  <c r="P51" i="13"/>
  <c r="Q41" i="13"/>
  <c r="Q47" i="13" s="1"/>
  <c r="Q37" i="13"/>
  <c r="R35" i="13"/>
  <c r="S32" i="13"/>
  <c r="T30" i="13"/>
  <c r="U24" i="13"/>
  <c r="T50" i="13"/>
  <c r="P32" i="36"/>
  <c r="Q30" i="36"/>
  <c r="Q35" i="36"/>
  <c r="P37" i="36"/>
  <c r="R32" i="39"/>
  <c r="S30" i="39"/>
  <c r="Q35" i="35"/>
  <c r="P37" i="35"/>
  <c r="Q35" i="39"/>
  <c r="P37" i="39"/>
  <c r="Q35" i="38"/>
  <c r="P37" i="38"/>
  <c r="R32" i="38"/>
  <c r="S30" i="38"/>
  <c r="R30" i="35"/>
  <c r="Q32" i="35"/>
  <c r="T50" i="39"/>
  <c r="U24" i="39"/>
  <c r="P24" i="38"/>
  <c r="O50" i="38"/>
  <c r="P24" i="36"/>
  <c r="O50" i="36"/>
  <c r="R50" i="35"/>
  <c r="S24" i="35"/>
  <c r="R32" i="34" l="1"/>
  <c r="S30" i="34"/>
  <c r="S35" i="34"/>
  <c r="R37" i="34"/>
  <c r="Q50" i="34"/>
  <c r="R24" i="34"/>
  <c r="S50" i="33"/>
  <c r="T24" i="33"/>
  <c r="Q32" i="33"/>
  <c r="R30" i="33"/>
  <c r="V35" i="33"/>
  <c r="U37" i="33"/>
  <c r="Q50" i="32"/>
  <c r="R24" i="32"/>
  <c r="S32" i="32"/>
  <c r="T30" i="32"/>
  <c r="S35" i="32"/>
  <c r="R37" i="32"/>
  <c r="S35" i="31"/>
  <c r="R37" i="31"/>
  <c r="U30" i="31"/>
  <c r="T32" i="31"/>
  <c r="P50" i="31"/>
  <c r="Q24" i="31"/>
  <c r="U30" i="30"/>
  <c r="T32" i="30"/>
  <c r="R24" i="30"/>
  <c r="Q50" i="30"/>
  <c r="T35" i="30"/>
  <c r="S37" i="30"/>
  <c r="S25" i="30"/>
  <c r="R27" i="30"/>
  <c r="R51" i="30"/>
  <c r="U50" i="13"/>
  <c r="V24" i="13"/>
  <c r="U30" i="13"/>
  <c r="T32" i="13"/>
  <c r="S35" i="13"/>
  <c r="R37" i="13"/>
  <c r="R41" i="13"/>
  <c r="R47" i="13" s="1"/>
  <c r="R25" i="13"/>
  <c r="Q27" i="13"/>
  <c r="Q51" i="13"/>
  <c r="Q32" i="36"/>
  <c r="R30" i="36"/>
  <c r="R35" i="39"/>
  <c r="Q37" i="39"/>
  <c r="S30" i="35"/>
  <c r="R32" i="35"/>
  <c r="S32" i="38"/>
  <c r="T30" i="38"/>
  <c r="R35" i="38"/>
  <c r="Q37" i="38"/>
  <c r="R35" i="36"/>
  <c r="Q37" i="36"/>
  <c r="Q37" i="35"/>
  <c r="R35" i="35"/>
  <c r="S32" i="39"/>
  <c r="T30" i="39"/>
  <c r="V24" i="39"/>
  <c r="U50" i="39"/>
  <c r="Q24" i="38"/>
  <c r="P50" i="38"/>
  <c r="Q24" i="36"/>
  <c r="P50" i="36"/>
  <c r="S50" i="35"/>
  <c r="T24" i="35"/>
  <c r="R50" i="34" l="1"/>
  <c r="S24" i="34"/>
  <c r="T35" i="34"/>
  <c r="S37" i="34"/>
  <c r="S32" i="34"/>
  <c r="T30" i="34"/>
  <c r="W35" i="33"/>
  <c r="V37" i="33"/>
  <c r="R32" i="33"/>
  <c r="S30" i="33"/>
  <c r="U24" i="33"/>
  <c r="T50" i="33"/>
  <c r="T35" i="32"/>
  <c r="S37" i="32"/>
  <c r="U30" i="32"/>
  <c r="T32" i="32"/>
  <c r="S24" i="32"/>
  <c r="R50" i="32"/>
  <c r="Q50" i="31"/>
  <c r="R24" i="31"/>
  <c r="V30" i="31"/>
  <c r="U32" i="31"/>
  <c r="T35" i="31"/>
  <c r="S37" i="31"/>
  <c r="U35" i="30"/>
  <c r="T37" i="30"/>
  <c r="R50" i="30"/>
  <c r="S24" i="30"/>
  <c r="T25" i="30"/>
  <c r="S51" i="30"/>
  <c r="S27" i="30"/>
  <c r="V30" i="30"/>
  <c r="U32" i="30"/>
  <c r="V30" i="13"/>
  <c r="U32" i="13"/>
  <c r="S25" i="13"/>
  <c r="R27" i="13"/>
  <c r="R51" i="13"/>
  <c r="V50" i="13"/>
  <c r="W24" i="13"/>
  <c r="T35" i="13"/>
  <c r="S37" i="13"/>
  <c r="S41" i="13"/>
  <c r="S47" i="13" s="1"/>
  <c r="R32" i="36"/>
  <c r="S30" i="36"/>
  <c r="S35" i="36"/>
  <c r="R37" i="36"/>
  <c r="T32" i="38"/>
  <c r="U30" i="38"/>
  <c r="S32" i="35"/>
  <c r="T30" i="35"/>
  <c r="U30" i="39"/>
  <c r="T32" i="39"/>
  <c r="S35" i="35"/>
  <c r="R37" i="35"/>
  <c r="S35" i="38"/>
  <c r="R37" i="38"/>
  <c r="S35" i="39"/>
  <c r="R37" i="39"/>
  <c r="V50" i="39"/>
  <c r="W24" i="39"/>
  <c r="R24" i="38"/>
  <c r="Q50" i="38"/>
  <c r="R24" i="36"/>
  <c r="Q50" i="36"/>
  <c r="T50" i="35"/>
  <c r="U24" i="35"/>
  <c r="S50" i="34" l="1"/>
  <c r="T24" i="34"/>
  <c r="U30" i="34"/>
  <c r="T32" i="34"/>
  <c r="U35" i="34"/>
  <c r="T37" i="34"/>
  <c r="S32" i="33"/>
  <c r="T30" i="33"/>
  <c r="U50" i="33"/>
  <c r="V24" i="33"/>
  <c r="W37" i="33"/>
  <c r="X35" i="33"/>
  <c r="V30" i="32"/>
  <c r="U32" i="32"/>
  <c r="T24" i="32"/>
  <c r="S50" i="32"/>
  <c r="U35" i="32"/>
  <c r="T37" i="32"/>
  <c r="U35" i="31"/>
  <c r="T37" i="31"/>
  <c r="W30" i="31"/>
  <c r="V32" i="31"/>
  <c r="R50" i="31"/>
  <c r="S24" i="31"/>
  <c r="V32" i="30"/>
  <c r="W30" i="30"/>
  <c r="T24" i="30"/>
  <c r="S50" i="30"/>
  <c r="U25" i="30"/>
  <c r="T51" i="30"/>
  <c r="T27" i="30"/>
  <c r="V35" i="30"/>
  <c r="U37" i="30"/>
  <c r="T25" i="13"/>
  <c r="S27" i="13"/>
  <c r="S51" i="13"/>
  <c r="U35" i="13"/>
  <c r="T37" i="13"/>
  <c r="T41" i="13"/>
  <c r="T47" i="13" s="1"/>
  <c r="X24" i="13"/>
  <c r="W50" i="13"/>
  <c r="W30" i="13"/>
  <c r="V32" i="13"/>
  <c r="S32" i="36"/>
  <c r="T30" i="36"/>
  <c r="T35" i="39"/>
  <c r="S37" i="39"/>
  <c r="T35" i="38"/>
  <c r="S37" i="38"/>
  <c r="U32" i="39"/>
  <c r="V30" i="39"/>
  <c r="V30" i="38"/>
  <c r="U32" i="38"/>
  <c r="T35" i="35"/>
  <c r="S37" i="35"/>
  <c r="T35" i="36"/>
  <c r="S37" i="36"/>
  <c r="U30" i="35"/>
  <c r="T32" i="35"/>
  <c r="X24" i="39"/>
  <c r="W50" i="39"/>
  <c r="S24" i="38"/>
  <c r="R50" i="38"/>
  <c r="R50" i="36"/>
  <c r="S24" i="36"/>
  <c r="V24" i="35"/>
  <c r="U50" i="35"/>
  <c r="V35" i="34" l="1"/>
  <c r="U37" i="34"/>
  <c r="V30" i="34"/>
  <c r="U32" i="34"/>
  <c r="T50" i="34"/>
  <c r="U24" i="34"/>
  <c r="X37" i="33"/>
  <c r="Y35" i="33"/>
  <c r="V50" i="33"/>
  <c r="W24" i="33"/>
  <c r="U30" i="33"/>
  <c r="T32" i="33"/>
  <c r="V35" i="32"/>
  <c r="U37" i="32"/>
  <c r="U24" i="32"/>
  <c r="T50" i="32"/>
  <c r="W30" i="32"/>
  <c r="V32" i="32"/>
  <c r="S50" i="31"/>
  <c r="T24" i="31"/>
  <c r="X30" i="31"/>
  <c r="W32" i="31"/>
  <c r="V35" i="31"/>
  <c r="U37" i="31"/>
  <c r="W35" i="30"/>
  <c r="V37" i="30"/>
  <c r="T50" i="30"/>
  <c r="U24" i="30"/>
  <c r="U27" i="30"/>
  <c r="U51" i="30"/>
  <c r="V25" i="30"/>
  <c r="W32" i="30"/>
  <c r="X30" i="30"/>
  <c r="W32" i="13"/>
  <c r="X30" i="13"/>
  <c r="V35" i="13"/>
  <c r="U37" i="13"/>
  <c r="U41" i="13"/>
  <c r="U47" i="13" s="1"/>
  <c r="Y24" i="13"/>
  <c r="X50" i="13"/>
  <c r="T51" i="13"/>
  <c r="T27" i="13"/>
  <c r="U25" i="13"/>
  <c r="T32" i="36"/>
  <c r="U30" i="36"/>
  <c r="W30" i="39"/>
  <c r="V32" i="39"/>
  <c r="U32" i="35"/>
  <c r="V30" i="35"/>
  <c r="T37" i="35"/>
  <c r="U35" i="35"/>
  <c r="T37" i="38"/>
  <c r="U35" i="38"/>
  <c r="T37" i="36"/>
  <c r="U35" i="36"/>
  <c r="U35" i="39"/>
  <c r="T37" i="39"/>
  <c r="V32" i="38"/>
  <c r="W30" i="38"/>
  <c r="Y24" i="39"/>
  <c r="X50" i="39"/>
  <c r="S50" i="38"/>
  <c r="T24" i="38"/>
  <c r="S50" i="36"/>
  <c r="T24" i="36"/>
  <c r="V50" i="35"/>
  <c r="W24" i="35"/>
  <c r="V24" i="34" l="1"/>
  <c r="U50" i="34"/>
  <c r="W30" i="34"/>
  <c r="V32" i="34"/>
  <c r="W35" i="34"/>
  <c r="V37" i="34"/>
  <c r="X24" i="33"/>
  <c r="W50" i="33"/>
  <c r="Y37" i="33"/>
  <c r="Z35" i="33"/>
  <c r="U32" i="33"/>
  <c r="V30" i="33"/>
  <c r="X30" i="32"/>
  <c r="W32" i="32"/>
  <c r="U50" i="32"/>
  <c r="V24" i="32"/>
  <c r="W35" i="32"/>
  <c r="V37" i="32"/>
  <c r="Y30" i="31"/>
  <c r="X32" i="31"/>
  <c r="T50" i="31"/>
  <c r="U24" i="31"/>
  <c r="W35" i="31"/>
  <c r="V37" i="31"/>
  <c r="V27" i="30"/>
  <c r="W25" i="30"/>
  <c r="V51" i="30"/>
  <c r="Y30" i="30"/>
  <c r="X32" i="30"/>
  <c r="U50" i="30"/>
  <c r="V24" i="30"/>
  <c r="W37" i="30"/>
  <c r="X35" i="30"/>
  <c r="W35" i="13"/>
  <c r="V37" i="13"/>
  <c r="V41" i="13"/>
  <c r="V47" i="13" s="1"/>
  <c r="U51" i="13"/>
  <c r="U27" i="13"/>
  <c r="V25" i="13"/>
  <c r="X32" i="13"/>
  <c r="Y30" i="13"/>
  <c r="Z24" i="13"/>
  <c r="Y50" i="13"/>
  <c r="U32" i="36"/>
  <c r="V30" i="36"/>
  <c r="W32" i="39"/>
  <c r="X30" i="39"/>
  <c r="U37" i="38"/>
  <c r="V35" i="38"/>
  <c r="X30" i="38"/>
  <c r="W32" i="38"/>
  <c r="U37" i="35"/>
  <c r="V35" i="35"/>
  <c r="W30" i="35"/>
  <c r="V32" i="35"/>
  <c r="U37" i="39"/>
  <c r="V35" i="39"/>
  <c r="U37" i="36"/>
  <c r="V35" i="36"/>
  <c r="Z24" i="39"/>
  <c r="Y50" i="39"/>
  <c r="T50" i="38"/>
  <c r="U24" i="38"/>
  <c r="T50" i="36"/>
  <c r="U24" i="36"/>
  <c r="X24" i="35"/>
  <c r="W50" i="35"/>
  <c r="W37" i="34" l="1"/>
  <c r="X35" i="34"/>
  <c r="X30" i="34"/>
  <c r="W32" i="34"/>
  <c r="V50" i="34"/>
  <c r="W24" i="34"/>
  <c r="Z37" i="33"/>
  <c r="AA35" i="33"/>
  <c r="W30" i="33"/>
  <c r="V32" i="33"/>
  <c r="X50" i="33"/>
  <c r="Y24" i="33"/>
  <c r="W37" i="32"/>
  <c r="X35" i="32"/>
  <c r="V50" i="32"/>
  <c r="W24" i="32"/>
  <c r="Y30" i="32"/>
  <c r="X32" i="32"/>
  <c r="U50" i="31"/>
  <c r="V24" i="31"/>
  <c r="W37" i="31"/>
  <c r="X35" i="31"/>
  <c r="Z30" i="31"/>
  <c r="Y32" i="31"/>
  <c r="X37" i="30"/>
  <c r="Y35" i="30"/>
  <c r="Z30" i="30"/>
  <c r="Y32" i="30"/>
  <c r="W27" i="30"/>
  <c r="X25" i="30"/>
  <c r="W51" i="30"/>
  <c r="V50" i="30"/>
  <c r="W24" i="30"/>
  <c r="V27" i="13"/>
  <c r="W25" i="13"/>
  <c r="V51" i="13"/>
  <c r="Z30" i="13"/>
  <c r="Y32" i="13"/>
  <c r="AA24" i="13"/>
  <c r="Z50" i="13"/>
  <c r="W37" i="13"/>
  <c r="W41" i="13"/>
  <c r="W47" i="13" s="1"/>
  <c r="X35" i="13"/>
  <c r="V32" i="36"/>
  <c r="W30" i="36"/>
  <c r="V37" i="36"/>
  <c r="W35" i="36"/>
  <c r="Y30" i="38"/>
  <c r="X32" i="38"/>
  <c r="V37" i="38"/>
  <c r="W35" i="38"/>
  <c r="V37" i="39"/>
  <c r="W35" i="39"/>
  <c r="W32" i="35"/>
  <c r="X30" i="35"/>
  <c r="X32" i="39"/>
  <c r="Y30" i="39"/>
  <c r="V37" i="35"/>
  <c r="W35" i="35"/>
  <c r="AA24" i="39"/>
  <c r="Z50" i="39"/>
  <c r="V24" i="38"/>
  <c r="U50" i="38"/>
  <c r="U50" i="36"/>
  <c r="V24" i="36"/>
  <c r="Y24" i="35"/>
  <c r="X50" i="35"/>
  <c r="X24" i="34" l="1"/>
  <c r="W50" i="34"/>
  <c r="Y30" i="34"/>
  <c r="X32" i="34"/>
  <c r="X37" i="34"/>
  <c r="Y35" i="34"/>
  <c r="X30" i="33"/>
  <c r="W32" i="33"/>
  <c r="AA37" i="33"/>
  <c r="AB35" i="33"/>
  <c r="Z24" i="33"/>
  <c r="Y50" i="33"/>
  <c r="Z30" i="32"/>
  <c r="Y32" i="32"/>
  <c r="X24" i="32"/>
  <c r="W50" i="32"/>
  <c r="X37" i="32"/>
  <c r="Y35" i="32"/>
  <c r="X37" i="31"/>
  <c r="Y35" i="31"/>
  <c r="W24" i="31"/>
  <c r="V50" i="31"/>
  <c r="AA30" i="31"/>
  <c r="Z32" i="31"/>
  <c r="X24" i="30"/>
  <c r="W50" i="30"/>
  <c r="AA30" i="30"/>
  <c r="Z32" i="30"/>
  <c r="X27" i="30"/>
  <c r="X51" i="30"/>
  <c r="Y25" i="30"/>
  <c r="Y37" i="30"/>
  <c r="Z35" i="30"/>
  <c r="X37" i="13"/>
  <c r="Y35" i="13"/>
  <c r="X41" i="13"/>
  <c r="X47" i="13" s="1"/>
  <c r="AB24" i="13"/>
  <c r="AA50" i="13"/>
  <c r="AA30" i="13"/>
  <c r="Z32" i="13"/>
  <c r="W27" i="13"/>
  <c r="X25" i="13"/>
  <c r="W51" i="13"/>
  <c r="X30" i="36"/>
  <c r="W32" i="36"/>
  <c r="Y32" i="39"/>
  <c r="Z30" i="39"/>
  <c r="Y32" i="38"/>
  <c r="Z30" i="38"/>
  <c r="W37" i="35"/>
  <c r="X35" i="35"/>
  <c r="X35" i="39"/>
  <c r="W37" i="39"/>
  <c r="W37" i="36"/>
  <c r="X35" i="36"/>
  <c r="W37" i="38"/>
  <c r="X35" i="38"/>
  <c r="X32" i="35"/>
  <c r="Y30" i="35"/>
  <c r="AB24" i="39"/>
  <c r="AA50" i="39"/>
  <c r="V50" i="38"/>
  <c r="W24" i="38"/>
  <c r="V50" i="36"/>
  <c r="W24" i="36"/>
  <c r="Y50" i="35"/>
  <c r="Z24" i="35"/>
  <c r="Y37" i="34" l="1"/>
  <c r="Z35" i="34"/>
  <c r="Z30" i="34"/>
  <c r="Y32" i="34"/>
  <c r="Y24" i="34"/>
  <c r="X50" i="34"/>
  <c r="AB37" i="33"/>
  <c r="AC35" i="33"/>
  <c r="AA24" i="33"/>
  <c r="Z50" i="33"/>
  <c r="Y30" i="33"/>
  <c r="X32" i="33"/>
  <c r="Y37" i="32"/>
  <c r="Z35" i="32"/>
  <c r="Y24" i="32"/>
  <c r="X50" i="32"/>
  <c r="AA30" i="32"/>
  <c r="Z32" i="32"/>
  <c r="X24" i="31"/>
  <c r="W50" i="31"/>
  <c r="Y37" i="31"/>
  <c r="Z35" i="31"/>
  <c r="AB30" i="31"/>
  <c r="AA32" i="31"/>
  <c r="Y27" i="30"/>
  <c r="Y51" i="30"/>
  <c r="Z25" i="30"/>
  <c r="Z37" i="30"/>
  <c r="AA35" i="30"/>
  <c r="AB30" i="30"/>
  <c r="AA32" i="30"/>
  <c r="Y24" i="30"/>
  <c r="X50" i="30"/>
  <c r="Y37" i="13"/>
  <c r="Z35" i="13"/>
  <c r="Y41" i="13"/>
  <c r="Y47" i="13" s="1"/>
  <c r="X27" i="13"/>
  <c r="X51" i="13"/>
  <c r="Y25" i="13"/>
  <c r="AB30" i="13"/>
  <c r="AA32" i="13"/>
  <c r="AC24" i="13"/>
  <c r="AB50" i="13"/>
  <c r="Y30" i="36"/>
  <c r="X32" i="36"/>
  <c r="X37" i="35"/>
  <c r="Y35" i="35"/>
  <c r="AA30" i="38"/>
  <c r="Z32" i="38"/>
  <c r="X37" i="39"/>
  <c r="Y35" i="39"/>
  <c r="X37" i="38"/>
  <c r="Y35" i="38"/>
  <c r="Y35" i="36"/>
  <c r="X37" i="36"/>
  <c r="Y32" i="35"/>
  <c r="Z30" i="35"/>
  <c r="AA30" i="39"/>
  <c r="Z32" i="39"/>
  <c r="AC24" i="39"/>
  <c r="AB50" i="39"/>
  <c r="X24" i="38"/>
  <c r="W50" i="38"/>
  <c r="X24" i="36"/>
  <c r="W50" i="36"/>
  <c r="AA24" i="35"/>
  <c r="Z50" i="35"/>
  <c r="Z24" i="34" l="1"/>
  <c r="Y50" i="34"/>
  <c r="AA30" i="34"/>
  <c r="Z32" i="34"/>
  <c r="Z37" i="34"/>
  <c r="AA35" i="34"/>
  <c r="Z30" i="33"/>
  <c r="Y32" i="33"/>
  <c r="AB24" i="33"/>
  <c r="AA50" i="33"/>
  <c r="AC37" i="33"/>
  <c r="AD35" i="33"/>
  <c r="AB30" i="32"/>
  <c r="AA32" i="32"/>
  <c r="Z37" i="32"/>
  <c r="AA35" i="32"/>
  <c r="Z24" i="32"/>
  <c r="Y50" i="32"/>
  <c r="Z37" i="31"/>
  <c r="AA35" i="31"/>
  <c r="AC30" i="31"/>
  <c r="AB32" i="31"/>
  <c r="Y24" i="31"/>
  <c r="X50" i="31"/>
  <c r="Z24" i="30"/>
  <c r="Y50" i="30"/>
  <c r="AC30" i="30"/>
  <c r="AB32" i="30"/>
  <c r="AA37" i="30"/>
  <c r="AB35" i="30"/>
  <c r="AA25" i="30"/>
  <c r="Z27" i="30"/>
  <c r="Z51" i="30"/>
  <c r="AD24" i="13"/>
  <c r="AC50" i="13"/>
  <c r="AB32" i="13"/>
  <c r="AC30" i="13"/>
  <c r="Z37" i="13"/>
  <c r="Z41" i="13"/>
  <c r="Z47" i="13" s="1"/>
  <c r="AA35" i="13"/>
  <c r="Y51" i="13"/>
  <c r="Z25" i="13"/>
  <c r="Y27" i="13"/>
  <c r="Z30" i="36"/>
  <c r="Y32" i="36"/>
  <c r="AA32" i="39"/>
  <c r="AB30" i="39"/>
  <c r="Y37" i="39"/>
  <c r="Z35" i="39"/>
  <c r="AB30" i="38"/>
  <c r="AA32" i="38"/>
  <c r="Z32" i="35"/>
  <c r="AA30" i="35"/>
  <c r="Y37" i="38"/>
  <c r="Z35" i="38"/>
  <c r="Y37" i="35"/>
  <c r="Z35" i="35"/>
  <c r="Y37" i="36"/>
  <c r="Z35" i="36"/>
  <c r="AD24" i="39"/>
  <c r="AC50" i="39"/>
  <c r="Y24" i="38"/>
  <c r="X50" i="38"/>
  <c r="Y24" i="36"/>
  <c r="X50" i="36"/>
  <c r="AB24" i="35"/>
  <c r="AA50" i="35"/>
  <c r="AB30" i="34" l="1"/>
  <c r="AA32" i="34"/>
  <c r="AA37" i="34"/>
  <c r="AB35" i="34"/>
  <c r="AA24" i="34"/>
  <c r="Z50" i="34"/>
  <c r="AD37" i="33"/>
  <c r="AE35" i="33"/>
  <c r="AC24" i="33"/>
  <c r="AB50" i="33"/>
  <c r="Z32" i="33"/>
  <c r="AA30" i="33"/>
  <c r="AA24" i="32"/>
  <c r="Z50" i="32"/>
  <c r="AA37" i="32"/>
  <c r="AB35" i="32"/>
  <c r="AC30" i="32"/>
  <c r="AB32" i="32"/>
  <c r="AC32" i="31"/>
  <c r="AD30" i="31"/>
  <c r="AA37" i="31"/>
  <c r="AB35" i="31"/>
  <c r="Z24" i="31"/>
  <c r="Y50" i="31"/>
  <c r="AC32" i="30"/>
  <c r="AD30" i="30"/>
  <c r="AB25" i="30"/>
  <c r="AA27" i="30"/>
  <c r="AA51" i="30"/>
  <c r="AC35" i="30"/>
  <c r="AB37" i="30"/>
  <c r="AA24" i="30"/>
  <c r="Z50" i="30"/>
  <c r="AA25" i="13"/>
  <c r="Z27" i="13"/>
  <c r="Z51" i="13"/>
  <c r="AA41" i="13"/>
  <c r="AA47" i="13" s="1"/>
  <c r="AB35" i="13"/>
  <c r="AA37" i="13"/>
  <c r="AD30" i="13"/>
  <c r="AC32" i="13"/>
  <c r="AD50" i="13"/>
  <c r="AE24" i="13"/>
  <c r="AA30" i="36"/>
  <c r="Z32" i="36"/>
  <c r="AB32" i="38"/>
  <c r="AC30" i="38"/>
  <c r="Z37" i="36"/>
  <c r="AA35" i="36"/>
  <c r="AA35" i="35"/>
  <c r="Z37" i="35"/>
  <c r="AA35" i="38"/>
  <c r="Z37" i="38"/>
  <c r="Z37" i="39"/>
  <c r="AA35" i="39"/>
  <c r="AA32" i="35"/>
  <c r="AB30" i="35"/>
  <c r="AB32" i="39"/>
  <c r="AC30" i="39"/>
  <c r="AE24" i="39"/>
  <c r="AD50" i="39"/>
  <c r="Z24" i="38"/>
  <c r="Y50" i="38"/>
  <c r="Z24" i="36"/>
  <c r="Y50" i="36"/>
  <c r="AC24" i="35"/>
  <c r="AB50" i="35"/>
  <c r="AB24" i="34" l="1"/>
  <c r="AA50" i="34"/>
  <c r="AC35" i="34"/>
  <c r="AB37" i="34"/>
  <c r="AC30" i="34"/>
  <c r="AB32" i="34"/>
  <c r="AB30" i="33"/>
  <c r="AA32" i="33"/>
  <c r="AD24" i="33"/>
  <c r="AC50" i="33"/>
  <c r="AE37" i="33"/>
  <c r="AF35" i="33"/>
  <c r="AC32" i="32"/>
  <c r="AD30" i="32"/>
  <c r="AC35" i="32"/>
  <c r="AB37" i="32"/>
  <c r="AB24" i="32"/>
  <c r="AA50" i="32"/>
  <c r="AC35" i="31"/>
  <c r="AB37" i="31"/>
  <c r="AA24" i="31"/>
  <c r="Z50" i="31"/>
  <c r="AD32" i="31"/>
  <c r="AE30" i="31"/>
  <c r="AD35" i="30"/>
  <c r="AC37" i="30"/>
  <c r="AB27" i="30"/>
  <c r="AC25" i="30"/>
  <c r="AB51" i="30"/>
  <c r="AB24" i="30"/>
  <c r="AA50" i="30"/>
  <c r="AD32" i="30"/>
  <c r="AE30" i="30"/>
  <c r="AD32" i="13"/>
  <c r="AE30" i="13"/>
  <c r="AE50" i="13"/>
  <c r="AF24" i="13"/>
  <c r="AC35" i="13"/>
  <c r="AB37" i="13"/>
  <c r="AB41" i="13"/>
  <c r="AB47" i="13" s="1"/>
  <c r="AB25" i="13"/>
  <c r="AA27" i="13"/>
  <c r="AA51" i="13"/>
  <c r="AB30" i="36"/>
  <c r="AA32" i="36"/>
  <c r="AA37" i="36"/>
  <c r="AB35" i="36"/>
  <c r="AD30" i="38"/>
  <c r="AC32" i="38"/>
  <c r="AB35" i="39"/>
  <c r="AA37" i="39"/>
  <c r="AA37" i="38"/>
  <c r="AB35" i="38"/>
  <c r="AC32" i="39"/>
  <c r="AD30" i="39"/>
  <c r="AA37" i="35"/>
  <c r="AB35" i="35"/>
  <c r="AB32" i="35"/>
  <c r="AC30" i="35"/>
  <c r="AF24" i="39"/>
  <c r="AE50" i="39"/>
  <c r="AA24" i="38"/>
  <c r="Z50" i="38"/>
  <c r="AA24" i="36"/>
  <c r="Z50" i="36"/>
  <c r="AD24" i="35"/>
  <c r="AC50" i="35"/>
  <c r="AC32" i="34" l="1"/>
  <c r="AD30" i="34"/>
  <c r="AD35" i="34"/>
  <c r="AC37" i="34"/>
  <c r="AC24" i="34"/>
  <c r="AB50" i="34"/>
  <c r="AG35" i="33"/>
  <c r="AF37" i="33"/>
  <c r="AD50" i="33"/>
  <c r="AE24" i="33"/>
  <c r="AC30" i="33"/>
  <c r="AB32" i="33"/>
  <c r="AD32" i="32"/>
  <c r="AE30" i="32"/>
  <c r="AC24" i="32"/>
  <c r="AB50" i="32"/>
  <c r="AD35" i="32"/>
  <c r="AC37" i="32"/>
  <c r="AE32" i="31"/>
  <c r="AF30" i="31"/>
  <c r="AB24" i="31"/>
  <c r="AA50" i="31"/>
  <c r="AD35" i="31"/>
  <c r="AC37" i="31"/>
  <c r="AC24" i="30"/>
  <c r="AB50" i="30"/>
  <c r="AC27" i="30"/>
  <c r="AD25" i="30"/>
  <c r="AC51" i="30"/>
  <c r="AE32" i="30"/>
  <c r="AF30" i="30"/>
  <c r="AE35" i="30"/>
  <c r="AD37" i="30"/>
  <c r="AC25" i="13"/>
  <c r="AB27" i="13"/>
  <c r="AB51" i="13"/>
  <c r="AD35" i="13"/>
  <c r="AC37" i="13"/>
  <c r="AC41" i="13"/>
  <c r="AC47" i="13" s="1"/>
  <c r="AF50" i="13"/>
  <c r="AG24" i="13"/>
  <c r="AE32" i="13"/>
  <c r="AF30" i="13"/>
  <c r="AC30" i="36"/>
  <c r="AB32" i="36"/>
  <c r="AB37" i="38"/>
  <c r="AC35" i="38"/>
  <c r="AC32" i="35"/>
  <c r="AD30" i="35"/>
  <c r="AB37" i="36"/>
  <c r="AC35" i="36"/>
  <c r="AC35" i="39"/>
  <c r="AB37" i="39"/>
  <c r="AB37" i="35"/>
  <c r="AC35" i="35"/>
  <c r="AD32" i="39"/>
  <c r="AE30" i="39"/>
  <c r="AE30" i="38"/>
  <c r="AD32" i="38"/>
  <c r="M5" i="9"/>
  <c r="AG24" i="39"/>
  <c r="AF50" i="39"/>
  <c r="AB24" i="38"/>
  <c r="AA50" i="38"/>
  <c r="AB24" i="36"/>
  <c r="AA50" i="36"/>
  <c r="AE24" i="35"/>
  <c r="AD50" i="35"/>
  <c r="AC50" i="34" l="1"/>
  <c r="AD24" i="34"/>
  <c r="AE35" i="34"/>
  <c r="AD37" i="34"/>
  <c r="AD32" i="34"/>
  <c r="AE30" i="34"/>
  <c r="AF24" i="33"/>
  <c r="AE50" i="33"/>
  <c r="AC32" i="33"/>
  <c r="AD30" i="33"/>
  <c r="AH35" i="33"/>
  <c r="AG37" i="33"/>
  <c r="AD37" i="32"/>
  <c r="AE35" i="32"/>
  <c r="AE32" i="32"/>
  <c r="AF30" i="32"/>
  <c r="AD24" i="32"/>
  <c r="AC50" i="32"/>
  <c r="AC24" i="31"/>
  <c r="AB50" i="31"/>
  <c r="AE35" i="31"/>
  <c r="AD37" i="31"/>
  <c r="AF32" i="31"/>
  <c r="AG30" i="31"/>
  <c r="AF32" i="30"/>
  <c r="AG30" i="30"/>
  <c r="AE37" i="30"/>
  <c r="AF35" i="30"/>
  <c r="AE25" i="30"/>
  <c r="AD51" i="30"/>
  <c r="AD27" i="30"/>
  <c r="AD24" i="30"/>
  <c r="AC50" i="30"/>
  <c r="AH24" i="13"/>
  <c r="AG50" i="13"/>
  <c r="AF32" i="13"/>
  <c r="AG30" i="13"/>
  <c r="AE35" i="13"/>
  <c r="AD37" i="13"/>
  <c r="AD41" i="13"/>
  <c r="AD47" i="13" s="1"/>
  <c r="AC27" i="13"/>
  <c r="AD25" i="13"/>
  <c r="AC51" i="13"/>
  <c r="AC32" i="36"/>
  <c r="AD30" i="36"/>
  <c r="AC37" i="39"/>
  <c r="AD35" i="39"/>
  <c r="AE32" i="38"/>
  <c r="AF30" i="38"/>
  <c r="AE32" i="39"/>
  <c r="AF30" i="39"/>
  <c r="AC37" i="36"/>
  <c r="AD35" i="36"/>
  <c r="AE30" i="35"/>
  <c r="AD32" i="35"/>
  <c r="AD35" i="35"/>
  <c r="AC37" i="35"/>
  <c r="AC37" i="38"/>
  <c r="AD35" i="38"/>
  <c r="AG50" i="39"/>
  <c r="AH24" i="39"/>
  <c r="AC24" i="38"/>
  <c r="AB50" i="38"/>
  <c r="AC24" i="36"/>
  <c r="AB50" i="36"/>
  <c r="AF24" i="35"/>
  <c r="AE50" i="35"/>
  <c r="AF35" i="34" l="1"/>
  <c r="AE37" i="34"/>
  <c r="AD50" i="34"/>
  <c r="AE24" i="34"/>
  <c r="AE32" i="34"/>
  <c r="AF30" i="34"/>
  <c r="AD32" i="33"/>
  <c r="AE30" i="33"/>
  <c r="AI35" i="33"/>
  <c r="AH37" i="33"/>
  <c r="AG24" i="33"/>
  <c r="AF50" i="33"/>
  <c r="AF32" i="32"/>
  <c r="AG30" i="32"/>
  <c r="AF35" i="32"/>
  <c r="AE37" i="32"/>
  <c r="AD50" i="32"/>
  <c r="AE24" i="32"/>
  <c r="AG32" i="31"/>
  <c r="AH30" i="31"/>
  <c r="AF35" i="31"/>
  <c r="AE37" i="31"/>
  <c r="AC50" i="31"/>
  <c r="AD24" i="31"/>
  <c r="AE24" i="30"/>
  <c r="AD50" i="30"/>
  <c r="AG35" i="30"/>
  <c r="AF37" i="30"/>
  <c r="AF25" i="30"/>
  <c r="AE27" i="30"/>
  <c r="AE51" i="30"/>
  <c r="AG32" i="30"/>
  <c r="AH30" i="30"/>
  <c r="AD27" i="13"/>
  <c r="AE25" i="13"/>
  <c r="AD51" i="13"/>
  <c r="AF35" i="13"/>
  <c r="AE41" i="13"/>
  <c r="AE47" i="13" s="1"/>
  <c r="AE37" i="13"/>
  <c r="AG32" i="13"/>
  <c r="AH30" i="13"/>
  <c r="AI24" i="13"/>
  <c r="AH50" i="13"/>
  <c r="AD32" i="36"/>
  <c r="AE30" i="36"/>
  <c r="AD37" i="36"/>
  <c r="AE35" i="36"/>
  <c r="AF32" i="38"/>
  <c r="AG30" i="38"/>
  <c r="AD37" i="38"/>
  <c r="AE35" i="38"/>
  <c r="AD37" i="39"/>
  <c r="AE35" i="39"/>
  <c r="AE35" i="35"/>
  <c r="AD37" i="35"/>
  <c r="AF32" i="39"/>
  <c r="AG30" i="39"/>
  <c r="AE32" i="35"/>
  <c r="AF30" i="35"/>
  <c r="AH50" i="39"/>
  <c r="AI24" i="39"/>
  <c r="AD24" i="38"/>
  <c r="AC50" i="38"/>
  <c r="AD24" i="36"/>
  <c r="AC50" i="36"/>
  <c r="AF50" i="35"/>
  <c r="AG24" i="35"/>
  <c r="AE50" i="34" l="1"/>
  <c r="AF24" i="34"/>
  <c r="AF32" i="34"/>
  <c r="AG30" i="34"/>
  <c r="AG35" i="34"/>
  <c r="AF37" i="34"/>
  <c r="AG50" i="33"/>
  <c r="AH24" i="33"/>
  <c r="AJ35" i="33"/>
  <c r="AI37" i="33"/>
  <c r="AE32" i="33"/>
  <c r="AF30" i="33"/>
  <c r="AG35" i="32"/>
  <c r="AF37" i="32"/>
  <c r="AG32" i="32"/>
  <c r="AH30" i="32"/>
  <c r="AE50" i="32"/>
  <c r="AF24" i="32"/>
  <c r="AD50" i="31"/>
  <c r="AE24" i="31"/>
  <c r="AG35" i="31"/>
  <c r="AF37" i="31"/>
  <c r="AI30" i="31"/>
  <c r="AH32" i="31"/>
  <c r="AH35" i="30"/>
  <c r="AG37" i="30"/>
  <c r="AI30" i="30"/>
  <c r="AH32" i="30"/>
  <c r="AG25" i="30"/>
  <c r="AF27" i="30"/>
  <c r="AF51" i="30"/>
  <c r="AE50" i="30"/>
  <c r="AF24" i="30"/>
  <c r="AI50" i="13"/>
  <c r="AJ24" i="13"/>
  <c r="AF25" i="13"/>
  <c r="AE27" i="13"/>
  <c r="AE51" i="13"/>
  <c r="AI30" i="13"/>
  <c r="AH32" i="13"/>
  <c r="AG35" i="13"/>
  <c r="AF37" i="13"/>
  <c r="AF41" i="13"/>
  <c r="AF47" i="13" s="1"/>
  <c r="AE32" i="36"/>
  <c r="AF30" i="36"/>
  <c r="AG32" i="38"/>
  <c r="AH30" i="38"/>
  <c r="AG30" i="35"/>
  <c r="AF32" i="35"/>
  <c r="AE37" i="36"/>
  <c r="AF35" i="36"/>
  <c r="AF35" i="35"/>
  <c r="AE37" i="35"/>
  <c r="AF35" i="39"/>
  <c r="AE37" i="39"/>
  <c r="AF35" i="38"/>
  <c r="AE37" i="38"/>
  <c r="AH30" i="39"/>
  <c r="AG32" i="39"/>
  <c r="AJ24" i="39"/>
  <c r="AI50" i="39"/>
  <c r="AE24" i="38"/>
  <c r="AD50" i="38"/>
  <c r="AE24" i="36"/>
  <c r="AD50" i="36"/>
  <c r="AG50" i="35"/>
  <c r="AH24" i="35"/>
  <c r="AH35" i="34" l="1"/>
  <c r="AG37" i="34"/>
  <c r="AG32" i="34"/>
  <c r="AH30" i="34"/>
  <c r="AF50" i="34"/>
  <c r="AG24" i="34"/>
  <c r="AF32" i="33"/>
  <c r="AG30" i="33"/>
  <c r="AK35" i="33"/>
  <c r="AJ37" i="33"/>
  <c r="AH50" i="33"/>
  <c r="AI24" i="33"/>
  <c r="AG24" i="32"/>
  <c r="AF50" i="32"/>
  <c r="AI30" i="32"/>
  <c r="AH32" i="32"/>
  <c r="AH35" i="32"/>
  <c r="AG37" i="32"/>
  <c r="AH35" i="31"/>
  <c r="AG37" i="31"/>
  <c r="AJ30" i="31"/>
  <c r="AI32" i="31"/>
  <c r="AE50" i="31"/>
  <c r="AF24" i="31"/>
  <c r="AF50" i="30"/>
  <c r="AG24" i="30"/>
  <c r="AH25" i="30"/>
  <c r="AG27" i="30"/>
  <c r="AG51" i="30"/>
  <c r="AJ30" i="30"/>
  <c r="AI32" i="30"/>
  <c r="AI35" i="30"/>
  <c r="AH37" i="30"/>
  <c r="AG25" i="13"/>
  <c r="AF27" i="13"/>
  <c r="AF51" i="13"/>
  <c r="AJ30" i="13"/>
  <c r="AI32" i="13"/>
  <c r="AJ50" i="13"/>
  <c r="AK24" i="13"/>
  <c r="AH35" i="13"/>
  <c r="AG37" i="13"/>
  <c r="AG41" i="13"/>
  <c r="AG47" i="13" s="1"/>
  <c r="AG30" i="36"/>
  <c r="AF32" i="36"/>
  <c r="AG35" i="36"/>
  <c r="AF37" i="36"/>
  <c r="AI30" i="39"/>
  <c r="AH32" i="39"/>
  <c r="AH30" i="35"/>
  <c r="AG32" i="35"/>
  <c r="AG35" i="35"/>
  <c r="AF37" i="35"/>
  <c r="AG35" i="38"/>
  <c r="AF37" i="38"/>
  <c r="AH32" i="38"/>
  <c r="AI30" i="38"/>
  <c r="AF37" i="39"/>
  <c r="AG35" i="39"/>
  <c r="AJ50" i="39"/>
  <c r="AK24" i="39"/>
  <c r="AF24" i="38"/>
  <c r="AE50" i="38"/>
  <c r="AF24" i="36"/>
  <c r="AE50" i="36"/>
  <c r="AH50" i="35"/>
  <c r="AI24" i="35"/>
  <c r="AH24" i="34" l="1"/>
  <c r="AG50" i="34"/>
  <c r="AI30" i="34"/>
  <c r="AH32" i="34"/>
  <c r="AI35" i="34"/>
  <c r="AH37" i="34"/>
  <c r="AJ24" i="33"/>
  <c r="AI50" i="33"/>
  <c r="AK37" i="33"/>
  <c r="AL35" i="33"/>
  <c r="AG32" i="33"/>
  <c r="AH30" i="33"/>
  <c r="AI35" i="32"/>
  <c r="AH37" i="32"/>
  <c r="AI32" i="32"/>
  <c r="AJ30" i="32"/>
  <c r="AH24" i="32"/>
  <c r="AG50" i="32"/>
  <c r="AF50" i="31"/>
  <c r="AG24" i="31"/>
  <c r="AK30" i="31"/>
  <c r="AJ32" i="31"/>
  <c r="AI35" i="31"/>
  <c r="AH37" i="31"/>
  <c r="AJ35" i="30"/>
  <c r="AI37" i="30"/>
  <c r="AJ32" i="30"/>
  <c r="AK30" i="30"/>
  <c r="AH24" i="30"/>
  <c r="AG50" i="30"/>
  <c r="AI25" i="30"/>
  <c r="AH27" i="30"/>
  <c r="AH51" i="30"/>
  <c r="AI35" i="13"/>
  <c r="AH37" i="13"/>
  <c r="AH41" i="13"/>
  <c r="AH47" i="13" s="1"/>
  <c r="AL24" i="13"/>
  <c r="AK50" i="13"/>
  <c r="AK30" i="13"/>
  <c r="AJ32" i="13"/>
  <c r="AH25" i="13"/>
  <c r="AG27" i="13"/>
  <c r="AG51" i="13"/>
  <c r="AG32" i="36"/>
  <c r="AH30" i="36"/>
  <c r="AG37" i="39"/>
  <c r="AH35" i="39"/>
  <c r="AH35" i="38"/>
  <c r="AG37" i="38"/>
  <c r="AI32" i="38"/>
  <c r="AJ30" i="38"/>
  <c r="AI30" i="35"/>
  <c r="AH32" i="35"/>
  <c r="AJ30" i="39"/>
  <c r="AI32" i="39"/>
  <c r="AH35" i="36"/>
  <c r="AG37" i="36"/>
  <c r="AG37" i="35"/>
  <c r="AH35" i="35"/>
  <c r="AL24" i="39"/>
  <c r="AK50" i="39"/>
  <c r="AG24" i="38"/>
  <c r="AF50" i="38"/>
  <c r="AF50" i="36"/>
  <c r="AG24" i="36"/>
  <c r="AI50" i="35"/>
  <c r="AJ24" i="35"/>
  <c r="AJ35" i="34" l="1"/>
  <c r="AI37" i="34"/>
  <c r="AJ30" i="34"/>
  <c r="AI32" i="34"/>
  <c r="AH50" i="34"/>
  <c r="AI24" i="34"/>
  <c r="AH32" i="33"/>
  <c r="AI30" i="33"/>
  <c r="AL37" i="33"/>
  <c r="AM35" i="33"/>
  <c r="AJ50" i="33"/>
  <c r="AK24" i="33"/>
  <c r="AJ32" i="32"/>
  <c r="AK30" i="32"/>
  <c r="AI24" i="32"/>
  <c r="AH50" i="32"/>
  <c r="AJ35" i="32"/>
  <c r="AI37" i="32"/>
  <c r="AJ35" i="31"/>
  <c r="AI37" i="31"/>
  <c r="AL30" i="31"/>
  <c r="AK32" i="31"/>
  <c r="AG50" i="31"/>
  <c r="AH24" i="31"/>
  <c r="AI27" i="30"/>
  <c r="AI51" i="30"/>
  <c r="AJ25" i="30"/>
  <c r="AL30" i="30"/>
  <c r="AK32" i="30"/>
  <c r="AI24" i="30"/>
  <c r="AH50" i="30"/>
  <c r="AK35" i="30"/>
  <c r="AJ37" i="30"/>
  <c r="AH27" i="13"/>
  <c r="AH51" i="13"/>
  <c r="AI25" i="13"/>
  <c r="AM24" i="13"/>
  <c r="AL50" i="13"/>
  <c r="AK32" i="13"/>
  <c r="AL30" i="13"/>
  <c r="AJ35" i="13"/>
  <c r="AI37" i="13"/>
  <c r="AI41" i="13"/>
  <c r="AI47" i="13" s="1"/>
  <c r="AH32" i="36"/>
  <c r="AI30" i="36"/>
  <c r="AH37" i="35"/>
  <c r="AI35" i="35"/>
  <c r="AJ32" i="38"/>
  <c r="AK30" i="38"/>
  <c r="AK30" i="39"/>
  <c r="AJ32" i="39"/>
  <c r="AI35" i="36"/>
  <c r="AH37" i="36"/>
  <c r="AI32" i="35"/>
  <c r="AJ30" i="35"/>
  <c r="AH37" i="38"/>
  <c r="AI35" i="38"/>
  <c r="AH37" i="39"/>
  <c r="AI35" i="39"/>
  <c r="AM24" i="39"/>
  <c r="AL50" i="39"/>
  <c r="AH24" i="38"/>
  <c r="AG50" i="38"/>
  <c r="AG50" i="36"/>
  <c r="AH24" i="36"/>
  <c r="AJ50" i="35"/>
  <c r="AK24" i="35"/>
  <c r="AK30" i="34" l="1"/>
  <c r="AJ32" i="34"/>
  <c r="AJ24" i="34"/>
  <c r="AI50" i="34"/>
  <c r="AK35" i="34"/>
  <c r="AJ37" i="34"/>
  <c r="AL24" i="33"/>
  <c r="AK50" i="33"/>
  <c r="AM37" i="33"/>
  <c r="AN35" i="33"/>
  <c r="AI32" i="33"/>
  <c r="AJ30" i="33"/>
  <c r="AI50" i="32"/>
  <c r="AJ24" i="32"/>
  <c r="AK35" i="32"/>
  <c r="AJ37" i="32"/>
  <c r="AL30" i="32"/>
  <c r="AK32" i="32"/>
  <c r="AM30" i="31"/>
  <c r="AL32" i="31"/>
  <c r="AH50" i="31"/>
  <c r="AI24" i="31"/>
  <c r="AK35" i="31"/>
  <c r="AJ37" i="31"/>
  <c r="AM30" i="30"/>
  <c r="AL32" i="30"/>
  <c r="AJ27" i="30"/>
  <c r="AK25" i="30"/>
  <c r="AJ51" i="30"/>
  <c r="AK37" i="30"/>
  <c r="AL35" i="30"/>
  <c r="AI50" i="30"/>
  <c r="AJ24" i="30"/>
  <c r="AJ37" i="13"/>
  <c r="AK35" i="13"/>
  <c r="AJ41" i="13"/>
  <c r="AJ47" i="13" s="1"/>
  <c r="AM30" i="13"/>
  <c r="AL32" i="13"/>
  <c r="AI51" i="13"/>
  <c r="AI27" i="13"/>
  <c r="AJ25" i="13"/>
  <c r="AN24" i="13"/>
  <c r="AM50" i="13"/>
  <c r="AI32" i="36"/>
  <c r="AJ30" i="36"/>
  <c r="AK32" i="39"/>
  <c r="AL30" i="39"/>
  <c r="AL30" i="38"/>
  <c r="AK32" i="38"/>
  <c r="AI37" i="39"/>
  <c r="AJ35" i="39"/>
  <c r="AI37" i="35"/>
  <c r="AJ35" i="35"/>
  <c r="AJ35" i="36"/>
  <c r="AI37" i="36"/>
  <c r="AI37" i="38"/>
  <c r="AJ35" i="38"/>
  <c r="AJ32" i="35"/>
  <c r="AK30" i="35"/>
  <c r="AN24" i="39"/>
  <c r="AM50" i="39"/>
  <c r="AI24" i="38"/>
  <c r="AH50" i="38"/>
  <c r="AI24" i="36"/>
  <c r="AH50" i="36"/>
  <c r="AL24" i="35"/>
  <c r="AK50" i="35"/>
  <c r="AK37" i="34" l="1"/>
  <c r="AL35" i="34"/>
  <c r="AJ50" i="34"/>
  <c r="AK24" i="34"/>
  <c r="AL30" i="34"/>
  <c r="AK32" i="34"/>
  <c r="AJ32" i="33"/>
  <c r="AK30" i="33"/>
  <c r="AN37" i="33"/>
  <c r="AO35" i="33"/>
  <c r="AL50" i="33"/>
  <c r="AM24" i="33"/>
  <c r="AK37" i="32"/>
  <c r="AL35" i="32"/>
  <c r="AJ50" i="32"/>
  <c r="AK24" i="32"/>
  <c r="AM30" i="32"/>
  <c r="AL32" i="32"/>
  <c r="AK37" i="31"/>
  <c r="AL35" i="31"/>
  <c r="AJ24" i="31"/>
  <c r="AI50" i="31"/>
  <c r="AN30" i="31"/>
  <c r="AM32" i="31"/>
  <c r="AL37" i="30"/>
  <c r="AM35" i="30"/>
  <c r="AJ50" i="30"/>
  <c r="AK24" i="30"/>
  <c r="AK27" i="30"/>
  <c r="AL25" i="30"/>
  <c r="AK51" i="30"/>
  <c r="AN30" i="30"/>
  <c r="AM32" i="30"/>
  <c r="AN50" i="13"/>
  <c r="AO24" i="13"/>
  <c r="AJ27" i="13"/>
  <c r="AK25" i="13"/>
  <c r="AJ51" i="13"/>
  <c r="AN30" i="13"/>
  <c r="AM32" i="13"/>
  <c r="AK37" i="13"/>
  <c r="AK41" i="13"/>
  <c r="AK47" i="13" s="1"/>
  <c r="AL35" i="13"/>
  <c r="AK30" i="36"/>
  <c r="AJ32" i="36"/>
  <c r="AK35" i="36"/>
  <c r="AJ37" i="36"/>
  <c r="AK35" i="35"/>
  <c r="AJ37" i="35"/>
  <c r="AK32" i="35"/>
  <c r="AL30" i="35"/>
  <c r="AJ37" i="39"/>
  <c r="AK35" i="39"/>
  <c r="AM30" i="38"/>
  <c r="AL32" i="38"/>
  <c r="AL32" i="39"/>
  <c r="AM30" i="39"/>
  <c r="AJ37" i="38"/>
  <c r="AK35" i="38"/>
  <c r="AO24" i="39"/>
  <c r="AN50" i="39"/>
  <c r="AJ24" i="38"/>
  <c r="AI50" i="38"/>
  <c r="AI50" i="36"/>
  <c r="AJ24" i="36"/>
  <c r="AM24" i="35"/>
  <c r="AL50" i="35"/>
  <c r="AL24" i="34" l="1"/>
  <c r="AK50" i="34"/>
  <c r="AM30" i="34"/>
  <c r="AL32" i="34"/>
  <c r="AL37" i="34"/>
  <c r="AM35" i="34"/>
  <c r="AN24" i="33"/>
  <c r="AM50" i="33"/>
  <c r="AO37" i="33"/>
  <c r="AP35" i="33"/>
  <c r="AK32" i="33"/>
  <c r="AL30" i="33"/>
  <c r="AN30" i="32"/>
  <c r="AM32" i="32"/>
  <c r="AL24" i="32"/>
  <c r="AK50" i="32"/>
  <c r="AL37" i="32"/>
  <c r="AM35" i="32"/>
  <c r="AJ50" i="31"/>
  <c r="AK24" i="31"/>
  <c r="AO30" i="31"/>
  <c r="AN32" i="31"/>
  <c r="AL37" i="31"/>
  <c r="AM35" i="31"/>
  <c r="AL27" i="30"/>
  <c r="AL51" i="30"/>
  <c r="AM25" i="30"/>
  <c r="AL24" i="30"/>
  <c r="AK50" i="30"/>
  <c r="AO30" i="30"/>
  <c r="AN32" i="30"/>
  <c r="AM37" i="30"/>
  <c r="AN35" i="30"/>
  <c r="AP24" i="13"/>
  <c r="AO50" i="13"/>
  <c r="AL37" i="13"/>
  <c r="AM35" i="13"/>
  <c r="AL41" i="13"/>
  <c r="AL47" i="13" s="1"/>
  <c r="AO30" i="13"/>
  <c r="AN32" i="13"/>
  <c r="AK27" i="13"/>
  <c r="AL25" i="13"/>
  <c r="AK51" i="13"/>
  <c r="AK32" i="36"/>
  <c r="AL30" i="36"/>
  <c r="AL35" i="39"/>
  <c r="AK37" i="39"/>
  <c r="AM30" i="35"/>
  <c r="AL32" i="35"/>
  <c r="AK37" i="35"/>
  <c r="AL35" i="35"/>
  <c r="AM32" i="39"/>
  <c r="AN30" i="39"/>
  <c r="AK37" i="38"/>
  <c r="AL35" i="38"/>
  <c r="AK37" i="36"/>
  <c r="AL35" i="36"/>
  <c r="AN30" i="38"/>
  <c r="AM32" i="38"/>
  <c r="AO50" i="39"/>
  <c r="AP24" i="39"/>
  <c r="AJ50" i="38"/>
  <c r="AK24" i="38"/>
  <c r="AJ50" i="36"/>
  <c r="AK24" i="36"/>
  <c r="AM50" i="35"/>
  <c r="AN24" i="35"/>
  <c r="AM37" i="34" l="1"/>
  <c r="AN35" i="34"/>
  <c r="AN30" i="34"/>
  <c r="AM32" i="34"/>
  <c r="AM24" i="34"/>
  <c r="AL50" i="34"/>
  <c r="AP37" i="33"/>
  <c r="AQ35" i="33"/>
  <c r="AM30" i="33"/>
  <c r="AL32" i="33"/>
  <c r="AO24" i="33"/>
  <c r="AN50" i="33"/>
  <c r="AM37" i="32"/>
  <c r="AN35" i="32"/>
  <c r="AM24" i="32"/>
  <c r="AL50" i="32"/>
  <c r="AO30" i="32"/>
  <c r="AN32" i="32"/>
  <c r="AM37" i="31"/>
  <c r="AN35" i="31"/>
  <c r="AP30" i="31"/>
  <c r="AO32" i="31"/>
  <c r="AL24" i="31"/>
  <c r="AK50" i="31"/>
  <c r="AN37" i="30"/>
  <c r="AO35" i="30"/>
  <c r="AP30" i="30"/>
  <c r="AO32" i="30"/>
  <c r="AM24" i="30"/>
  <c r="AL50" i="30"/>
  <c r="AM27" i="30"/>
  <c r="AM51" i="30"/>
  <c r="AN25" i="30"/>
  <c r="AL27" i="13"/>
  <c r="AL51" i="13"/>
  <c r="AM25" i="13"/>
  <c r="AP30" i="13"/>
  <c r="AO32" i="13"/>
  <c r="AM37" i="13"/>
  <c r="AN35" i="13"/>
  <c r="AM41" i="13"/>
  <c r="AM47" i="13" s="1"/>
  <c r="AQ24" i="13"/>
  <c r="AP50" i="13"/>
  <c r="AM30" i="36"/>
  <c r="AL32" i="36"/>
  <c r="AN32" i="38"/>
  <c r="AO30" i="38"/>
  <c r="AM35" i="36"/>
  <c r="AL37" i="36"/>
  <c r="AN30" i="35"/>
  <c r="AM32" i="35"/>
  <c r="AM35" i="38"/>
  <c r="AL37" i="38"/>
  <c r="AN32" i="39"/>
  <c r="AO30" i="39"/>
  <c r="AM35" i="39"/>
  <c r="AL37" i="39"/>
  <c r="AL37" i="35"/>
  <c r="AM35" i="35"/>
  <c r="AQ24" i="39"/>
  <c r="AP50" i="39"/>
  <c r="AL24" i="38"/>
  <c r="AK50" i="38"/>
  <c r="AL24" i="36"/>
  <c r="AK50" i="36"/>
  <c r="AO24" i="35"/>
  <c r="AN50" i="35"/>
  <c r="AO30" i="34" l="1"/>
  <c r="AN32" i="34"/>
  <c r="AN24" i="34"/>
  <c r="AM50" i="34"/>
  <c r="AN37" i="34"/>
  <c r="AO35" i="34"/>
  <c r="AP24" i="33"/>
  <c r="AO50" i="33"/>
  <c r="AN30" i="33"/>
  <c r="AM32" i="33"/>
  <c r="AQ37" i="33"/>
  <c r="AR35" i="33"/>
  <c r="AN24" i="32"/>
  <c r="AM50" i="32"/>
  <c r="AP30" i="32"/>
  <c r="AO32" i="32"/>
  <c r="AN37" i="32"/>
  <c r="AO35" i="32"/>
  <c r="AM24" i="31"/>
  <c r="AL50" i="31"/>
  <c r="AN37" i="31"/>
  <c r="AO35" i="31"/>
  <c r="AQ30" i="31"/>
  <c r="AP32" i="31"/>
  <c r="AO25" i="30"/>
  <c r="AN27" i="30"/>
  <c r="AN51" i="30"/>
  <c r="AQ30" i="30"/>
  <c r="AP32" i="30"/>
  <c r="AO37" i="30"/>
  <c r="AP35" i="30"/>
  <c r="AN24" i="30"/>
  <c r="AM50" i="30"/>
  <c r="AQ30" i="13"/>
  <c r="AP32" i="13"/>
  <c r="AR24" i="13"/>
  <c r="AQ50" i="13"/>
  <c r="AN37" i="13"/>
  <c r="AN41" i="13"/>
  <c r="AN47" i="13" s="1"/>
  <c r="AO35" i="13"/>
  <c r="AM51" i="13"/>
  <c r="AN25" i="13"/>
  <c r="AM27" i="13"/>
  <c r="AN30" i="36"/>
  <c r="AM32" i="36"/>
  <c r="AO32" i="38"/>
  <c r="AP30" i="38"/>
  <c r="AN35" i="38"/>
  <c r="AM37" i="38"/>
  <c r="AM37" i="39"/>
  <c r="AN35" i="39"/>
  <c r="AO32" i="39"/>
  <c r="AP30" i="39"/>
  <c r="AN35" i="36"/>
  <c r="AM37" i="36"/>
  <c r="AN35" i="35"/>
  <c r="AM37" i="35"/>
  <c r="AN32" i="35"/>
  <c r="AO30" i="35"/>
  <c r="AR24" i="39"/>
  <c r="AQ50" i="39"/>
  <c r="AM24" i="38"/>
  <c r="AL50" i="38"/>
  <c r="AM24" i="36"/>
  <c r="AL50" i="36"/>
  <c r="AP24" i="35"/>
  <c r="AO50" i="35"/>
  <c r="AO24" i="34" l="1"/>
  <c r="AN50" i="34"/>
  <c r="AO37" i="34"/>
  <c r="AP35" i="34"/>
  <c r="AP30" i="34"/>
  <c r="AO32" i="34"/>
  <c r="AS35" i="33"/>
  <c r="AR37" i="33"/>
  <c r="AO30" i="33"/>
  <c r="AN32" i="33"/>
  <c r="AQ24" i="33"/>
  <c r="AP50" i="33"/>
  <c r="AO37" i="32"/>
  <c r="AP35" i="32"/>
  <c r="AQ30" i="32"/>
  <c r="AP32" i="32"/>
  <c r="AO24" i="32"/>
  <c r="AN50" i="32"/>
  <c r="AO37" i="31"/>
  <c r="AP35" i="31"/>
  <c r="AQ32" i="31"/>
  <c r="AR30" i="31"/>
  <c r="AN24" i="31"/>
  <c r="AM50" i="31"/>
  <c r="AO24" i="30"/>
  <c r="AN50" i="30"/>
  <c r="AQ35" i="30"/>
  <c r="AP37" i="30"/>
  <c r="AQ32" i="30"/>
  <c r="AR30" i="30"/>
  <c r="AP25" i="30"/>
  <c r="AO27" i="30"/>
  <c r="AO51" i="30"/>
  <c r="AO25" i="13"/>
  <c r="AN27" i="13"/>
  <c r="AN51" i="13"/>
  <c r="AS24" i="13"/>
  <c r="AR50" i="13"/>
  <c r="AO41" i="13"/>
  <c r="AO47" i="13" s="1"/>
  <c r="AO37" i="13"/>
  <c r="AP35" i="13"/>
  <c r="AR30" i="13"/>
  <c r="AQ32" i="13"/>
  <c r="AO30" i="36"/>
  <c r="AN32" i="36"/>
  <c r="AP32" i="38"/>
  <c r="AQ30" i="38"/>
  <c r="AO35" i="36"/>
  <c r="AN37" i="36"/>
  <c r="AP30" i="35"/>
  <c r="AO32" i="35"/>
  <c r="AP32" i="39"/>
  <c r="AQ30" i="39"/>
  <c r="AN37" i="39"/>
  <c r="AO35" i="39"/>
  <c r="AO35" i="35"/>
  <c r="AN37" i="35"/>
  <c r="AO35" i="38"/>
  <c r="AN37" i="38"/>
  <c r="AS24" i="39"/>
  <c r="AR50" i="39"/>
  <c r="AN24" i="38"/>
  <c r="AM50" i="38"/>
  <c r="AN24" i="36"/>
  <c r="AM50" i="36"/>
  <c r="AQ24" i="35"/>
  <c r="AP50" i="35"/>
  <c r="AQ35" i="34" l="1"/>
  <c r="AP37" i="34"/>
  <c r="AQ30" i="34"/>
  <c r="AP32" i="34"/>
  <c r="AP24" i="34"/>
  <c r="AO50" i="34"/>
  <c r="AQ50" i="33"/>
  <c r="AR24" i="33"/>
  <c r="AP30" i="33"/>
  <c r="AO32" i="33"/>
  <c r="AS37" i="33"/>
  <c r="AT35" i="33"/>
  <c r="AQ32" i="32"/>
  <c r="AR30" i="32"/>
  <c r="AP24" i="32"/>
  <c r="AO50" i="32"/>
  <c r="AQ35" i="32"/>
  <c r="AP37" i="32"/>
  <c r="AO24" i="31"/>
  <c r="AN50" i="31"/>
  <c r="AR32" i="31"/>
  <c r="AS30" i="31"/>
  <c r="AQ35" i="31"/>
  <c r="AP37" i="31"/>
  <c r="AQ25" i="30"/>
  <c r="AP27" i="30"/>
  <c r="AP51" i="30"/>
  <c r="AR32" i="30"/>
  <c r="AS30" i="30"/>
  <c r="AR35" i="30"/>
  <c r="AQ37" i="30"/>
  <c r="AP24" i="30"/>
  <c r="AO50" i="30"/>
  <c r="AR32" i="13"/>
  <c r="AS30" i="13"/>
  <c r="AQ35" i="13"/>
  <c r="AP37" i="13"/>
  <c r="AP41" i="13"/>
  <c r="AP47" i="13" s="1"/>
  <c r="AS50" i="13"/>
  <c r="AT24" i="13"/>
  <c r="AP25" i="13"/>
  <c r="AO27" i="13"/>
  <c r="AO51" i="13"/>
  <c r="AP30" i="36"/>
  <c r="AO32" i="36"/>
  <c r="AP35" i="38"/>
  <c r="AO37" i="38"/>
  <c r="AQ32" i="39"/>
  <c r="AR30" i="39"/>
  <c r="AP35" i="35"/>
  <c r="AO37" i="35"/>
  <c r="AO37" i="39"/>
  <c r="AP35" i="39"/>
  <c r="AQ32" i="38"/>
  <c r="AR30" i="38"/>
  <c r="AP32" i="35"/>
  <c r="AQ30" i="35"/>
  <c r="AO37" i="36"/>
  <c r="AP35" i="36"/>
  <c r="AT24" i="39"/>
  <c r="AS50" i="39"/>
  <c r="AO24" i="38"/>
  <c r="AN50" i="38"/>
  <c r="AO24" i="36"/>
  <c r="AN50" i="36"/>
  <c r="AR24" i="35"/>
  <c r="AQ50" i="35"/>
  <c r="AQ32" i="34" l="1"/>
  <c r="AR30" i="34"/>
  <c r="AQ24" i="34"/>
  <c r="AP50" i="34"/>
  <c r="AR35" i="34"/>
  <c r="AQ37" i="34"/>
  <c r="AU35" i="33"/>
  <c r="AT37" i="33"/>
  <c r="AQ30" i="33"/>
  <c r="AP32" i="33"/>
  <c r="AR50" i="33"/>
  <c r="AS24" i="33"/>
  <c r="AQ24" i="32"/>
  <c r="AP50" i="32"/>
  <c r="AQ37" i="32"/>
  <c r="AR35" i="32"/>
  <c r="AR32" i="32"/>
  <c r="AS30" i="32"/>
  <c r="AS32" i="31"/>
  <c r="AT30" i="31"/>
  <c r="AR35" i="31"/>
  <c r="AQ37" i="31"/>
  <c r="AP24" i="31"/>
  <c r="AO50" i="31"/>
  <c r="AQ24" i="30"/>
  <c r="AP50" i="30"/>
  <c r="AR37" i="30"/>
  <c r="AS35" i="30"/>
  <c r="AS32" i="30"/>
  <c r="AT30" i="30"/>
  <c r="AR25" i="30"/>
  <c r="AQ27" i="30"/>
  <c r="AQ51" i="30"/>
  <c r="AQ25" i="13"/>
  <c r="AP27" i="13"/>
  <c r="AP51" i="13"/>
  <c r="AT50" i="13"/>
  <c r="AU24" i="13"/>
  <c r="AR35" i="13"/>
  <c r="AQ37" i="13"/>
  <c r="AQ41" i="13"/>
  <c r="AQ47" i="13" s="1"/>
  <c r="AS32" i="13"/>
  <c r="AT30" i="13"/>
  <c r="AP32" i="36"/>
  <c r="AQ30" i="36"/>
  <c r="AP37" i="35"/>
  <c r="AQ35" i="35"/>
  <c r="AR32" i="39"/>
  <c r="AS30" i="39"/>
  <c r="AQ32" i="35"/>
  <c r="AR30" i="35"/>
  <c r="AR32" i="38"/>
  <c r="AS30" i="38"/>
  <c r="AP37" i="39"/>
  <c r="AQ35" i="39"/>
  <c r="AP37" i="38"/>
  <c r="AQ35" i="38"/>
  <c r="AP37" i="36"/>
  <c r="AQ35" i="36"/>
  <c r="AT50" i="39"/>
  <c r="AU24" i="39"/>
  <c r="AO50" i="38"/>
  <c r="AP24" i="38"/>
  <c r="AP24" i="36"/>
  <c r="AO50" i="36"/>
  <c r="AS24" i="35"/>
  <c r="AR50" i="35"/>
  <c r="AQ50" i="34" l="1"/>
  <c r="AR24" i="34"/>
  <c r="AS35" i="34"/>
  <c r="AR37" i="34"/>
  <c r="AR32" i="34"/>
  <c r="AS30" i="34"/>
  <c r="AT24" i="33"/>
  <c r="AS50" i="33"/>
  <c r="AQ32" i="33"/>
  <c r="AR30" i="33"/>
  <c r="AV35" i="33"/>
  <c r="AU37" i="33"/>
  <c r="AS32" i="32"/>
  <c r="AT30" i="32"/>
  <c r="AR37" i="32"/>
  <c r="AS35" i="32"/>
  <c r="AR24" i="32"/>
  <c r="AQ50" i="32"/>
  <c r="AS35" i="31"/>
  <c r="AR37" i="31"/>
  <c r="AQ24" i="31"/>
  <c r="AP50" i="31"/>
  <c r="AT32" i="31"/>
  <c r="AU30" i="31"/>
  <c r="AS25" i="30"/>
  <c r="AR27" i="30"/>
  <c r="AR51" i="30"/>
  <c r="AS37" i="30"/>
  <c r="AT35" i="30"/>
  <c r="AT32" i="30"/>
  <c r="AU30" i="30"/>
  <c r="AR24" i="30"/>
  <c r="AQ50" i="30"/>
  <c r="AS35" i="13"/>
  <c r="AR37" i="13"/>
  <c r="AR41" i="13"/>
  <c r="AR47" i="13" s="1"/>
  <c r="AT32" i="13"/>
  <c r="AU30" i="13"/>
  <c r="AV24" i="13"/>
  <c r="AU50" i="13"/>
  <c r="AQ51" i="13"/>
  <c r="AQ27" i="13"/>
  <c r="AR25" i="13"/>
  <c r="AQ32" i="36"/>
  <c r="AR30" i="36"/>
  <c r="AS30" i="35"/>
  <c r="AR32" i="35"/>
  <c r="AQ37" i="38"/>
  <c r="AR35" i="38"/>
  <c r="AR35" i="39"/>
  <c r="AQ37" i="39"/>
  <c r="AS32" i="39"/>
  <c r="AT30" i="39"/>
  <c r="AQ37" i="35"/>
  <c r="AR35" i="35"/>
  <c r="AQ37" i="36"/>
  <c r="AR35" i="36"/>
  <c r="AS32" i="38"/>
  <c r="AT30" i="38"/>
  <c r="AV24" i="39"/>
  <c r="AU50" i="39"/>
  <c r="AQ24" i="38"/>
  <c r="AP50" i="38"/>
  <c r="AQ24" i="36"/>
  <c r="AP50" i="36"/>
  <c r="AT24" i="35"/>
  <c r="AS50" i="35"/>
  <c r="AS32" i="34" l="1"/>
  <c r="AT30" i="34"/>
  <c r="AT35" i="34"/>
  <c r="AS37" i="34"/>
  <c r="AS24" i="34"/>
  <c r="AR50" i="34"/>
  <c r="AW35" i="33"/>
  <c r="AV37" i="33"/>
  <c r="AR32" i="33"/>
  <c r="AS30" i="33"/>
  <c r="AT50" i="33"/>
  <c r="AU24" i="33"/>
  <c r="AT35" i="32"/>
  <c r="AS37" i="32"/>
  <c r="AT32" i="32"/>
  <c r="AU30" i="32"/>
  <c r="AR50" i="32"/>
  <c r="AS24" i="32"/>
  <c r="AQ50" i="31"/>
  <c r="AR24" i="31"/>
  <c r="AU32" i="31"/>
  <c r="AV30" i="31"/>
  <c r="AT35" i="31"/>
  <c r="AS37" i="31"/>
  <c r="AS24" i="30"/>
  <c r="AR50" i="30"/>
  <c r="AU32" i="30"/>
  <c r="AV30" i="30"/>
  <c r="AU35" i="30"/>
  <c r="AT37" i="30"/>
  <c r="AT25" i="30"/>
  <c r="AS27" i="30"/>
  <c r="AS51" i="30"/>
  <c r="AR27" i="13"/>
  <c r="AS25" i="13"/>
  <c r="AR51" i="13"/>
  <c r="AW24" i="13"/>
  <c r="AV50" i="13"/>
  <c r="AV30" i="13"/>
  <c r="AU32" i="13"/>
  <c r="AS41" i="13"/>
  <c r="AS47" i="13" s="1"/>
  <c r="AS37" i="13"/>
  <c r="AT35" i="13"/>
  <c r="AS30" i="36"/>
  <c r="AR32" i="36"/>
  <c r="AR37" i="38"/>
  <c r="AS35" i="38"/>
  <c r="AR37" i="36"/>
  <c r="AS35" i="36"/>
  <c r="AS32" i="35"/>
  <c r="AT30" i="35"/>
  <c r="AS35" i="39"/>
  <c r="AR37" i="39"/>
  <c r="AT32" i="38"/>
  <c r="AU30" i="38"/>
  <c r="AT32" i="39"/>
  <c r="AU30" i="39"/>
  <c r="AR37" i="35"/>
  <c r="AS35" i="35"/>
  <c r="AW24" i="39"/>
  <c r="AV50" i="39"/>
  <c r="AR24" i="38"/>
  <c r="AQ50" i="38"/>
  <c r="AR24" i="36"/>
  <c r="AQ50" i="36"/>
  <c r="AU24" i="35"/>
  <c r="AT50" i="35"/>
  <c r="AU35" i="34" l="1"/>
  <c r="AT37" i="34"/>
  <c r="AT32" i="34"/>
  <c r="AU30" i="34"/>
  <c r="AS50" i="34"/>
  <c r="AT24" i="34"/>
  <c r="AU50" i="33"/>
  <c r="AV24" i="33"/>
  <c r="AT30" i="33"/>
  <c r="AS32" i="33"/>
  <c r="AX35" i="33"/>
  <c r="AW37" i="33"/>
  <c r="AU32" i="32"/>
  <c r="AV30" i="32"/>
  <c r="AS50" i="32"/>
  <c r="AT24" i="32"/>
  <c r="AU35" i="32"/>
  <c r="AT37" i="32"/>
  <c r="AU35" i="31"/>
  <c r="AT37" i="31"/>
  <c r="AW30" i="31"/>
  <c r="AV32" i="31"/>
  <c r="AR50" i="31"/>
  <c r="AS24" i="31"/>
  <c r="AU25" i="30"/>
  <c r="AT27" i="30"/>
  <c r="AT51" i="30"/>
  <c r="AV35" i="30"/>
  <c r="AU37" i="30"/>
  <c r="AW30" i="30"/>
  <c r="AV32" i="30"/>
  <c r="AT24" i="30"/>
  <c r="AS50" i="30"/>
  <c r="AU35" i="13"/>
  <c r="AT37" i="13"/>
  <c r="AT41" i="13"/>
  <c r="AT47" i="13" s="1"/>
  <c r="AW50" i="13"/>
  <c r="AX24" i="13"/>
  <c r="AW30" i="13"/>
  <c r="AV32" i="13"/>
  <c r="AT25" i="13"/>
  <c r="AS27" i="13"/>
  <c r="AS51" i="13"/>
  <c r="AT30" i="36"/>
  <c r="AS32" i="36"/>
  <c r="AT32" i="35"/>
  <c r="AU30" i="35"/>
  <c r="AS37" i="35"/>
  <c r="AT35" i="35"/>
  <c r="AT35" i="39"/>
  <c r="AS37" i="39"/>
  <c r="AT35" i="36"/>
  <c r="AS37" i="36"/>
  <c r="AU32" i="39"/>
  <c r="AV30" i="39"/>
  <c r="AS37" i="38"/>
  <c r="AT35" i="38"/>
  <c r="AV30" i="38"/>
  <c r="AU32" i="38"/>
  <c r="AX24" i="39"/>
  <c r="AW50" i="39"/>
  <c r="AS24" i="38"/>
  <c r="AR50" i="38"/>
  <c r="AS24" i="36"/>
  <c r="AR50" i="36"/>
  <c r="AV24" i="35"/>
  <c r="AU50" i="35"/>
  <c r="AT50" i="34" l="1"/>
  <c r="AU24" i="34"/>
  <c r="AU32" i="34"/>
  <c r="AV30" i="34"/>
  <c r="AV35" i="34"/>
  <c r="AU37" i="34"/>
  <c r="AY35" i="33"/>
  <c r="AX37" i="33"/>
  <c r="AT32" i="33"/>
  <c r="AU30" i="33"/>
  <c r="AV50" i="33"/>
  <c r="AW24" i="33"/>
  <c r="AV35" i="32"/>
  <c r="AU37" i="32"/>
  <c r="AU24" i="32"/>
  <c r="AT50" i="32"/>
  <c r="AW30" i="32"/>
  <c r="AV32" i="32"/>
  <c r="AX30" i="31"/>
  <c r="AW32" i="31"/>
  <c r="AS50" i="31"/>
  <c r="AT24" i="31"/>
  <c r="AV35" i="31"/>
  <c r="AU37" i="31"/>
  <c r="AT50" i="30"/>
  <c r="AU24" i="30"/>
  <c r="AX30" i="30"/>
  <c r="AW32" i="30"/>
  <c r="AW35" i="30"/>
  <c r="AV37" i="30"/>
  <c r="AV25" i="30"/>
  <c r="AU27" i="30"/>
  <c r="AU51" i="30"/>
  <c r="AU25" i="13"/>
  <c r="AT27" i="13"/>
  <c r="AT51" i="13"/>
  <c r="AX30" i="13"/>
  <c r="AW32" i="13"/>
  <c r="AX50" i="13"/>
  <c r="AY24" i="13"/>
  <c r="AV35" i="13"/>
  <c r="AU37" i="13"/>
  <c r="AU41" i="13"/>
  <c r="AU47" i="13" s="1"/>
  <c r="AU30" i="36"/>
  <c r="AT32" i="36"/>
  <c r="AU32" i="35"/>
  <c r="AV30" i="35"/>
  <c r="AU35" i="39"/>
  <c r="AT37" i="39"/>
  <c r="AU35" i="35"/>
  <c r="AT37" i="35"/>
  <c r="AU35" i="38"/>
  <c r="AT37" i="38"/>
  <c r="AV32" i="38"/>
  <c r="AW30" i="38"/>
  <c r="AV32" i="39"/>
  <c r="AW30" i="39"/>
  <c r="AT37" i="36"/>
  <c r="AU35" i="36"/>
  <c r="AX50" i="39"/>
  <c r="AY24" i="39"/>
  <c r="AT24" i="38"/>
  <c r="AS50" i="38"/>
  <c r="AT24" i="36"/>
  <c r="AS50" i="36"/>
  <c r="AW24" i="35"/>
  <c r="AV50" i="35"/>
  <c r="AW35" i="34" l="1"/>
  <c r="AV37" i="34"/>
  <c r="AW30" i="34"/>
  <c r="AV32" i="34"/>
  <c r="AU50" i="34"/>
  <c r="AV24" i="34"/>
  <c r="AX24" i="33"/>
  <c r="AW50" i="33"/>
  <c r="AU32" i="33"/>
  <c r="AV30" i="33"/>
  <c r="AY37" i="33"/>
  <c r="AZ35" i="33"/>
  <c r="AW32" i="32"/>
  <c r="AX30" i="32"/>
  <c r="AV24" i="32"/>
  <c r="AU50" i="32"/>
  <c r="AW35" i="32"/>
  <c r="AV37" i="32"/>
  <c r="AT50" i="31"/>
  <c r="AU24" i="31"/>
  <c r="AW35" i="31"/>
  <c r="AV37" i="31"/>
  <c r="AY30" i="31"/>
  <c r="AX32" i="31"/>
  <c r="AY30" i="30"/>
  <c r="AX32" i="30"/>
  <c r="AV24" i="30"/>
  <c r="AU50" i="30"/>
  <c r="AW25" i="30"/>
  <c r="AV51" i="30"/>
  <c r="AV27" i="30"/>
  <c r="AX35" i="30"/>
  <c r="AW37" i="30"/>
  <c r="AY30" i="13"/>
  <c r="AX32" i="13"/>
  <c r="AW35" i="13"/>
  <c r="AV37" i="13"/>
  <c r="AV41" i="13"/>
  <c r="AV47" i="13" s="1"/>
  <c r="AZ24" i="13"/>
  <c r="AY50" i="13"/>
  <c r="AV25" i="13"/>
  <c r="AU27" i="13"/>
  <c r="AU51" i="13"/>
  <c r="AU32" i="36"/>
  <c r="AV30" i="36"/>
  <c r="AU37" i="35"/>
  <c r="AV35" i="35"/>
  <c r="AU37" i="36"/>
  <c r="AV35" i="36"/>
  <c r="AW32" i="38"/>
  <c r="AX30" i="38"/>
  <c r="AU37" i="39"/>
  <c r="AV35" i="39"/>
  <c r="AV35" i="38"/>
  <c r="AU37" i="38"/>
  <c r="AV32" i="35"/>
  <c r="AW30" i="35"/>
  <c r="AX30" i="39"/>
  <c r="AW32" i="39"/>
  <c r="AZ24" i="39"/>
  <c r="AY50" i="39"/>
  <c r="AT50" i="38"/>
  <c r="AU24" i="38"/>
  <c r="AT50" i="36"/>
  <c r="AU24" i="36"/>
  <c r="AX24" i="35"/>
  <c r="AW50" i="35"/>
  <c r="AV50" i="34" l="1"/>
  <c r="AW24" i="34"/>
  <c r="AX30" i="34"/>
  <c r="AW32" i="34"/>
  <c r="AX35" i="34"/>
  <c r="AW37" i="34"/>
  <c r="AV32" i="33"/>
  <c r="AW30" i="33"/>
  <c r="AZ37" i="33"/>
  <c r="BA35" i="33"/>
  <c r="AX50" i="33"/>
  <c r="AY24" i="33"/>
  <c r="AW24" i="32"/>
  <c r="AV50" i="32"/>
  <c r="AX35" i="32"/>
  <c r="AW37" i="32"/>
  <c r="AY30" i="32"/>
  <c r="AX32" i="32"/>
  <c r="AX35" i="31"/>
  <c r="AW37" i="31"/>
  <c r="AZ30" i="31"/>
  <c r="AY32" i="31"/>
  <c r="AU50" i="31"/>
  <c r="AV24" i="31"/>
  <c r="AY35" i="30"/>
  <c r="AX37" i="30"/>
  <c r="AW27" i="30"/>
  <c r="AW51" i="30"/>
  <c r="AX25" i="30"/>
  <c r="AW24" i="30"/>
  <c r="AV50" i="30"/>
  <c r="AY32" i="30"/>
  <c r="AZ30" i="30"/>
  <c r="BA24" i="13"/>
  <c r="AZ50" i="13"/>
  <c r="AV51" i="13"/>
  <c r="AW25" i="13"/>
  <c r="AV27" i="13"/>
  <c r="AX35" i="13"/>
  <c r="AW37" i="13"/>
  <c r="AW41" i="13"/>
  <c r="AW47" i="13" s="1"/>
  <c r="AY32" i="13"/>
  <c r="AZ30" i="13"/>
  <c r="AV32" i="36"/>
  <c r="AW30" i="36"/>
  <c r="AV37" i="39"/>
  <c r="AW35" i="39"/>
  <c r="AW35" i="38"/>
  <c r="AV37" i="38"/>
  <c r="AX32" i="38"/>
  <c r="AY30" i="38"/>
  <c r="AV37" i="36"/>
  <c r="AW35" i="36"/>
  <c r="AW35" i="35"/>
  <c r="AV37" i="35"/>
  <c r="AW32" i="35"/>
  <c r="AX30" i="35"/>
  <c r="AY30" i="39"/>
  <c r="AX32" i="39"/>
  <c r="BA24" i="39"/>
  <c r="AZ50" i="39"/>
  <c r="AU50" i="38"/>
  <c r="AV24" i="38"/>
  <c r="AU50" i="36"/>
  <c r="AV24" i="36"/>
  <c r="AX50" i="35"/>
  <c r="AY24" i="35"/>
  <c r="AY35" i="34" l="1"/>
  <c r="AX37" i="34"/>
  <c r="AY30" i="34"/>
  <c r="AX32" i="34"/>
  <c r="AX24" i="34"/>
  <c r="AW50" i="34"/>
  <c r="AZ24" i="33"/>
  <c r="AY50" i="33"/>
  <c r="BA37" i="33"/>
  <c r="BB35" i="33"/>
  <c r="AW32" i="33"/>
  <c r="AX30" i="33"/>
  <c r="AY35" i="32"/>
  <c r="AX37" i="32"/>
  <c r="AY32" i="32"/>
  <c r="AZ30" i="32"/>
  <c r="AW50" i="32"/>
  <c r="AX24" i="32"/>
  <c r="BA30" i="31"/>
  <c r="AZ32" i="31"/>
  <c r="AV50" i="31"/>
  <c r="AW24" i="31"/>
  <c r="AY35" i="31"/>
  <c r="AX37" i="31"/>
  <c r="AW50" i="30"/>
  <c r="AX24" i="30"/>
  <c r="BA30" i="30"/>
  <c r="AZ32" i="30"/>
  <c r="AX27" i="30"/>
  <c r="AY25" i="30"/>
  <c r="AX51" i="30"/>
  <c r="AY37" i="30"/>
  <c r="AZ35" i="30"/>
  <c r="AX41" i="13"/>
  <c r="AX47" i="13" s="1"/>
  <c r="AY35" i="13"/>
  <c r="AX37" i="13"/>
  <c r="BA30" i="13"/>
  <c r="AZ32" i="13"/>
  <c r="AW51" i="13"/>
  <c r="AX25" i="13"/>
  <c r="AW27" i="13"/>
  <c r="BB24" i="13"/>
  <c r="BA50" i="13"/>
  <c r="AW32" i="36"/>
  <c r="AX30" i="36"/>
  <c r="AX35" i="38"/>
  <c r="AW37" i="38"/>
  <c r="AY30" i="35"/>
  <c r="AX32" i="35"/>
  <c r="AX35" i="36"/>
  <c r="AW37" i="36"/>
  <c r="AW37" i="39"/>
  <c r="AX35" i="39"/>
  <c r="AZ30" i="39"/>
  <c r="AY32" i="39"/>
  <c r="AZ30" i="38"/>
  <c r="AY32" i="38"/>
  <c r="AX35" i="35"/>
  <c r="AW37" i="35"/>
  <c r="BB24" i="39"/>
  <c r="BA50" i="39"/>
  <c r="AV50" i="38"/>
  <c r="AW24" i="38"/>
  <c r="AV50" i="36"/>
  <c r="AW24" i="36"/>
  <c r="AZ24" i="35"/>
  <c r="AY50" i="35"/>
  <c r="AX50" i="34" l="1"/>
  <c r="AY24" i="34"/>
  <c r="AZ30" i="34"/>
  <c r="AY32" i="34"/>
  <c r="AY37" i="34"/>
  <c r="AZ35" i="34"/>
  <c r="AX32" i="33"/>
  <c r="AY30" i="33"/>
  <c r="BB37" i="33"/>
  <c r="BC35" i="33"/>
  <c r="AZ50" i="33"/>
  <c r="BA24" i="33"/>
  <c r="BA30" i="32"/>
  <c r="AZ32" i="32"/>
  <c r="AX50" i="32"/>
  <c r="AY24" i="32"/>
  <c r="AY37" i="32"/>
  <c r="AZ35" i="32"/>
  <c r="AY37" i="31"/>
  <c r="AZ35" i="31"/>
  <c r="AW50" i="31"/>
  <c r="AX24" i="31"/>
  <c r="BB30" i="31"/>
  <c r="BA32" i="31"/>
  <c r="AZ37" i="30"/>
  <c r="BA35" i="30"/>
  <c r="AY27" i="30"/>
  <c r="AY51" i="30"/>
  <c r="AZ25" i="30"/>
  <c r="BB30" i="30"/>
  <c r="BA32" i="30"/>
  <c r="AX50" i="30"/>
  <c r="AY24" i="30"/>
  <c r="BC24" i="13"/>
  <c r="BB50" i="13"/>
  <c r="BB30" i="13"/>
  <c r="BA32" i="13"/>
  <c r="AY37" i="13"/>
  <c r="AY41" i="13"/>
  <c r="AY47" i="13" s="1"/>
  <c r="AZ35" i="13"/>
  <c r="AX27" i="13"/>
  <c r="AY25" i="13"/>
  <c r="AX51" i="13"/>
  <c r="AX32" i="36"/>
  <c r="AY30" i="36"/>
  <c r="AX37" i="38"/>
  <c r="AY35" i="38"/>
  <c r="BA30" i="39"/>
  <c r="AZ32" i="39"/>
  <c r="AX37" i="39"/>
  <c r="AY35" i="39"/>
  <c r="AX37" i="35"/>
  <c r="AY35" i="35"/>
  <c r="AY35" i="36"/>
  <c r="AX37" i="36"/>
  <c r="AZ32" i="38"/>
  <c r="BA30" i="38"/>
  <c r="AZ30" i="35"/>
  <c r="AY32" i="35"/>
  <c r="BC24" i="39"/>
  <c r="BB50" i="39"/>
  <c r="AX24" i="38"/>
  <c r="AW50" i="38"/>
  <c r="AW50" i="36"/>
  <c r="AX24" i="36"/>
  <c r="BA24" i="35"/>
  <c r="AZ50" i="35"/>
  <c r="AZ37" i="34" l="1"/>
  <c r="BA35" i="34"/>
  <c r="BA30" i="34"/>
  <c r="AZ32" i="34"/>
  <c r="AZ24" i="34"/>
  <c r="AY50" i="34"/>
  <c r="BB24" i="33"/>
  <c r="BA50" i="33"/>
  <c r="BC37" i="33"/>
  <c r="BD35" i="33"/>
  <c r="AY32" i="33"/>
  <c r="AZ30" i="33"/>
  <c r="AZ37" i="32"/>
  <c r="BA35" i="32"/>
  <c r="AZ24" i="32"/>
  <c r="AY50" i="32"/>
  <c r="BB30" i="32"/>
  <c r="BA32" i="32"/>
  <c r="BC30" i="31"/>
  <c r="BB32" i="31"/>
  <c r="AY24" i="31"/>
  <c r="AX50" i="31"/>
  <c r="AZ37" i="31"/>
  <c r="BA35" i="31"/>
  <c r="BC30" i="30"/>
  <c r="BB32" i="30"/>
  <c r="AZ27" i="30"/>
  <c r="AZ51" i="30"/>
  <c r="BA25" i="30"/>
  <c r="AZ24" i="30"/>
  <c r="AY50" i="30"/>
  <c r="BA37" i="30"/>
  <c r="BB35" i="30"/>
  <c r="AY27" i="13"/>
  <c r="AZ25" i="13"/>
  <c r="AY51" i="13"/>
  <c r="AZ37" i="13"/>
  <c r="BA35" i="13"/>
  <c r="AZ41" i="13"/>
  <c r="AZ47" i="13" s="1"/>
  <c r="BC30" i="13"/>
  <c r="BB32" i="13"/>
  <c r="BD24" i="13"/>
  <c r="BC50" i="13"/>
  <c r="AY32" i="36"/>
  <c r="AZ30" i="36"/>
  <c r="AY37" i="38"/>
  <c r="AZ35" i="38"/>
  <c r="AZ32" i="35"/>
  <c r="BA30" i="35"/>
  <c r="BB30" i="38"/>
  <c r="BA32" i="38"/>
  <c r="AY37" i="39"/>
  <c r="AZ35" i="39"/>
  <c r="AZ35" i="36"/>
  <c r="AY37" i="36"/>
  <c r="BB30" i="39"/>
  <c r="BA32" i="39"/>
  <c r="AY37" i="35"/>
  <c r="AZ35" i="35"/>
  <c r="BC50" i="39"/>
  <c r="BD24" i="39"/>
  <c r="AX50" i="38"/>
  <c r="AY24" i="38"/>
  <c r="AX50" i="36"/>
  <c r="AY24" i="36"/>
  <c r="BA50" i="35"/>
  <c r="BB24" i="35"/>
  <c r="BA24" i="34" l="1"/>
  <c r="AZ50" i="34"/>
  <c r="BB30" i="34"/>
  <c r="BA32" i="34"/>
  <c r="BA37" i="34"/>
  <c r="BB35" i="34"/>
  <c r="BA30" i="33"/>
  <c r="AZ32" i="33"/>
  <c r="BD37" i="33"/>
  <c r="BE35" i="33"/>
  <c r="BE37" i="33" s="1"/>
  <c r="BC24" i="33"/>
  <c r="BB50" i="33"/>
  <c r="BC30" i="32"/>
  <c r="BB32" i="32"/>
  <c r="BA24" i="32"/>
  <c r="AZ50" i="32"/>
  <c r="BA37" i="32"/>
  <c r="BB35" i="32"/>
  <c r="BA37" i="31"/>
  <c r="BB35" i="31"/>
  <c r="AZ24" i="31"/>
  <c r="AY50" i="31"/>
  <c r="BD30" i="31"/>
  <c r="BC32" i="31"/>
  <c r="BB37" i="30"/>
  <c r="BC35" i="30"/>
  <c r="BA24" i="30"/>
  <c r="AZ50" i="30"/>
  <c r="BA27" i="30"/>
  <c r="BA51" i="30"/>
  <c r="BB25" i="30"/>
  <c r="BD30" i="30"/>
  <c r="BC32" i="30"/>
  <c r="BD30" i="13"/>
  <c r="BC32" i="13"/>
  <c r="BE24" i="13"/>
  <c r="BE50" i="13" s="1"/>
  <c r="BD50" i="13"/>
  <c r="BA37" i="13"/>
  <c r="BB35" i="13"/>
  <c r="BA41" i="13"/>
  <c r="BA47" i="13" s="1"/>
  <c r="AZ27" i="13"/>
  <c r="AZ51" i="13"/>
  <c r="BA25" i="13"/>
  <c r="BA30" i="36"/>
  <c r="AZ32" i="36"/>
  <c r="AZ37" i="38"/>
  <c r="BA35" i="38"/>
  <c r="AZ37" i="35"/>
  <c r="BA35" i="35"/>
  <c r="AZ37" i="39"/>
  <c r="BA35" i="39"/>
  <c r="BC30" i="39"/>
  <c r="BB32" i="39"/>
  <c r="BA35" i="36"/>
  <c r="AZ37" i="36"/>
  <c r="BC30" i="38"/>
  <c r="BB32" i="38"/>
  <c r="BB30" i="35"/>
  <c r="BA32" i="35"/>
  <c r="BE24" i="39"/>
  <c r="BE50" i="39" s="1"/>
  <c r="BD50" i="39"/>
  <c r="AZ24" i="38"/>
  <c r="AY50" i="38"/>
  <c r="AZ24" i="36"/>
  <c r="AY50" i="36"/>
  <c r="BC24" i="35"/>
  <c r="BB50" i="35"/>
  <c r="BB37" i="34" l="1"/>
  <c r="BC35" i="34"/>
  <c r="BC30" i="34"/>
  <c r="BB32" i="34"/>
  <c r="BB24" i="34"/>
  <c r="BA50" i="34"/>
  <c r="BD24" i="33"/>
  <c r="BC50" i="33"/>
  <c r="BB30" i="33"/>
  <c r="BA32" i="33"/>
  <c r="BB37" i="32"/>
  <c r="BC35" i="32"/>
  <c r="BB24" i="32"/>
  <c r="BA50" i="32"/>
  <c r="BD30" i="32"/>
  <c r="BC32" i="32"/>
  <c r="BA24" i="31"/>
  <c r="AZ50" i="31"/>
  <c r="BC35" i="31"/>
  <c r="BB37" i="31"/>
  <c r="BE30" i="31"/>
  <c r="BE32" i="31" s="1"/>
  <c r="BD32" i="31"/>
  <c r="BC25" i="30"/>
  <c r="BB27" i="30"/>
  <c r="BB51" i="30"/>
  <c r="BE30" i="30"/>
  <c r="BE32" i="30" s="1"/>
  <c r="BD32" i="30"/>
  <c r="BB24" i="30"/>
  <c r="BA50" i="30"/>
  <c r="BC37" i="30"/>
  <c r="BD35" i="30"/>
  <c r="BB37" i="13"/>
  <c r="BC35" i="13"/>
  <c r="BB41" i="13"/>
  <c r="BB47" i="13" s="1"/>
  <c r="BA51" i="13"/>
  <c r="BA27" i="13"/>
  <c r="BB25" i="13"/>
  <c r="E50" i="13"/>
  <c r="BD32" i="13"/>
  <c r="BE30" i="13"/>
  <c r="BE32" i="13" s="1"/>
  <c r="BA32" i="36"/>
  <c r="BB30" i="36"/>
  <c r="BB35" i="39"/>
  <c r="BA37" i="39"/>
  <c r="BA37" i="36"/>
  <c r="BB35" i="36"/>
  <c r="BC32" i="39"/>
  <c r="BD30" i="39"/>
  <c r="BA37" i="35"/>
  <c r="BB35" i="35"/>
  <c r="BC30" i="35"/>
  <c r="BB32" i="35"/>
  <c r="BD30" i="38"/>
  <c r="BC32" i="38"/>
  <c r="BA37" i="38"/>
  <c r="BB35" i="38"/>
  <c r="E50" i="39"/>
  <c r="BA24" i="38"/>
  <c r="AZ50" i="38"/>
  <c r="BA24" i="36"/>
  <c r="AZ50" i="36"/>
  <c r="BD24" i="35"/>
  <c r="BC50" i="35"/>
  <c r="BC37" i="34" l="1"/>
  <c r="BD35" i="34"/>
  <c r="BC24" i="34"/>
  <c r="BB50" i="34"/>
  <c r="BD30" i="34"/>
  <c r="BC32" i="34"/>
  <c r="BB32" i="33"/>
  <c r="BC30" i="33"/>
  <c r="BE24" i="33"/>
  <c r="BE50" i="33" s="1"/>
  <c r="BD50" i="33"/>
  <c r="BE30" i="32"/>
  <c r="BE32" i="32" s="1"/>
  <c r="BD32" i="32"/>
  <c r="BC24" i="32"/>
  <c r="BB50" i="32"/>
  <c r="BC37" i="32"/>
  <c r="BD35" i="32"/>
  <c r="BC37" i="31"/>
  <c r="BD35" i="31"/>
  <c r="BB24" i="31"/>
  <c r="BA50" i="31"/>
  <c r="BE35" i="30"/>
  <c r="BE37" i="30" s="1"/>
  <c r="BD37" i="30"/>
  <c r="BC24" i="30"/>
  <c r="BB50" i="30"/>
  <c r="BD25" i="30"/>
  <c r="BC27" i="30"/>
  <c r="BC51" i="30"/>
  <c r="BC25" i="13"/>
  <c r="BB27" i="13"/>
  <c r="BB51" i="13"/>
  <c r="BC41" i="13"/>
  <c r="BC47" i="13" s="1"/>
  <c r="BD35" i="13"/>
  <c r="BC37" i="13"/>
  <c r="BB32" i="36"/>
  <c r="BC30" i="36"/>
  <c r="BD32" i="38"/>
  <c r="BE30" i="38"/>
  <c r="BE32" i="38" s="1"/>
  <c r="BC32" i="35"/>
  <c r="BD30" i="35"/>
  <c r="BB37" i="36"/>
  <c r="BC35" i="36"/>
  <c r="BB37" i="38"/>
  <c r="BC35" i="38"/>
  <c r="BE30" i="39"/>
  <c r="BE32" i="39" s="1"/>
  <c r="BD32" i="39"/>
  <c r="BB37" i="39"/>
  <c r="BC35" i="39"/>
  <c r="BB37" i="35"/>
  <c r="BC35" i="35"/>
  <c r="BB24" i="38"/>
  <c r="BA50" i="38"/>
  <c r="BB24" i="36"/>
  <c r="BA50" i="36"/>
  <c r="BE24" i="35"/>
  <c r="BE50" i="35" s="1"/>
  <c r="BD50" i="35"/>
  <c r="BD24" i="34" l="1"/>
  <c r="BC50" i="34"/>
  <c r="BE35" i="34"/>
  <c r="BE37" i="34" s="1"/>
  <c r="BD37" i="34"/>
  <c r="BE30" i="34"/>
  <c r="BE32" i="34" s="1"/>
  <c r="BD32" i="34"/>
  <c r="E50" i="33"/>
  <c r="BD30" i="33"/>
  <c r="BC32" i="33"/>
  <c r="BD24" i="32"/>
  <c r="BC50" i="32"/>
  <c r="BE35" i="32"/>
  <c r="BE37" i="32" s="1"/>
  <c r="BD37" i="32"/>
  <c r="BC24" i="31"/>
  <c r="BB50" i="31"/>
  <c r="BE35" i="31"/>
  <c r="BE37" i="31" s="1"/>
  <c r="BD37" i="31"/>
  <c r="BE25" i="30"/>
  <c r="BD27" i="30"/>
  <c r="BD51" i="30"/>
  <c r="BD24" i="30"/>
  <c r="BC50" i="30"/>
  <c r="BE35" i="13"/>
  <c r="BD37" i="13"/>
  <c r="BD41" i="13"/>
  <c r="BD47" i="13" s="1"/>
  <c r="BD25" i="13"/>
  <c r="BC27" i="13"/>
  <c r="BC51" i="13"/>
  <c r="BD30" i="36"/>
  <c r="BC32" i="36"/>
  <c r="M11" i="9"/>
  <c r="BC37" i="38"/>
  <c r="BD35" i="38"/>
  <c r="BD35" i="35"/>
  <c r="BC37" i="35"/>
  <c r="BC37" i="39"/>
  <c r="BD35" i="39"/>
  <c r="BD32" i="35"/>
  <c r="BE30" i="35"/>
  <c r="BE32" i="35" s="1"/>
  <c r="M10" i="9"/>
  <c r="BC37" i="36"/>
  <c r="BD35" i="36"/>
  <c r="BC24" i="38"/>
  <c r="BB50" i="38"/>
  <c r="E50" i="35"/>
  <c r="BC24" i="36"/>
  <c r="BB50" i="36"/>
  <c r="BE24" i="34" l="1"/>
  <c r="BE50" i="34" s="1"/>
  <c r="BD50" i="34"/>
  <c r="BE30" i="33"/>
  <c r="BE32" i="33" s="1"/>
  <c r="BD32" i="33"/>
  <c r="BE24" i="32"/>
  <c r="BE50" i="32" s="1"/>
  <c r="BD50" i="32"/>
  <c r="BD24" i="31"/>
  <c r="BC50" i="31"/>
  <c r="BE24" i="30"/>
  <c r="BE50" i="30" s="1"/>
  <c r="BD50" i="30"/>
  <c r="BE27" i="30"/>
  <c r="BE51" i="30"/>
  <c r="E51" i="30" s="1"/>
  <c r="N7" i="9" s="1"/>
  <c r="BE25" i="13"/>
  <c r="BD27" i="13"/>
  <c r="BD51" i="13"/>
  <c r="BE37" i="13"/>
  <c r="BE41" i="13"/>
  <c r="BE47" i="13" s="1"/>
  <c r="N10" i="9"/>
  <c r="N9" i="9"/>
  <c r="BD32" i="36"/>
  <c r="BE30" i="36"/>
  <c r="BE32" i="36" s="1"/>
  <c r="M9" i="9"/>
  <c r="BE35" i="38"/>
  <c r="BD37" i="38"/>
  <c r="BD37" i="39"/>
  <c r="BE35" i="39"/>
  <c r="BD37" i="36"/>
  <c r="BE35" i="36"/>
  <c r="BE35" i="35"/>
  <c r="BD37" i="35"/>
  <c r="BC50" i="38"/>
  <c r="BD24" i="38"/>
  <c r="BD24" i="36"/>
  <c r="BC50" i="36"/>
  <c r="E50" i="32" l="1"/>
  <c r="E50" i="34"/>
  <c r="BE24" i="31"/>
  <c r="BE50" i="31" s="1"/>
  <c r="BD50" i="31"/>
  <c r="E50" i="30"/>
  <c r="BE51" i="13"/>
  <c r="E51" i="13" s="1"/>
  <c r="N6" i="9" s="1"/>
  <c r="N16" i="9" s="1"/>
  <c r="BE27" i="13"/>
  <c r="BE37" i="36"/>
  <c r="M13" i="9"/>
  <c r="BE37" i="39"/>
  <c r="M15" i="9"/>
  <c r="BE37" i="38"/>
  <c r="M14" i="9"/>
  <c r="M7" i="9"/>
  <c r="M8" i="9"/>
  <c r="BE37" i="35"/>
  <c r="M12" i="9"/>
  <c r="M6" i="9"/>
  <c r="BE24" i="38"/>
  <c r="BE50" i="38" s="1"/>
  <c r="BD50" i="38"/>
  <c r="BE24" i="36"/>
  <c r="BE50" i="36" s="1"/>
  <c r="BD50" i="36"/>
  <c r="E50" i="31" l="1"/>
  <c r="M16" i="9"/>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<sst xmlns="http://schemas.openxmlformats.org/spreadsheetml/2006/main" count="1136" uniqueCount="302">
  <si>
    <t>#</t>
  </si>
  <si>
    <t>Portfolio</t>
  </si>
  <si>
    <t>Contact</t>
  </si>
  <si>
    <t>Company</t>
  </si>
  <si>
    <t>Initiative</t>
  </si>
  <si>
    <t>Last Qtr Status</t>
  </si>
  <si>
    <t>Status</t>
  </si>
  <si>
    <t>Strategic Value Level</t>
  </si>
  <si>
    <t>Business Problem Solved</t>
  </si>
  <si>
    <t>Ratio Impacted</t>
  </si>
  <si>
    <t>KPI Metric</t>
  </si>
  <si>
    <t>Financial Target</t>
  </si>
  <si>
    <t>Financial Actual</t>
  </si>
  <si>
    <t>Strategic Value Pts</t>
  </si>
  <si>
    <t>Status Weight</t>
  </si>
  <si>
    <t>Progress Value</t>
  </si>
  <si>
    <t>Total Score</t>
  </si>
  <si>
    <t>Sample</t>
  </si>
  <si>
    <t>TOTAL FINANCIAL</t>
  </si>
  <si>
    <t>TOTAL AI SCORE FOR BU</t>
  </si>
  <si>
    <t>Complete all sections in yellow</t>
  </si>
  <si>
    <t>Cells in this color are free form text</t>
  </si>
  <si>
    <t>Cells in this color are limited to the drop down values provided</t>
  </si>
  <si>
    <t>This is a sample and can be deleted.</t>
  </si>
  <si>
    <t>Inout all values in $'000s</t>
  </si>
  <si>
    <t>PROJECT</t>
  </si>
  <si>
    <t>Support ticket triage for password resets (SAMPLE)</t>
  </si>
  <si>
    <t>Strategic Value</t>
  </si>
  <si>
    <t>Stage Multiplier (today)</t>
  </si>
  <si>
    <t>Current Qtr</t>
  </si>
  <si>
    <t>Description (Use Case)</t>
  </si>
  <si>
    <t>Enables registered customers to quickly gain access to the code key needed to add a new computer or user to their product.  Will ensure that our service records are updated so that next billing cycle increments to match actually users.</t>
  </si>
  <si>
    <t>Stage Last Quarter</t>
  </si>
  <si>
    <t>PROJECT SCORE</t>
  </si>
  <si>
    <t>Category</t>
  </si>
  <si>
    <t>L3.  AI-powered internal business process improvements</t>
  </si>
  <si>
    <t>Maintenance</t>
  </si>
  <si>
    <t>Examples</t>
  </si>
  <si>
    <t>Stage</t>
  </si>
  <si>
    <t>Tasks</t>
  </si>
  <si>
    <t>Target</t>
  </si>
  <si>
    <t>Completed</t>
  </si>
  <si>
    <t>Days to Target</t>
  </si>
  <si>
    <t>Notes</t>
  </si>
  <si>
    <t>Idea</t>
  </si>
  <si>
    <t>Project Defined</t>
  </si>
  <si>
    <t>PROJECT RESOURCES</t>
  </si>
  <si>
    <t>KEY PERFORMANCE INDICATORS / MEASURES OF SUCCESS</t>
  </si>
  <si>
    <t>Business Case approved</t>
  </si>
  <si>
    <t>AI Tools &amp; Services</t>
  </si>
  <si>
    <t>Resources Allocated</t>
  </si>
  <si>
    <t>OrbitAI combined with IRIS AI.</t>
  </si>
  <si>
    <t>KPI</t>
  </si>
  <si>
    <t>Employee AI Tool Adoption Rate</t>
  </si>
  <si>
    <t>Customer Satisfaction Scores (CSAT, NPS)</t>
  </si>
  <si>
    <t>Cost Savings</t>
  </si>
  <si>
    <t>Develop</t>
  </si>
  <si>
    <t>Technical PoC validated</t>
  </si>
  <si>
    <t>How does this Project support this KPI?</t>
  </si>
  <si>
    <t>Dev roadmap documented</t>
  </si>
  <si>
    <t>The solution will enable customer support resources to concentrate their time to work on more complex problems which will driver more job satisfaction.</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</si>
  <si>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</si>
  <si>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</si>
  <si>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Coding started</t>
  </si>
  <si>
    <t>Pilot</t>
  </si>
  <si>
    <t>Deployment to beta</t>
  </si>
  <si>
    <t>jamie.collingwood@pyxissoftware.com</t>
  </si>
  <si>
    <t>Initial metrics/feedback</t>
  </si>
  <si>
    <t>Prod Mgr</t>
  </si>
  <si>
    <t>Jamie Collingwood</t>
  </si>
  <si>
    <t>How will you measure the KPI?</t>
  </si>
  <si>
    <t>Feedback affecting code</t>
  </si>
  <si>
    <t>Analyst</t>
  </si>
  <si>
    <t>Chase Winston</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</si>
  <si>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</si>
  <si>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</si>
  <si>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Ticket count satisfactorily closed by Agent / Rep  will be measures alongside the ticket count / costs to identify if the two are closely correlated. MR to increase from 5.2 to 7 by Q2 2026, equivelent to $250,000 OPEX saving.</t>
  </si>
  <si>
    <t>Live</t>
  </si>
  <si>
    <t>General release available</t>
  </si>
  <si>
    <t>Tech Lead</t>
  </si>
  <si>
    <t>Jim Peltier</t>
  </si>
  <si>
    <t>Success metrics tracking</t>
  </si>
  <si>
    <t>Exec</t>
  </si>
  <si>
    <t>Sandy Crutcher</t>
  </si>
  <si>
    <t>Feedback loop continuing</t>
  </si>
  <si>
    <t>WEEKLY KPI TRACKER</t>
  </si>
  <si>
    <t>Week Ending</t>
  </si>
  <si>
    <t>Actual</t>
  </si>
  <si>
    <t>Delta</t>
  </si>
  <si>
    <t>Notes on this KPI (anything to add this week?)</t>
  </si>
  <si>
    <t>Revenue Target</t>
  </si>
  <si>
    <t>Revenue Actual</t>
  </si>
  <si>
    <t>Cost Target</t>
  </si>
  <si>
    <t>Cost Actual</t>
  </si>
  <si>
    <t>To Date</t>
  </si>
  <si>
    <t>Current Financial Target</t>
  </si>
  <si>
    <t>Current Financial Actual</t>
  </si>
  <si>
    <t>Time Savings / Resolution Time Reduction</t>
  </si>
  <si>
    <t>ed.leisman@pyxissoftware.com</t>
  </si>
  <si>
    <t>KPI Baselines TBD</t>
  </si>
  <si>
    <t>L2.  Sophisticated AI tooling for development/operations but generally limited to a single department or workflow</t>
  </si>
  <si>
    <t>R&amp;D</t>
  </si>
  <si>
    <t>Automation Rate</t>
  </si>
  <si>
    <t>Process Cycle Time Reduction</t>
  </si>
  <si>
    <t>Natural Language Dashboards</t>
  </si>
  <si>
    <t xml:space="preserve">(Orbit Flow) Analytics enabling customers to better capitalize on business opportunity. </t>
  </si>
  <si>
    <t>L5.  Entirely new product capabilities powered by AI</t>
  </si>
  <si>
    <t>Orbit Framework
Claude Code</t>
  </si>
  <si>
    <t>New AI-enabled Products/Features</t>
  </si>
  <si>
    <t>Successful Adaptation to New Use Cases</t>
  </si>
  <si>
    <t>Conversion Rates from AI-powered features</t>
  </si>
  <si>
    <t>Delivers a net-new AI capability that does not exist in our product today, enhancing customer value and market positioning.</t>
  </si>
  <si>
    <t>Delivers adaptable AI capabilities that scale to new use cases and functions, strengthening our competitive position.</t>
  </si>
  <si>
    <t>Uses AI-driven insights and recommendations to drive higher-value customer actions and improve business outcomes.</t>
  </si>
  <si>
    <t>Feature activation rate (% of eligible users who begin using this feature).
Target: ≥50% activation within 90 days of launch.</t>
  </si>
  <si>
    <t>Time required to expand this feature to a new use case.
Target: ≤10 days to deliver the first expansion use case.</t>
  </si>
  <si>
    <t>Conversion rate lift attributable to this feature vs. pre-launch baseline.
Target: 10–20% uplift within 6–12 months.</t>
  </si>
  <si>
    <t>Claude Code Implementation</t>
  </si>
  <si>
    <t>Claude Code solves the problem of slow, error-prone development cycles by automating coding and debugging, accelerating delivery timelines, reducing costs, and improving overall developer efficiency and output quality.</t>
  </si>
  <si>
    <t>Claude Code</t>
  </si>
  <si>
    <t>Employee Productivity Gains</t>
  </si>
  <si>
    <t>Embeds Claude Code into the engineering workflow to increase daily AI-assisted development and code acceleration.</t>
  </si>
  <si>
    <t>Reduces time spent on coding, debugging, and reviews by using Claude Code to accelerate development tasks.</t>
  </si>
  <si>
    <t>Improves developer efficiency and output quality through AI-assisted coding, leading to higher productivity per engineer.</t>
  </si>
  <si>
    <t>Ed Leisman</t>
  </si>
  <si>
    <t>% of R&amp;D team actively using Claude Code weekly.
Target: ≥75% weekly active use within 90 days.</t>
  </si>
  <si>
    <t>Average time saved per task vs. baseline.
Target: ≥30% reduction in time to complete common dev tasks within 6 months.</t>
  </si>
  <si>
    <t>Increase in completed story points or tasks per developer.
Target: 15–25% gain in output within 6 months.</t>
  </si>
  <si>
    <t>L4.  Using AI to enhance existing customer-facing products</t>
  </si>
  <si>
    <t>Throughput</t>
  </si>
  <si>
    <t>Revenue Growth from AI-enhanced products</t>
  </si>
  <si>
    <t>S&amp;M</t>
  </si>
  <si>
    <t>Definition</t>
  </si>
  <si>
    <t>Value</t>
  </si>
  <si>
    <t>Definition2</t>
  </si>
  <si>
    <t>Assessment Criteria 2</t>
  </si>
  <si>
    <t>Assessment Criteria 3</t>
  </si>
  <si>
    <t>Assessment Criteria 4</t>
  </si>
  <si>
    <t>KPI LISt</t>
  </si>
  <si>
    <t>Status Progress</t>
  </si>
  <si>
    <t>Weight</t>
  </si>
  <si>
    <t>Score</t>
  </si>
  <si>
    <t>Multiplier</t>
  </si>
  <si>
    <t>Month</t>
  </si>
  <si>
    <t>Qtr</t>
  </si>
  <si>
    <t>Previous Quarter</t>
  </si>
  <si>
    <t>Start</t>
  </si>
  <si>
    <t>End</t>
  </si>
  <si>
    <t>KPI Categories</t>
  </si>
  <si>
    <t>L1. Using external AI tools for basic internal productivity</t>
  </si>
  <si>
    <t>Simple Tool</t>
  </si>
  <si>
    <t xml:space="preserve">ChatGPT for content, Co-Pilot for drafting emails, AI meeting summaries </t>
  </si>
  <si>
    <t>Adoption Rate</t>
  </si>
  <si>
    <t>Productivity Gains</t>
  </si>
  <si>
    <t>Select the primary KPI (Jonas Library)</t>
  </si>
  <si>
    <t>Dev</t>
  </si>
  <si>
    <t>Not Def</t>
  </si>
  <si>
    <t>2025-7</t>
  </si>
  <si>
    <t>2025-Q3</t>
  </si>
  <si>
    <t>Business Impact</t>
  </si>
  <si>
    <t>Complex Tool</t>
  </si>
  <si>
    <t>AI-powered code review, automated testing, advanced development environments</t>
  </si>
  <si>
    <t>Integration Depth</t>
  </si>
  <si>
    <t>Process Improvement</t>
  </si>
  <si>
    <t>Skills Development</t>
  </si>
  <si>
    <t>AI Literacy Initiatives Completion Rate</t>
  </si>
  <si>
    <t>2025-8</t>
  </si>
  <si>
    <t>2025-Q4</t>
  </si>
  <si>
    <t>Data Readiness &amp; Governance</t>
  </si>
  <si>
    <t>Internal Process</t>
  </si>
  <si>
    <t>Automated customer support triage, intelligent lead scoring, predictive maintenance, churn analysis, scheduling</t>
  </si>
  <si>
    <t>Employee Satisfaction</t>
  </si>
  <si>
    <t>Audit Frequency and Results</t>
  </si>
  <si>
    <t>2025-9</t>
  </si>
  <si>
    <t>2026-Q1</t>
  </si>
  <si>
    <t>Innovation &amp; Scalability</t>
  </si>
  <si>
    <t>Customer Feature - Existing</t>
  </si>
  <si>
    <t>Smart data analysis in existing dashboards, intelligent recommendations, automated report generation</t>
  </si>
  <si>
    <t>Customer Adoption</t>
  </si>
  <si>
    <t>Usage Metrics</t>
  </si>
  <si>
    <t>Revenue Impact</t>
  </si>
  <si>
    <t>Not Defined</t>
  </si>
  <si>
    <t>2025-10</t>
  </si>
  <si>
    <t>2026-Q2</t>
  </si>
  <si>
    <t>Operational Efficiency</t>
  </si>
  <si>
    <t>PS</t>
  </si>
  <si>
    <t>Customer Feature - New</t>
  </si>
  <si>
    <t>Predictive analytics modules, AI-powered workflow automation, intelligent decision support systems</t>
  </si>
  <si>
    <t>Market Differentiation</t>
  </si>
  <si>
    <t>Competitive Advantage</t>
  </si>
  <si>
    <t>Consistency Scores</t>
  </si>
  <si>
    <t>2025-11</t>
  </si>
  <si>
    <t>2026-Q3</t>
  </si>
  <si>
    <t>Risk &amp; Governance</t>
  </si>
  <si>
    <t>G&amp;A</t>
  </si>
  <si>
    <t>2025-12</t>
  </si>
  <si>
    <t>2026-Q4</t>
  </si>
  <si>
    <t>Talent &amp; Culture Readiness</t>
  </si>
  <si>
    <t>M&amp;A</t>
  </si>
  <si>
    <t>2026-1</t>
  </si>
  <si>
    <t>2026-2</t>
  </si>
  <si>
    <t>Data Accessibility (Time to Data Access)</t>
  </si>
  <si>
    <t>2026-3</t>
  </si>
  <si>
    <t>Data Quality Score (Valid-data ratio)</t>
  </si>
  <si>
    <t>2026-4</t>
  </si>
  <si>
    <t>2026-5</t>
  </si>
  <si>
    <t>2026-6</t>
  </si>
  <si>
    <t>Error Rate Reduction</t>
  </si>
  <si>
    <t>2026-7</t>
  </si>
  <si>
    <t>Ethical Standards Adherence</t>
  </si>
  <si>
    <t>2026-8</t>
  </si>
  <si>
    <t>Hallucination Detection Rate</t>
  </si>
  <si>
    <t>2026-9</t>
  </si>
  <si>
    <t>Improvement in Decision-Making Speed</t>
  </si>
  <si>
    <t>2026-10</t>
  </si>
  <si>
    <t>Market Share Expansion / New Market Entry</t>
  </si>
  <si>
    <t>2026-11</t>
  </si>
  <si>
    <t>Metadata Management Maturity</t>
  </si>
  <si>
    <t>2026-12</t>
  </si>
  <si>
    <t>Performance under Increased Load</t>
  </si>
  <si>
    <t>Regulatory Compliance Rate (Data Privacy)</t>
  </si>
  <si>
    <t>Time-to-Market Reduction</t>
  </si>
  <si>
    <t>KPI Category</t>
  </si>
  <si>
    <t>KPI Name</t>
  </si>
  <si>
    <t>Definition/Explanation</t>
  </si>
  <si>
    <t>Example Metric/Calculation</t>
  </si>
  <si>
    <t>Relevance</t>
  </si>
  <si>
    <t>Isolates the impact of AI-enabled strategies on revenue.</t>
  </si>
  <si>
    <t>% increase in revenue from AI-powered features</t>
  </si>
  <si>
    <t>Long-term, Strategic</t>
  </si>
  <si>
    <t>Quantifies financial benefits from AI-driven reductions in labor, resources, and time.</t>
  </si>
  <si>
    <t>"45 hours per week returned to team" 5, $X reduction in operational costs</t>
  </si>
  <si>
    <t>Short-term, Operational, Financial</t>
  </si>
  <si>
    <t>Measures AI's positive impact on user needs and product offerings.</t>
  </si>
  <si>
    <t>Comparison of before/after CSAT/NPS scores</t>
  </si>
  <si>
    <t>Short-term, Long-term, Customer Experience</t>
  </si>
  <si>
    <t>Time needed to complete tasks or resolve issues after AI implementation vs. before.</t>
  </si>
  <si>
    <t>"Customer issues resolved 40% faster month-over-month" 5</t>
  </si>
  <si>
    <t>Short-term, Operational</t>
  </si>
  <si>
    <t>Measures AI's facilitation of market growth or entry into new segments.</t>
  </si>
  <si>
    <t>Market penetration rates in new segments (%) 5</t>
  </si>
  <si>
    <t>Percentage of users completing a desired action via AI features.</t>
  </si>
  <si>
    <t>% increase in conversion rates</t>
  </si>
  <si>
    <t>Short-term, Strategic</t>
  </si>
  <si>
    <t>Measures improvement in process performance and cycle times due to AI.</t>
  </si>
  <si>
    <t>% reduction in cycle time for key processes</t>
  </si>
  <si>
    <t>Degree to which manual tasks are automated using AI-powered systems.</t>
  </si>
  <si>
    <t>"200 customer inquiries handled by AI per day" 5</t>
  </si>
  <si>
    <t>Number of requests or tasks an AI system processes within a given timeframe.</t>
  </si>
  <si>
    <t>X requests per minute/hour</t>
  </si>
  <si>
    <t>Percentage decrease in incorrect or invalid model outputs.</t>
  </si>
  <si>
    <t>% reduction in errors (e.g., defect detection rate) 3</t>
  </si>
  <si>
    <t>Short-term, Operational, Quality</t>
  </si>
  <si>
    <t>How quickly a team can make decisions with AI assistance.</t>
  </si>
  <si>
    <t>% faster decision speed</t>
  </si>
  <si>
    <t>Percentage of eligible employees actively using AI tools.</t>
  </si>
  <si>
    <t>"75% of eligible employees actively using AI tools weekly" 5</t>
  </si>
  <si>
    <t>Short-term, Cultural, Operational</t>
  </si>
  <si>
    <t>Percentage of workforce completing AI training programs.</t>
  </si>
  <si>
    <t>% of workforce trained in AI fundamentals</t>
  </si>
  <si>
    <t>Long-term, Cultural</t>
  </si>
  <si>
    <t>Output per employee before and after AI implementation.</t>
  </si>
  <si>
    <t>% increase in output per employee</t>
  </si>
  <si>
    <t>Short-term, Operational, Human Impact</t>
  </si>
  <si>
    <t>Percentage of data points meeting defined quality criteria.</t>
  </si>
  <si>
    <t>% of data points meeting quality standards</t>
  </si>
  <si>
    <t>Foundational, Ongoing</t>
  </si>
  <si>
    <t>Duration required to locate and access needed information.</t>
  </si>
  <si>
    <t>Hours/minutes to access specific datasets</t>
  </si>
  <si>
    <t>Foundational, Operational</t>
  </si>
  <si>
    <t>Percentage of AI processes/outputs adhering to legal/ethical data standards.</t>
  </si>
  <si>
    <t>% adherence to GDPR, CCPA, AI Act</t>
  </si>
  <si>
    <t>Foundational, Risk, Governance</t>
  </si>
  <si>
    <t>Effectiveness of practices for data discovery, understanding, and utilization.</t>
  </si>
  <si>
    <t>Score on a 1-5 scale for metadata completeness/accuracy</t>
  </si>
  <si>
    <t>Foundational, Governance</t>
  </si>
  <si>
    <t>Count of new products or features directly attributed to AI.</t>
  </si>
  <si>
    <t>Number of new AI-driven features launched</t>
  </si>
  <si>
    <t>Long-term, Strategic, Innovation</t>
  </si>
  <si>
    <t>Acceleration of product development cycles with AI.</t>
  </si>
  <si>
    <t>% reduction in time-to-market for new offerings</t>
  </si>
  <si>
    <t>AI solution's performance (e.g., response time) under higher usage volumes.</t>
  </si>
  <si>
    <t>Response time at 2x, 5x, 10x normal usage 5</t>
  </si>
  <si>
    <t>Long-term, Operational, Scalability</t>
  </si>
  <si>
    <t>Percentage of attempted AI adaptations to new use cases that succeed.</t>
  </si>
  <si>
    <t>% of successful new use case adaptations 5</t>
  </si>
  <si>
    <t>Long-term, Strategic, Scalability</t>
  </si>
  <si>
    <t>Measures AI model's fairness, transparency, accountability, and responsible use.</t>
  </si>
  <si>
    <t>Score based on ethical guideline compliance (e.g., bias detection, demographic parity) 3</t>
  </si>
  <si>
    <t>Ongoing, Risk, Governance</t>
  </si>
  <si>
    <t>How often AI audits are conducted and thoroughness of system examinations.</t>
  </si>
  <si>
    <t>Number of audits per quarter, audit findings resolution rate</t>
  </si>
  <si>
    <t>For generative AI, measures the frequency of AI creating incorrect information.</t>
  </si>
  <si>
    <t>% of detected hallucinations 19</t>
  </si>
  <si>
    <t>Ongoing, Risk, Quality</t>
  </si>
  <si>
    <t>Measures consistent responses to similar inputs for AI models.</t>
  </si>
  <si>
    <t>Statistical variance in responses to varied queries 19</t>
  </si>
  <si>
    <t>Ongoing, Quality, Reliability</t>
  </si>
  <si>
    <t>LilyPad</t>
  </si>
  <si>
    <t>AJ Huey</t>
  </si>
  <si>
    <t>Arthur Souza</t>
  </si>
  <si>
    <t>Jason Stroud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</si>
</sst>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44" formatCode="_(&quot;$&quot;* #,##0.00_);_(&quot;$&quot;* \(#,##0.00\);_(&quot;$&quot;* &quot;-&quot;??_);_(@_)"/>
    <numFmt numFmtId="164" formatCode="_-* #,##0.00_-;\-* #,##0.00_-;_-* &quot;-&quot;??_-;_-@_-"/>
    <numFmt numFmtId="165" formatCode="_-* #,##0_-;\-* #,##0_-;_-* &quot;-&quot;??_-;_-@_-"/>
    <numFmt numFmtId="166" formatCode="mmm\ dd\ yyyy"/>
    <numFmt numFmtId="167" formatCode="mmm\-dd"/>
    <numFmt numFmtId="168" formatCode="_-* #,##0.0_-;\-* #,##0.0_-;_-* &quot;-&quot;??_-;_-@_-"/>
    <numFmt numFmtId="169" formatCode="yyyy\-\q\q"/>
    <numFmt numFmtId="170" formatCode="0.0"/>
    <numFmt numFmtId="171" formatCode="_(* #,##0.0_);_(* \(#,##0.0\);_(* &quot;-&quot;?_);_(@_)"/>
  </numFmts>
  <fonts count="29">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
      <sz val="11"/>
      <color rgb="FF242424"/>
      <name val="Aptos Narrow"/>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8">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164"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cellStyleXfs>
  <cellXfs count="171">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69"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7" fontId="13" fillId="13" borderId="8" xfId="0" applyNumberFormat="1" applyFont="1" applyFill="1" applyBorder="1" applyAlignment="1" applyProtection="1">
      <alignment horizontal="center" vertical="center" textRotation="90" readingOrder="1"/>
      <protection locked="0"/>
    </xf>
    <xf numFmtId="167"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5" fontId="9" fillId="0" borderId="9" xfId="3" applyNumberFormat="1" applyFont="1" applyBorder="1" applyAlignment="1">
      <alignment horizontal="right" vertical="top"/>
    </xf>
    <xf numFmtId="170" fontId="9" fillId="0" borderId="0" xfId="0" applyNumberFormat="1" applyFont="1"/>
    <xf numFmtId="165" fontId="9" fillId="0" borderId="0" xfId="1" applyNumberFormat="1" applyFont="1"/>
    <xf numFmtId="171"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5"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5"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5"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5" borderId="9" xfId="0" applyFont="1" applyFill="1" applyBorder="1" applyAlignment="1">
      <alignment horizontal="left" vertical="center" indent="1"/>
    </xf>
    <xf numFmtId="0" fontId="11" fillId="2" borderId="9" xfId="0" applyFont="1" applyFill="1" applyBorder="1" applyAlignment="1">
      <alignment horizontal="left" vertical="center" wrapText="1" indent="1" readingOrder="1"/>
    </xf>
    <xf numFmtId="0" fontId="27" fillId="13" borderId="9" xfId="0" applyFont="1" applyFill="1" applyBorder="1" applyAlignment="1" applyProtection="1">
      <alignment horizontal="left" vertical="top" indent="1"/>
      <protection locked="0"/>
    </xf>
    <xf numFmtId="14" fontId="9" fillId="13" borderId="9" xfId="0" applyNumberFormat="1" applyFont="1" applyFill="1" applyBorder="1" applyAlignment="1" applyProtection="1">
      <alignment horizontal="center" vertical="center"/>
      <protection locked="0"/>
    </xf>
    <xf numFmtId="164" fontId="9" fillId="0" borderId="9" xfId="1" applyFont="1" applyBorder="1" applyAlignment="1">
      <alignment horizontal="left" vertical="center" indent="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2" fillId="4" borderId="9" xfId="0" applyFont="1" applyFill="1" applyBorder="1" applyAlignment="1">
      <alignment horizontal="left" vertical="center" indent="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7" fillId="3" borderId="0" xfId="0" applyFont="1" applyFill="1" applyAlignment="1">
      <alignment horizontal="center" vertical="center" wrapText="1" readingOrder="1"/>
    </xf>
    <xf numFmtId="0" fontId="13" fillId="7" borderId="9" xfId="0" applyFont="1" applyFill="1" applyBorder="1" applyAlignment="1">
      <alignment horizontal="left" vertical="center" indent="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165" fontId="9" fillId="10" borderId="11" xfId="1" applyNumberFormat="1" applyFont="1" applyFill="1" applyBorder="1" applyAlignment="1">
      <alignment horizontal="center" vertical="center"/>
    </xf>
    <xf numFmtId="165" fontId="9" fillId="10" borderId="12" xfId="1" applyNumberFormat="1" applyFont="1" applyFill="1" applyBorder="1" applyAlignment="1">
      <alignment horizontal="center" vertical="center"/>
    </xf>
    <xf numFmtId="165" fontId="9" fillId="10" borderId="13" xfId="1" applyNumberFormat="1" applyFont="1" applyFill="1" applyBorder="1" applyAlignment="1">
      <alignment horizontal="center" vertical="center"/>
    </xf>
    <xf numFmtId="168" fontId="9" fillId="10" borderId="9" xfId="1" applyNumberFormat="1" applyFont="1" applyFill="1" applyBorder="1" applyAlignment="1">
      <alignment horizontal="center" vertical="center"/>
    </xf>
    <xf numFmtId="164" fontId="18" fillId="10" borderId="9" xfId="1" applyFont="1" applyFill="1" applyBorder="1" applyAlignment="1">
      <alignment horizontal="center" vertical="center" wrapText="1" readingOrder="1"/>
    </xf>
    <xf numFmtId="0" fontId="11" fillId="2" borderId="9" xfId="0"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9" fillId="5" borderId="9" xfId="0" applyFont="1" applyFill="1" applyBorder="1" applyAlignment="1">
      <alignment horizontal="left" vertical="center" wrapText="1" indent="1"/>
    </xf>
    <xf numFmtId="166" fontId="11" fillId="2" borderId="19" xfId="0" applyNumberFormat="1" applyFont="1" applyFill="1" applyBorder="1" applyAlignment="1">
      <alignment horizontal="center" vertical="center" wrapText="1" readingOrder="1"/>
    </xf>
    <xf numFmtId="166" fontId="11" fillId="2" borderId="20" xfId="0" applyNumberFormat="1" applyFont="1" applyFill="1" applyBorder="1" applyAlignment="1">
      <alignment horizontal="center" vertical="center" wrapText="1" readingOrder="1"/>
    </xf>
    <xf numFmtId="166" fontId="11" fillId="2" borderId="21" xfId="0" applyNumberFormat="1" applyFont="1" applyFill="1" applyBorder="1" applyAlignment="1">
      <alignment horizontal="center" vertical="center" wrapTex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8" fillId="13" borderId="13" xfId="4" applyFill="1" applyBorder="1" applyAlignment="1" applyProtection="1">
      <alignment horizontal="left" vertical="center" indent="1"/>
      <protection locked="0"/>
    </xf>
    <xf numFmtId="3" fontId="28" fillId="13" borderId="15" xfId="0" applyNumberFormat="1" applyFont="1" applyFill="1" applyBorder="1" applyAlignment="1" applyProtection="1">
      <alignment horizontal="left" vertical="center" indent="1" readingOrder="1"/>
      <protection locked="0"/>
    </xf>
    <xf numFmtId="0" fontId="21" fillId="13" borderId="11" xfId="4" applyFont="1" applyFill="1" applyBorder="1" applyAlignment="1" applyProtection="1">
      <alignment horizontal="left" vertical="center"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128">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127"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29">
    <sortCondition ref="J3:J29"/>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126">
  <autoFilter ref="B3:H8" xr:uid="{35406839-1AFA-42DD-8281-ADAA993B2AF7}"/>
  <sortState xmlns:xlrd2="http://schemas.microsoft.com/office/spreadsheetml/2017/richdata2" ref="B4:H8">
    <sortCondition ref="C3:C8"/>
  </sortState>
  <tableColumns count="7">
    <tableColumn id="1" xr3:uid="{20C2A0F0-3E92-4982-AB26-5C56C2912149}" name="Definition" dataDxfId="125"/>
    <tableColumn id="2" xr3:uid="{D5812158-3075-4D7E-B373-785C73B6D29E}" name="Value" dataDxfId="124"/>
    <tableColumn id="3" xr3:uid="{3B20F67B-DAD0-4959-9D2E-1B58CF2952C0}" name="Definition2" dataDxfId="123"/>
    <tableColumn id="4" xr3:uid="{BE61F64B-9260-42DD-9045-F03A822A0998}" name="Examples" dataDxfId="122"/>
    <tableColumn id="6" xr3:uid="{0D4F1E26-F1BA-44BB-942B-4DE3DE6499F5}" name="Assessment Criteria 2" dataDxfId="121"/>
    <tableColumn id="7" xr3:uid="{812876E9-CD08-4641-A3A7-931DA6FD7B33}" name="Assessment Criteria 3" dataDxfId="120"/>
    <tableColumn id="8" xr3:uid="{9444582A-9B58-420A-AD83-AD1EDB99051D}" name="Assessment Criteria 4" dataDxfId="1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ed.leisman@pyxissoftwar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ed.leisman@pyxissoftware.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tabSelected="1" zoomScaleNormal="100" workbookViewId="0">
      <selection activeCell="B3" sqref="B3"/>
    </sheetView>
  </sheetViews>
  <sheetFormatPr baseColWidth="10" defaultColWidth="9" defaultRowHeight="15"/>
  <cols>
    <col min="1" max="1" width="3.5" style="12" customWidth="1"/>
    <col min="2" max="2" width="6" style="12" customWidth="1"/>
    <col min="3" max="3" width="12.33203125" style="12" customWidth="1"/>
    <col min="4" max="4" width="37.5" style="12" customWidth="1"/>
    <col min="5" max="5" width="20.1640625" style="12" bestFit="1" customWidth="1"/>
    <col min="6" max="6" width="25" style="12" customWidth="1"/>
    <col min="7" max="7" width="16.5" style="12" customWidth="1"/>
    <col min="8" max="8" width="9.5" style="12" customWidth="1"/>
    <col min="9" max="9" width="24" style="12" bestFit="1" customWidth="1"/>
    <col min="10" max="10" width="44.6640625" style="12" customWidth="1"/>
    <col min="11" max="11" width="16.83203125" style="12" customWidth="1"/>
    <col min="12" max="12" width="40.5" style="12" customWidth="1"/>
    <col min="13" max="13" width="14.1640625" style="12" bestFit="1" customWidth="1"/>
    <col min="14" max="18" width="11.1640625" style="12" customWidth="1"/>
    <col min="19" max="16384" width="9" style="12"/>
  </cols>
  <sheetData>
    <row r="2" spans="2:18" ht="28" customHeight="1">
      <c r="B2" s="71" t="s">
        <v>298</v>
      </c>
      <c r="C2" s="72"/>
      <c r="D2" s="73"/>
    </row>
    <row r="3" spans="2:18" ht="16" thickBot="1"/>
    <row r="4" spans="2:18" ht="38.25" customHeight="1" thickBot="1">
      <c r="B4" s="35" t="s">
        <v>0</v>
      </c>
      <c r="C4" s="35" t="s">
        <v>1</v>
      </c>
      <c r="D4" s="35" t="s">
        <v>2</v>
      </c>
      <c r="E4" s="35" t="s">
        <v>3</v>
      </c>
      <c r="F4" s="35" t="s">
        <v>4</v>
      </c>
      <c r="G4" s="35" t="s">
        <v>5</v>
      </c>
      <c r="H4" s="35" t="s">
        <v>6</v>
      </c>
      <c r="I4" s="35" t="s">
        <v>7</v>
      </c>
      <c r="J4" s="35" t="s">
        <v>8</v>
      </c>
      <c r="K4" s="35" t="s">
        <v>9</v>
      </c>
      <c r="L4" s="35" t="s">
        <v>10</v>
      </c>
      <c r="M4" s="35" t="s">
        <v>11</v>
      </c>
      <c r="N4" s="35" t="s">
        <v>12</v>
      </c>
      <c r="O4" s="35" t="s">
        <v>13</v>
      </c>
      <c r="P4" s="35" t="s">
        <v>14</v>
      </c>
      <c r="Q4" s="35" t="s">
        <v>15</v>
      </c>
      <c r="R4" s="35" t="s">
        <v>16</v>
      </c>
    </row>
    <row r="5" spans="2:18" s="22" customFormat="1" ht="81" thickBot="1">
      <c r="B5" s="52" t="s">
        <v>17</v>
      </c>
      <c r="C5" s="53" t="str">
        <f>IF(F5="","","PYXiS")</f>
        <v>PYXiS</v>
      </c>
      <c r="D5" s="53" t="str">
        <f>IF(F5="","",Sample!$C$17)</f>
        <v>jamie.collingwood@pyxissoftware.com</v>
      </c>
      <c r="E5" s="53" t="str">
        <f>IF(D5="","",B$2)</f>
        <v>LilyPad</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50" thickTop="1" thickBot="1">
      <c r="B6" s="57">
        <v>1</v>
      </c>
      <c r="C6" s="58" t="str">
        <f>IF(F6="","","PYXiS")</f>
        <v>PYXiS</v>
      </c>
      <c r="D6" s="58" t="str">
        <f>IF(F6="","",'P1'!$C$17)</f>
        <v>ed.leisman@pyxissoftware.com</v>
      </c>
      <c r="E6" s="58" t="str">
        <f>IF(F6="","",B$2)</f>
        <v>LilyPad</v>
      </c>
      <c r="F6" s="59" t="str">
        <f>IF('P1'!$F$3="","",'P1'!$F$3)</f>
        <v>Natural Language Dashboards</v>
      </c>
      <c r="G6" s="59" t="str">
        <f ca="1">IF(F6="","",'P1'!$AO$5)</f>
        <v>Idea</v>
      </c>
      <c r="H6" s="59" t="str">
        <f ca="1">IF(F6="","",'P1'!$AO$4)</f>
        <v>Dev</v>
      </c>
      <c r="I6" s="59" t="str">
        <f>IF(F6="","",'P1'!$F$8)</f>
        <v>Customer Feature - New</v>
      </c>
      <c r="J6" s="59" t="str">
        <f>IF(F6="","",'P1'!$F$5)</f>
        <v xml:space="preserve">(Orbit Flow) Analytics enabling customers to better capitalize on business opportunity. </v>
      </c>
      <c r="K6" s="59" t="str">
        <f>IF(F6="","",'P1'!$AC$7)</f>
        <v>Maintenance</v>
      </c>
      <c r="L6" s="59" t="str">
        <f>IF(F6="","",'P1'!$G$13)</f>
        <v>New AI-enabled Products/Features</v>
      </c>
      <c r="M6" s="60">
        <f>'P1'!$BE$35*1000</f>
        <v>10000</v>
      </c>
      <c r="N6" s="60">
        <f ca="1">'P1'!$E$51*1000</f>
        <v>0</v>
      </c>
      <c r="O6" s="61">
        <f>'P1'!$AV$3</f>
        <v>200</v>
      </c>
      <c r="P6" s="61">
        <f ca="1">'P1'!$AV$4</f>
        <v>0.4</v>
      </c>
      <c r="Q6" s="61">
        <f ca="1">'P1'!$AV$5</f>
        <v>1.2</v>
      </c>
      <c r="R6" s="62">
        <f ca="1">O6*P6*Q6</f>
        <v>96</v>
      </c>
    </row>
    <row r="7" spans="2:18" s="22" customFormat="1" ht="65" thickBot="1">
      <c r="B7" s="48">
        <v>2</v>
      </c>
      <c r="C7" s="36" t="str">
        <f t="shared" ref="C7:C15" si="0">IF(F7="","","PYXiS")</f>
        <v>PYXiS</v>
      </c>
      <c r="D7" s="36" t="str">
        <f>IF(F7="","",'P2'!$C$17)</f>
        <v>ed.leisman@pyxissoftware.com</v>
      </c>
      <c r="E7" s="36" t="str">
        <f t="shared" ref="E7:E15" si="1">IF(F7="","",B$2)</f>
        <v>LilyPad</v>
      </c>
      <c r="F7" s="37" t="str">
        <f>IF('P2'!$F$3="","",'P2'!$F$3)</f>
        <v>Claude Code Implementation</v>
      </c>
      <c r="G7" s="37" t="str">
        <f ca="1">IF(F7="","",'P2'!$AO$5)</f>
        <v>Not Def</v>
      </c>
      <c r="H7" s="37" t="str">
        <f ca="1">IF(F7="","",'P2'!$AO$4)</f>
        <v>Dev</v>
      </c>
      <c r="I7" s="37" t="str">
        <f>IF(F7="","",'P2'!$F$8)</f>
        <v>Complex Tool</v>
      </c>
      <c r="J7" s="37" t="str">
        <f>IF(F7="","",'P2'!$F$5)</f>
        <v>Claude Code solves the problem of slow, error-prone development cycles by automating coding and debugging, accelerating delivery timelines, reducing costs, and improving overall developer efficiency and output quality.</v>
      </c>
      <c r="K7" s="37" t="str">
        <f>IF(F7="","",'P2'!$AC$7)</f>
        <v>R&amp;D</v>
      </c>
      <c r="L7" s="37" t="str">
        <f>IF(F7="","",'P2'!$G$13)</f>
        <v>Employee AI Tool Adoption Rate</v>
      </c>
      <c r="M7" s="39">
        <f>'P2'!$BE$35*1000</f>
        <v>0</v>
      </c>
      <c r="N7" s="39">
        <f ca="1">'P2'!$E$51*1000</f>
        <v>0</v>
      </c>
      <c r="O7" s="38">
        <f>'P2'!$AV$3</f>
        <v>25</v>
      </c>
      <c r="P7" s="38">
        <f ca="1">'P2'!$AV$4</f>
        <v>0.4</v>
      </c>
      <c r="Q7" s="38">
        <f ca="1">'P2'!$AV$5</f>
        <v>1.2</v>
      </c>
      <c r="R7" s="63">
        <f t="shared" ref="R7:R9" ca="1" si="2">O7*P7*Q7</f>
        <v>12</v>
      </c>
    </row>
    <row r="8" spans="2:18" s="22" customFormat="1" ht="33" thickBot="1">
      <c r="B8" s="48">
        <v>3</v>
      </c>
      <c r="C8" s="36" t="str">
        <f t="shared" si="0"/>
        <v/>
      </c>
      <c r="D8" s="36" t="str">
        <f>IF(F8="","",'P3'!$C$17)</f>
        <v/>
      </c>
      <c r="E8" s="36" t="str">
        <f t="shared" si="1"/>
        <v/>
      </c>
      <c r="F8" s="37" t="str">
        <f>IF('P3'!$F$3="","",'P3'!$F$3)</f>
        <v/>
      </c>
      <c r="G8" s="37" t="str">
        <f>IF(F8="","",'P3'!$AO$5)</f>
        <v/>
      </c>
      <c r="H8" s="37" t="str">
        <f>IF(F8="","",'P3'!$AO$4)</f>
        <v/>
      </c>
      <c r="I8" s="37" t="str">
        <f>IF(F8="","",'P3'!$F$8)</f>
        <v/>
      </c>
      <c r="J8" s="37" t="str">
        <f>IF(F8="","",'P3'!$F$5)</f>
        <v/>
      </c>
      <c r="K8" s="37" t="str">
        <f>IF(F8="","",'P3'!$AC$7)</f>
        <v/>
      </c>
      <c r="L8" s="37" t="str">
        <f>IF(F8="","",'P3'!$G$13)</f>
        <v/>
      </c>
      <c r="M8" s="39">
        <f>'P3'!$BE$35*1000</f>
        <v>0</v>
      </c>
      <c r="N8" s="39">
        <f ca="1">'P3'!$E$51*1000</f>
        <v>0</v>
      </c>
      <c r="O8" s="38">
        <f>'P3'!$AV$3</f>
        <v>0</v>
      </c>
      <c r="P8" s="38">
        <f ca="1">'P3'!$AV$4</f>
        <v>0</v>
      </c>
      <c r="Q8" s="38">
        <f ca="1">'P3'!$AV$5</f>
        <v>0</v>
      </c>
      <c r="R8" s="63">
        <f t="shared" ca="1" si="2"/>
        <v>0</v>
      </c>
    </row>
    <row r="9" spans="2:18" s="22" customFormat="1" ht="81" thickBot="1">
      <c r="B9" s="48">
        <v>4</v>
      </c>
      <c r="C9" s="36" t="str">
        <f t="shared" si="0"/>
        <v/>
      </c>
      <c r="D9" s="36" t="str">
        <f>IF(F9="","",'P4'!$C$17)</f>
        <v/>
      </c>
      <c r="E9" s="36" t="str">
        <f t="shared" si="1"/>
        <v/>
      </c>
      <c r="F9" s="37" t="str">
        <f>IF('P4'!$F$3="","",'P4'!$F$3)</f>
        <v/>
      </c>
      <c r="G9" s="37" t="str">
        <f>IF(F9="","",'P4'!$AO$5)</f>
        <v/>
      </c>
      <c r="H9" s="37" t="str">
        <f>IF(F9="","",'P4'!$AO$4)</f>
        <v/>
      </c>
      <c r="I9" s="37" t="str">
        <f>IF(F9="","",'P4'!$F$8)</f>
        <v/>
      </c>
      <c r="J9" s="37" t="str">
        <f>IF(F9="","",'P4'!$F$5)</f>
        <v/>
      </c>
      <c r="K9" s="37" t="str">
        <f>IF(F9="","",'P4'!$AC$7)</f>
        <v/>
      </c>
      <c r="L9" s="37" t="str">
        <f>IF(F9="","",'P4'!$G$13)</f>
        <v/>
      </c>
      <c r="M9" s="39">
        <f>'P4'!$BE$35*1000</f>
        <v>0</v>
      </c>
      <c r="N9" s="39">
        <f ca="1">'P4'!$E$51*1000</f>
        <v>0</v>
      </c>
      <c r="O9" s="38">
        <f>'P4'!$AV$3</f>
        <v>0</v>
      </c>
      <c r="P9" s="38">
        <f ca="1">'P4'!$AV$4</f>
        <v>0</v>
      </c>
      <c r="Q9" s="38">
        <f ca="1">'P4'!$AV$5</f>
        <v>0</v>
      </c>
      <c r="R9" s="63">
        <f t="shared" ca="1" si="2"/>
        <v>0</v>
      </c>
    </row>
    <row r="10" spans="2:18" s="22" customFormat="1" ht="49" thickBot="1">
      <c r="B10" s="48">
        <v>5</v>
      </c>
      <c r="C10" s="36" t="str">
        <f t="shared" si="0"/>
        <v/>
      </c>
      <c r="D10" s="36" t="str">
        <f>IF(F10="","",'P5'!$C$17)</f>
        <v/>
      </c>
      <c r="E10" s="36" t="str">
        <f t="shared" si="1"/>
        <v/>
      </c>
      <c r="F10" s="37" t="str">
        <f>IF('P5'!$F$3="","",'P5'!$F$3)</f>
        <v/>
      </c>
      <c r="G10" s="37" t="str">
        <f>IF(F10="","",'P5'!$AO$5)</f>
        <v/>
      </c>
      <c r="H10" s="37" t="str">
        <f>IF(F10="","",'P5'!$AO$4)</f>
        <v/>
      </c>
      <c r="I10" s="37" t="str">
        <f>IF(F10="","",'P5'!$F$8)</f>
        <v/>
      </c>
      <c r="J10" s="37" t="str">
        <f>IF(F10="","",'P5'!$F$5)</f>
        <v/>
      </c>
      <c r="K10" s="37" t="str">
        <f>IF(F10="","",'P5'!$AC$7)</f>
        <v/>
      </c>
      <c r="L10" s="37" t="str">
        <f>IF(F10="","",'P5'!$G$13)</f>
        <v/>
      </c>
      <c r="M10" s="39">
        <f>'P5'!$BE$35*1000</f>
        <v>0</v>
      </c>
      <c r="N10" s="39">
        <f ca="1">'P5'!$E$51*1000</f>
        <v>0</v>
      </c>
      <c r="O10" s="38">
        <f>'P5'!$AV$3</f>
        <v>0</v>
      </c>
      <c r="P10" s="38">
        <f ca="1">'P5'!$AV$4</f>
        <v>0</v>
      </c>
      <c r="Q10" s="38">
        <f ca="1">'P5'!$AV$5</f>
        <v>0</v>
      </c>
      <c r="R10" s="63">
        <f ca="1">O10*P47*Q10</f>
        <v>0</v>
      </c>
    </row>
    <row r="11" spans="2:18" s="22" customFormat="1" ht="33" thickBot="1">
      <c r="B11" s="48">
        <v>6</v>
      </c>
      <c r="C11" s="36" t="str">
        <f t="shared" si="0"/>
        <v/>
      </c>
      <c r="D11" s="36" t="str">
        <f>IF(F11="","",'P6'!$C$17)</f>
        <v/>
      </c>
      <c r="E11" s="36" t="str">
        <f t="shared" si="1"/>
        <v/>
      </c>
      <c r="F11" s="37" t="str">
        <f>IF('P6'!$F$3="","",'P6'!$F$3)</f>
        <v/>
      </c>
      <c r="G11" s="37" t="str">
        <f>IF(F11="","",'P6'!$AO$5)</f>
        <v/>
      </c>
      <c r="H11" s="37" t="str">
        <f>IF(F11="","",'P6'!$AO$4)</f>
        <v/>
      </c>
      <c r="I11" s="37" t="str">
        <f>IF(F11="","",'P6'!$F$8)</f>
        <v/>
      </c>
      <c r="J11" s="37" t="str">
        <f>IF(F11="","",'P6'!$F$5)</f>
        <v/>
      </c>
      <c r="K11" s="37" t="str">
        <f>IF(F11="","",'P6'!$AC$7)</f>
        <v/>
      </c>
      <c r="L11" s="37" t="str">
        <f>IF(F11="","",'P6'!$G$13)</f>
        <v/>
      </c>
      <c r="M11" s="39">
        <f>'P6'!$BE$35*1000</f>
        <v>0</v>
      </c>
      <c r="N11" s="39">
        <f ca="1">'P6'!$E$51*1000</f>
        <v>0</v>
      </c>
      <c r="O11" s="38">
        <f>'P6'!$AV$3</f>
        <v>0</v>
      </c>
      <c r="P11" s="38">
        <f ca="1">'P6'!$AV$4</f>
        <v>0</v>
      </c>
      <c r="Q11" s="38">
        <f ca="1">'P6'!$AV$5</f>
        <v>0</v>
      </c>
      <c r="R11" s="63">
        <f ca="1">O11*P58*Q11</f>
        <v>0</v>
      </c>
    </row>
    <row r="12" spans="2:18" s="22" customFormat="1" ht="17" thickBot="1">
      <c r="B12" s="48">
        <v>7</v>
      </c>
      <c r="C12" s="36" t="str">
        <f t="shared" si="0"/>
        <v/>
      </c>
      <c r="D12" s="36" t="str">
        <f>IF(F12="","",'P7'!$C$17)</f>
        <v/>
      </c>
      <c r="E12" s="36" t="str">
        <f t="shared" si="1"/>
        <v/>
      </c>
      <c r="F12" s="37" t="str">
        <f>IF('P7'!$F$3="","",'P7'!$F$3)</f>
        <v/>
      </c>
      <c r="G12" s="37" t="str">
        <f>IF(F12="","",'P7'!$AO$5)</f>
        <v/>
      </c>
      <c r="H12" s="37" t="str">
        <f>IF(F12="","",'P7'!$AO$4)</f>
        <v/>
      </c>
      <c r="I12" s="37" t="str">
        <f>IF(F12="","",'P7'!$F$8)</f>
        <v/>
      </c>
      <c r="J12" s="37" t="str">
        <f>IF(F12="","",'P7'!$F$5)</f>
        <v/>
      </c>
      <c r="K12" s="37" t="str">
        <f>IF(F12="","",'P7'!$AC$7)</f>
        <v/>
      </c>
      <c r="L12" s="37" t="str">
        <f>IF(F12="","",'P7'!$G$13)</f>
        <v/>
      </c>
      <c r="M12" s="39">
        <f>'P7'!$BE$35*1000</f>
        <v>0</v>
      </c>
      <c r="N12" s="39">
        <f ca="1">'P7'!$E$51*1000</f>
        <v>0</v>
      </c>
      <c r="O12" s="38">
        <f>'P7'!$AV$3</f>
        <v>0</v>
      </c>
      <c r="P12" s="38">
        <f ca="1">'P7'!$AV$4</f>
        <v>0</v>
      </c>
      <c r="Q12" s="38">
        <f ca="1">'P7'!$AV$5</f>
        <v>0</v>
      </c>
      <c r="R12" s="63">
        <f ca="1">O12*P69*Q12</f>
        <v>0</v>
      </c>
    </row>
    <row r="13" spans="2:18" s="22" customFormat="1" ht="17" thickBo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ca="1">O13*P80*Q13</f>
        <v>0</v>
      </c>
    </row>
    <row r="14" spans="2:18" s="22" customFormat="1" ht="17" thickBo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ca="1">O14*P91*Q14</f>
        <v>0</v>
      </c>
    </row>
    <row r="15" spans="2:18" s="22" customFormat="1" ht="17" thickBo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ca="1">O15*P102*Q15</f>
        <v>0</v>
      </c>
    </row>
    <row r="16" spans="2:18" s="22" customFormat="1" ht="28.5" customHeight="1" thickTop="1" thickBot="1">
      <c r="B16"/>
      <c r="C16"/>
      <c r="D16"/>
      <c r="E16"/>
      <c r="F16"/>
      <c r="G16"/>
      <c r="H16"/>
      <c r="I16"/>
      <c r="J16"/>
      <c r="K16"/>
      <c r="L16" s="45" t="s">
        <v>18</v>
      </c>
      <c r="M16" s="46">
        <f>SUM(M6:M15)</f>
        <v>10000</v>
      </c>
      <c r="N16" s="46">
        <f ca="1">SUM(N6:N15)</f>
        <v>0</v>
      </c>
      <c r="O16" s="74" t="s">
        <v>19</v>
      </c>
      <c r="P16" s="75"/>
      <c r="Q16" s="76"/>
      <c r="R16" s="47">
        <f ca="1">SUM(R6:R15)</f>
        <v>108</v>
      </c>
    </row>
    <row r="17" spans="2:11" ht="17" thickTop="1" thickBot="1">
      <c r="B17" s="64" t="s">
        <v>20</v>
      </c>
      <c r="C17" s="65"/>
      <c r="D17" s="65"/>
      <c r="E17"/>
      <c r="F17"/>
      <c r="G17"/>
      <c r="H17"/>
      <c r="I17"/>
      <c r="J17"/>
      <c r="K17"/>
    </row>
    <row r="18" spans="2:11" ht="16" thickBot="1">
      <c r="C18"/>
      <c r="D18"/>
      <c r="E18"/>
    </row>
    <row r="19" spans="2:11" ht="16" thickBot="1">
      <c r="B19" s="80" t="s">
        <v>21</v>
      </c>
      <c r="C19" s="81"/>
      <c r="D19" s="82"/>
      <c r="E19"/>
    </row>
    <row r="20" spans="2:11" ht="8.5" customHeight="1" thickBot="1">
      <c r="C20"/>
      <c r="D20"/>
      <c r="E20"/>
    </row>
    <row r="21" spans="2:11" ht="16" thickBot="1">
      <c r="B21" s="77" t="s">
        <v>22</v>
      </c>
      <c r="C21" s="78"/>
      <c r="D21" s="79"/>
      <c r="E21"/>
      <c r="F21"/>
      <c r="G21"/>
      <c r="H21"/>
    </row>
    <row r="22" spans="2:11" ht="8.5" customHeight="1" thickBot="1">
      <c r="C22"/>
      <c r="D22"/>
      <c r="E22"/>
    </row>
    <row r="23" spans="2:11" ht="16" thickBot="1">
      <c r="B23" s="68" t="s">
        <v>23</v>
      </c>
      <c r="C23" s="69"/>
      <c r="D23" s="70"/>
      <c r="E23"/>
    </row>
    <row r="25" spans="2:11">
      <c r="B25" s="12" t="s">
        <v>24</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16" activePane="bottomRight" state="frozen"/>
      <selection pane="topRight" activeCell="F7" sqref="F7:X7"/>
      <selection pane="bottomLeft" activeCell="F7" sqref="F7:X7"/>
      <selection pane="bottomRight" activeCell="F19" sqref="F19:M21"/>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8320312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t="s">
        <v>26</v>
      </c>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Internal Process</v>
      </c>
      <c r="AP3" s="141"/>
      <c r="AQ3" s="141"/>
      <c r="AR3" s="141"/>
      <c r="AS3" s="141"/>
      <c r="AT3" s="141"/>
      <c r="AU3" s="141"/>
      <c r="AV3" s="151">
        <f>IF(F7="",0,VLOOKUP(F7,Lookups!B4:H8,3))</f>
        <v>50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Pilot</v>
      </c>
      <c r="AP4" s="141"/>
      <c r="AQ4" s="141"/>
      <c r="AR4" s="141"/>
      <c r="AS4" s="141"/>
      <c r="AT4" s="141"/>
      <c r="AU4" s="141"/>
      <c r="AV4" s="154">
        <f ca="1">VLOOKUP(AO4,Lookups!L4:M8,2)</f>
        <v>0.7</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t="s">
        <v>31</v>
      </c>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Dev</v>
      </c>
      <c r="AP5" s="141"/>
      <c r="AQ5" s="142" t="str">
        <f ca="1">IF(AV5=1,"No Change","Progression")</f>
        <v>Progression</v>
      </c>
      <c r="AR5" s="142"/>
      <c r="AS5" s="142"/>
      <c r="AT5" s="142"/>
      <c r="AU5" s="142"/>
      <c r="AV5" s="154">
        <f ca="1">IF(AO5=AO4,1,1.2)</f>
        <v>1.2</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42</v>
      </c>
      <c r="AW6" s="155"/>
      <c r="AX6" s="155"/>
      <c r="AY6" s="18"/>
      <c r="AZ6" s="18"/>
      <c r="BA6" s="18"/>
      <c r="BB6" s="18"/>
      <c r="BC6" s="18"/>
      <c r="BD6" s="18"/>
      <c r="BH6" s="13"/>
      <c r="BI6" s="17"/>
      <c r="BJ6" s="17"/>
      <c r="BK6" s="17"/>
    </row>
    <row r="7" spans="2:71" ht="28.5" customHeight="1" thickBot="1">
      <c r="B7" s="97" t="s">
        <v>34</v>
      </c>
      <c r="C7" s="98"/>
      <c r="D7" s="98"/>
      <c r="E7" s="99"/>
      <c r="F7" s="94" t="s">
        <v>35</v>
      </c>
      <c r="G7" s="95"/>
      <c r="H7" s="95"/>
      <c r="I7" s="95"/>
      <c r="J7" s="95"/>
      <c r="K7" s="95"/>
      <c r="L7" s="95"/>
      <c r="M7" s="95"/>
      <c r="N7" s="95"/>
      <c r="O7" s="95"/>
      <c r="P7" s="95"/>
      <c r="Q7" s="95"/>
      <c r="R7" s="95"/>
      <c r="S7" s="95"/>
      <c r="T7" s="95"/>
      <c r="U7" s="95"/>
      <c r="V7" s="95"/>
      <c r="W7" s="95"/>
      <c r="X7" s="96"/>
      <c r="Y7" s="97" t="s">
        <v>9</v>
      </c>
      <c r="Z7" s="98"/>
      <c r="AA7" s="98"/>
      <c r="AB7" s="99"/>
      <c r="AC7" s="100" t="s">
        <v>36</v>
      </c>
      <c r="AD7" s="101"/>
      <c r="AE7" s="102"/>
      <c r="BH7" s="13"/>
      <c r="BI7" s="13"/>
      <c r="BJ7" s="17"/>
      <c r="BK7" s="17"/>
    </row>
    <row r="8" spans="2:71" ht="28.5" customHeight="1" thickBot="1">
      <c r="B8" s="97" t="s">
        <v>7</v>
      </c>
      <c r="C8" s="98"/>
      <c r="D8" s="98"/>
      <c r="E8" s="99"/>
      <c r="F8" s="136" t="str">
        <f>IF(F7="","",VLOOKUP(F7,Lookups!B4:H8,2))</f>
        <v>Internal Process</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Automated customer support triage, intelligent lead scoring, predictive maintenance, churn analysis, scheduling</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v>45884</v>
      </c>
      <c r="AP10" s="92"/>
      <c r="AQ10" s="92"/>
      <c r="AR10" s="92">
        <f>AO10</f>
        <v>45884</v>
      </c>
      <c r="AS10" s="92"/>
      <c r="AT10" s="92"/>
      <c r="AU10" s="93" t="str">
        <f>IF(AO10=$BK$3,"Missing Target",IF(AR10=$BK$3,IF($AZ$3&gt;AO10,INT($AZ$3-AO10)&amp;" Day(s) Overdue","Incomplete"),IF(AR10&gt;AO10,INT(AR10-AO10)&amp;" Day(s) Late",IF(AR10=AO10,"OK",INT(AO10-AR10)&amp;" Day(s) Ahead"))))</f>
        <v>OK</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f>AO10+7</f>
        <v>45891</v>
      </c>
      <c r="AP11" s="92"/>
      <c r="AQ11" s="92"/>
      <c r="AR11" s="92">
        <f>AO11</f>
        <v>45891</v>
      </c>
      <c r="AS11" s="92"/>
      <c r="AT11" s="92"/>
      <c r="AU11" s="93" t="str">
        <f t="shared" ref="AU11:AU14" si="0">IF(AO11=$BK$3,"Missing Target",IF(AR11=$BK$3,IF($AZ$3&gt;AO11,INT($AZ$3-AO11)&amp;" Day(s) Overdue","Incomplete"),IF(AR11&gt;AO11,INT(AR11-AO11)&amp;" Day(s) Late",IF(AR11=AO11,"OK",INT(AO11-AR11)&amp;" Day(s) Ahead"))))</f>
        <v>OK</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Employee Satisfaction</v>
      </c>
      <c r="G12" s="125"/>
      <c r="H12" s="125"/>
      <c r="I12" s="125"/>
      <c r="J12" s="125"/>
      <c r="K12" s="125"/>
      <c r="L12" s="125"/>
      <c r="M12" s="126"/>
      <c r="O12" s="124" t="str">
        <f>IF(F7="","",VLOOKUP(F7,Lookups!B4:H8,6))</f>
        <v>Productivity Gains</v>
      </c>
      <c r="P12" s="125"/>
      <c r="Q12" s="125"/>
      <c r="R12" s="125"/>
      <c r="S12" s="125"/>
      <c r="T12" s="125"/>
      <c r="U12" s="125"/>
      <c r="V12" s="126"/>
      <c r="X12" s="124" t="str">
        <f>IF(F7="","",VLOOKUP(F7,Lookups!B4:H8,7))</f>
        <v>Cost Savings</v>
      </c>
      <c r="Y12" s="125"/>
      <c r="Z12" s="125"/>
      <c r="AA12" s="125"/>
      <c r="AB12" s="125"/>
      <c r="AC12" s="125"/>
      <c r="AD12" s="125"/>
      <c r="AE12" s="126"/>
      <c r="AG12" s="127"/>
      <c r="AH12" s="127"/>
      <c r="AI12" s="127"/>
      <c r="AJ12" s="89" t="s">
        <v>50</v>
      </c>
      <c r="AK12" s="89"/>
      <c r="AL12" s="89"/>
      <c r="AM12" s="89"/>
      <c r="AN12" s="89"/>
      <c r="AO12" s="92">
        <f t="shared" ref="AO12:AO20" si="1">AO11+7</f>
        <v>45898</v>
      </c>
      <c r="AP12" s="92"/>
      <c r="AQ12" s="92"/>
      <c r="AR12" s="92">
        <f>AO12</f>
        <v>45898</v>
      </c>
      <c r="AS12" s="92"/>
      <c r="AT12" s="92"/>
      <c r="AU12" s="93" t="str">
        <f t="shared" si="0"/>
        <v>OK</v>
      </c>
      <c r="AV12" s="93"/>
      <c r="AW12" s="93"/>
      <c r="AX12" s="93"/>
      <c r="AY12" s="91"/>
      <c r="AZ12" s="91"/>
      <c r="BA12" s="91"/>
      <c r="BB12" s="91"/>
      <c r="BC12" s="91"/>
      <c r="BD12" s="91"/>
      <c r="BE12" s="91"/>
      <c r="BL12" s="15"/>
      <c r="BS12" s="12"/>
    </row>
    <row r="13" spans="2:71" ht="28.5" customHeight="1" thickBot="1">
      <c r="B13" s="103" t="s">
        <v>51</v>
      </c>
      <c r="C13" s="104"/>
      <c r="D13" s="105"/>
      <c r="F13" s="24" t="s">
        <v>52</v>
      </c>
      <c r="G13" s="77" t="s">
        <v>53</v>
      </c>
      <c r="H13" s="78"/>
      <c r="I13" s="78"/>
      <c r="J13" s="78"/>
      <c r="K13" s="78"/>
      <c r="L13" s="78"/>
      <c r="M13" s="79"/>
      <c r="O13" s="24" t="s">
        <v>52</v>
      </c>
      <c r="P13" s="77" t="s">
        <v>54</v>
      </c>
      <c r="Q13" s="78"/>
      <c r="R13" s="78"/>
      <c r="S13" s="78"/>
      <c r="T13" s="78"/>
      <c r="U13" s="78"/>
      <c r="V13" s="79"/>
      <c r="X13" s="24" t="s">
        <v>52</v>
      </c>
      <c r="Y13" s="77" t="s">
        <v>55</v>
      </c>
      <c r="Z13" s="78"/>
      <c r="AA13" s="78"/>
      <c r="AB13" s="78"/>
      <c r="AC13" s="78"/>
      <c r="AD13" s="78"/>
      <c r="AE13" s="79"/>
      <c r="AG13" s="127" t="s">
        <v>56</v>
      </c>
      <c r="AH13" s="127"/>
      <c r="AI13" s="127"/>
      <c r="AJ13" s="89" t="s">
        <v>57</v>
      </c>
      <c r="AK13" s="89"/>
      <c r="AL13" s="89"/>
      <c r="AM13" s="89"/>
      <c r="AN13" s="89"/>
      <c r="AO13" s="92">
        <f t="shared" si="1"/>
        <v>45905</v>
      </c>
      <c r="AP13" s="92"/>
      <c r="AQ13" s="92"/>
      <c r="AR13" s="92">
        <f>AO13+2</f>
        <v>45907</v>
      </c>
      <c r="AS13" s="92"/>
      <c r="AT13" s="92"/>
      <c r="AU13" s="93" t="str">
        <f t="shared" si="0"/>
        <v>2 Day(s) Late</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f t="shared" si="1"/>
        <v>45912</v>
      </c>
      <c r="AP14" s="92"/>
      <c r="AQ14" s="92"/>
      <c r="AR14" s="92">
        <f>AO14+7</f>
        <v>45919</v>
      </c>
      <c r="AS14" s="92"/>
      <c r="AT14" s="92"/>
      <c r="AU14" s="93" t="str">
        <f t="shared" si="0"/>
        <v>7 Day(s) Late</v>
      </c>
      <c r="AV14" s="93"/>
      <c r="AW14" s="93"/>
      <c r="AX14" s="93"/>
      <c r="AY14" s="91"/>
      <c r="AZ14" s="91"/>
      <c r="BA14" s="91"/>
      <c r="BB14" s="91"/>
      <c r="BC14" s="91"/>
      <c r="BD14" s="91"/>
      <c r="BE14" s="91"/>
      <c r="BL14" s="15"/>
      <c r="BS14" s="12"/>
    </row>
    <row r="15" spans="2:71" ht="28.5" customHeight="1" thickBot="1">
      <c r="B15" s="109"/>
      <c r="C15" s="110"/>
      <c r="D15" s="111"/>
      <c r="F15" s="115" t="s">
        <v>60</v>
      </c>
      <c r="G15" s="116"/>
      <c r="H15" s="116"/>
      <c r="I15" s="116"/>
      <c r="J15" s="116"/>
      <c r="K15" s="116"/>
      <c r="L15" s="116"/>
      <c r="M15" s="117"/>
      <c r="O15" s="115" t="s">
        <v>61</v>
      </c>
      <c r="P15" s="116"/>
      <c r="Q15" s="116"/>
      <c r="R15" s="116"/>
      <c r="S15" s="116"/>
      <c r="T15" s="116"/>
      <c r="U15" s="116"/>
      <c r="V15" s="117"/>
      <c r="X15" s="115" t="s">
        <v>62</v>
      </c>
      <c r="Y15" s="116"/>
      <c r="Z15" s="116"/>
      <c r="AA15" s="116"/>
      <c r="AB15" s="116"/>
      <c r="AC15" s="116"/>
      <c r="AD15" s="116"/>
      <c r="AE15" s="117"/>
      <c r="AG15" s="127"/>
      <c r="AH15" s="127"/>
      <c r="AI15" s="127"/>
      <c r="AJ15" s="89" t="s">
        <v>63</v>
      </c>
      <c r="AK15" s="89"/>
      <c r="AL15" s="89"/>
      <c r="AM15" s="89"/>
      <c r="AN15" s="89"/>
      <c r="AO15" s="92">
        <f t="shared" si="1"/>
        <v>45919</v>
      </c>
      <c r="AP15" s="92"/>
      <c r="AQ15" s="92"/>
      <c r="AR15" s="92">
        <f>AR14</f>
        <v>45919</v>
      </c>
      <c r="AS15" s="92"/>
      <c r="AT15" s="92"/>
      <c r="AU15" s="93" t="str">
        <f t="shared" ref="AU15:AU21" si="2">IF(AO15=$A$1,"Missing Target",IF(AR15=$A$1,IF($AZ$3&gt;AO15,INT($AZ$3-AO15)&amp;" Day(s) Overdue","Incomplete"),IF(AR15&gt;AO15,INT(AR15-AO15)&amp;" Day(s) Late",IF(AR15=AO15,"OK",INT(AO15-AR15)&amp;" Day(s) Ahead"))))</f>
        <v>OK</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f t="shared" si="1"/>
        <v>45926</v>
      </c>
      <c r="AP16" s="92"/>
      <c r="AQ16" s="92"/>
      <c r="AR16" s="92">
        <v>45931</v>
      </c>
      <c r="AS16" s="92"/>
      <c r="AT16" s="92"/>
      <c r="AU16" s="93" t="str">
        <f t="shared" si="2"/>
        <v>5 Day(s) Late</v>
      </c>
      <c r="AV16" s="93"/>
      <c r="AW16" s="93"/>
      <c r="AX16" s="93"/>
      <c r="AY16" s="91"/>
      <c r="AZ16" s="91"/>
      <c r="BA16" s="91"/>
      <c r="BB16" s="91"/>
      <c r="BC16" s="91"/>
      <c r="BD16" s="91"/>
      <c r="BE16" s="91"/>
      <c r="BL16" s="15"/>
      <c r="BS16" s="12"/>
    </row>
    <row r="17" spans="2:71" ht="28.5" customHeight="1" thickBot="1">
      <c r="B17" s="25" t="s">
        <v>2</v>
      </c>
      <c r="C17" s="134" t="s">
        <v>66</v>
      </c>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f t="shared" si="1"/>
        <v>45933</v>
      </c>
      <c r="AP17" s="92"/>
      <c r="AQ17" s="92"/>
      <c r="AR17" s="92"/>
      <c r="AS17" s="92"/>
      <c r="AT17" s="92"/>
      <c r="AU17" s="93" t="str">
        <f t="shared" ca="1" si="2"/>
        <v>28 Day(s) Overdue</v>
      </c>
      <c r="AV17" s="93"/>
      <c r="AW17" s="93"/>
      <c r="AX17" s="93"/>
      <c r="AY17" s="91"/>
      <c r="AZ17" s="91"/>
      <c r="BA17" s="91"/>
      <c r="BB17" s="91"/>
      <c r="BC17" s="91"/>
      <c r="BD17" s="91"/>
      <c r="BE17" s="91"/>
      <c r="BL17" s="15"/>
      <c r="BS17" s="12"/>
    </row>
    <row r="18" spans="2:71" ht="28.5" customHeight="1" thickBot="1">
      <c r="B18" s="25" t="s">
        <v>68</v>
      </c>
      <c r="C18" s="80" t="s">
        <v>69</v>
      </c>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f t="shared" si="1"/>
        <v>45940</v>
      </c>
      <c r="AP18" s="92"/>
      <c r="AQ18" s="92"/>
      <c r="AR18" s="92"/>
      <c r="AS18" s="92"/>
      <c r="AT18" s="92"/>
      <c r="AU18" s="93" t="str">
        <f t="shared" ca="1" si="2"/>
        <v>21 Day(s) Overdue</v>
      </c>
      <c r="AV18" s="93"/>
      <c r="AW18" s="93"/>
      <c r="AX18" s="93"/>
      <c r="AY18" s="91"/>
      <c r="AZ18" s="91"/>
      <c r="BA18" s="91"/>
      <c r="BB18" s="91"/>
      <c r="BC18" s="91"/>
      <c r="BD18" s="91"/>
      <c r="BE18" s="91"/>
      <c r="BL18" s="15"/>
      <c r="BS18" s="12"/>
    </row>
    <row r="19" spans="2:71" ht="28.5" customHeight="1" thickBot="1">
      <c r="B19" s="25" t="s">
        <v>72</v>
      </c>
      <c r="C19" s="80" t="s">
        <v>73</v>
      </c>
      <c r="D19" s="82"/>
      <c r="F19" s="115" t="s">
        <v>74</v>
      </c>
      <c r="G19" s="116"/>
      <c r="H19" s="116"/>
      <c r="I19" s="116"/>
      <c r="J19" s="116"/>
      <c r="K19" s="116"/>
      <c r="L19" s="116"/>
      <c r="M19" s="117"/>
      <c r="O19" s="115" t="s">
        <v>75</v>
      </c>
      <c r="P19" s="116"/>
      <c r="Q19" s="116"/>
      <c r="R19" s="116"/>
      <c r="S19" s="116"/>
      <c r="T19" s="116"/>
      <c r="U19" s="116"/>
      <c r="V19" s="117"/>
      <c r="X19" s="115" t="s">
        <v>76</v>
      </c>
      <c r="Y19" s="116"/>
      <c r="Z19" s="116"/>
      <c r="AA19" s="116"/>
      <c r="AB19" s="116"/>
      <c r="AC19" s="116"/>
      <c r="AD19" s="116"/>
      <c r="AE19" s="117"/>
      <c r="AF19" s="26"/>
      <c r="AG19" s="127" t="s">
        <v>77</v>
      </c>
      <c r="AH19" s="127"/>
      <c r="AI19" s="127"/>
      <c r="AJ19" s="89" t="s">
        <v>78</v>
      </c>
      <c r="AK19" s="89"/>
      <c r="AL19" s="89"/>
      <c r="AM19" s="89"/>
      <c r="AN19" s="89"/>
      <c r="AO19" s="92">
        <f t="shared" si="1"/>
        <v>45947</v>
      </c>
      <c r="AP19" s="92"/>
      <c r="AQ19" s="92"/>
      <c r="AR19" s="92"/>
      <c r="AS19" s="92"/>
      <c r="AT19" s="92"/>
      <c r="AU19" s="93" t="str">
        <f t="shared" ca="1" si="2"/>
        <v>14 Day(s) Overdue</v>
      </c>
      <c r="AV19" s="93"/>
      <c r="AW19" s="93"/>
      <c r="AX19" s="93"/>
      <c r="AY19" s="91"/>
      <c r="AZ19" s="91"/>
      <c r="BA19" s="91"/>
      <c r="BB19" s="91"/>
      <c r="BC19" s="91"/>
      <c r="BD19" s="91"/>
      <c r="BE19" s="91"/>
      <c r="BL19" s="15"/>
      <c r="BS19" s="12"/>
    </row>
    <row r="20" spans="2:71" ht="28.5" customHeight="1" thickBot="1">
      <c r="B20" s="25" t="s">
        <v>79</v>
      </c>
      <c r="C20" s="80" t="s">
        <v>80</v>
      </c>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f t="shared" si="1"/>
        <v>45954</v>
      </c>
      <c r="AP20" s="92"/>
      <c r="AQ20" s="92"/>
      <c r="AR20" s="92"/>
      <c r="AS20" s="92"/>
      <c r="AT20" s="92"/>
      <c r="AU20" s="93" t="str">
        <f t="shared" ca="1" si="2"/>
        <v>7 Day(s) Overdue</v>
      </c>
      <c r="AV20" s="93"/>
      <c r="AW20" s="93"/>
      <c r="AX20" s="93"/>
      <c r="AY20" s="91"/>
      <c r="AZ20" s="91"/>
      <c r="BA20" s="91"/>
      <c r="BB20" s="91"/>
      <c r="BC20" s="91"/>
      <c r="BD20" s="91"/>
      <c r="BE20" s="91"/>
      <c r="BL20" s="15"/>
      <c r="BS20" s="12"/>
    </row>
    <row r="21" spans="2:71" ht="28.5" customHeight="1" thickBot="1">
      <c r="B21" s="25" t="s">
        <v>82</v>
      </c>
      <c r="C21" s="80" t="s">
        <v>83</v>
      </c>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2"/>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5" customHeight="1">
      <c r="B24" s="128" t="s">
        <v>86</v>
      </c>
      <c r="C24" s="129"/>
      <c r="D24" s="129"/>
      <c r="E24" s="130"/>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86" t="str">
        <f>G13&amp;" TARGET"</f>
        <v>Employee AI Tool Adoption Rate TARGET</v>
      </c>
      <c r="C25" s="87"/>
      <c r="D25" s="87"/>
      <c r="E25" s="88"/>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Customer Satisfaction Scores (CSAT, NPS) TARGET</v>
      </c>
      <c r="C30" s="87"/>
      <c r="D30" s="87"/>
      <c r="E30" s="88"/>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Cost Savings TARGET</v>
      </c>
      <c r="C35" s="87"/>
      <c r="D35" s="87"/>
      <c r="E35" s="88"/>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91</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93</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12</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96</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 ref="AJ16:AN16"/>
    <mergeCell ref="AO20:AQ20"/>
    <mergeCell ref="AR13:AT13"/>
    <mergeCell ref="AR14:AT14"/>
    <mergeCell ref="AR15:AT15"/>
    <mergeCell ref="AO13:AQ13"/>
    <mergeCell ref="AO14:AQ14"/>
    <mergeCell ref="AO15:AQ15"/>
    <mergeCell ref="AO16:AQ16"/>
    <mergeCell ref="AO17:AQ17"/>
    <mergeCell ref="AO18:AQ18"/>
    <mergeCell ref="AO19:AQ19"/>
    <mergeCell ref="AG4:AN4"/>
    <mergeCell ref="AG5:AN5"/>
    <mergeCell ref="AO3:AU3"/>
    <mergeCell ref="AO4:AU4"/>
    <mergeCell ref="F9:AE9"/>
    <mergeCell ref="AO10:AQ10"/>
    <mergeCell ref="AO11:AQ11"/>
    <mergeCell ref="AO12:AQ12"/>
    <mergeCell ref="AJ12:AN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B25:E25"/>
    <mergeCell ref="B26:E26"/>
    <mergeCell ref="B27:E27"/>
    <mergeCell ref="B30:E30"/>
    <mergeCell ref="B31:E31"/>
    <mergeCell ref="B32:E32"/>
    <mergeCell ref="B35:E35"/>
    <mergeCell ref="B36:E36"/>
    <mergeCell ref="B37:E37"/>
    <mergeCell ref="B28:E28"/>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s>
  <conditionalFormatting sqref="AQ5:AU5">
    <cfRule type="cellIs" dxfId="118" priority="1" operator="equal">
      <formula>"No Change"</formula>
    </cfRule>
    <cfRule type="cellIs" dxfId="117" priority="2" operator="equal">
      <formula>"Progression"</formula>
    </cfRule>
  </conditionalFormatting>
  <conditionalFormatting sqref="AU10:AU21">
    <cfRule type="expression" dxfId="116" priority="3">
      <formula>IFERROR(FIND("Ahead",AU10),0)&gt;0</formula>
    </cfRule>
    <cfRule type="expression" dxfId="115" priority="4">
      <formula>IFERROR(FIND("Overdue",AU10),0)&gt;0</formula>
    </cfRule>
    <cfRule type="cellIs" dxfId="114" priority="5" operator="equal">
      <formula>"Met Target"</formula>
    </cfRule>
    <cfRule type="cellIs" dxfId="113" priority="6" operator="equal">
      <formula>"Missing Target"</formula>
    </cfRule>
    <cfRule type="expression" dxfId="11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zoomScaleNormal="100" workbookViewId="0">
      <pane xSplit="5" ySplit="7" topLeftCell="F8" activePane="bottomRight" state="frozen"/>
      <selection pane="topRight" activeCell="AJ10" sqref="AJ10:AN21"/>
      <selection pane="bottomLeft" activeCell="AJ10" sqref="AJ10:AN21"/>
      <selection pane="bottomRight" activeCell="E21" sqref="E21"/>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t="s">
        <v>104</v>
      </c>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Customer Feature - New</v>
      </c>
      <c r="AP3" s="141"/>
      <c r="AQ3" s="141"/>
      <c r="AR3" s="141"/>
      <c r="AS3" s="141"/>
      <c r="AT3" s="141"/>
      <c r="AU3" s="141"/>
      <c r="AV3" s="151">
        <f>IF(F7="",0,VLOOKUP(F7,Lookups!B4:H8,3))</f>
        <v>200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Dev</v>
      </c>
      <c r="AP4" s="141"/>
      <c r="AQ4" s="141"/>
      <c r="AR4" s="141"/>
      <c r="AS4" s="141"/>
      <c r="AT4" s="141"/>
      <c r="AU4" s="141"/>
      <c r="AV4" s="154">
        <f ca="1">IF(AO4="Not Def",0,VLOOKUP(AO4,Lookups!L4:M8,2))</f>
        <v>0.4</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t="s">
        <v>105</v>
      </c>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Idea</v>
      </c>
      <c r="AP5" s="141"/>
      <c r="AQ5" s="142" t="str">
        <f ca="1">IF(AV5=1,"No Change","Progression")</f>
        <v>Progression</v>
      </c>
      <c r="AR5" s="142"/>
      <c r="AS5" s="142"/>
      <c r="AT5" s="142"/>
      <c r="AU5" s="142"/>
      <c r="AV5" s="154">
        <f ca="1">IF(AO4="Not Def",0,IF(AO5=AO4,1,1.2))</f>
        <v>1.2</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96</v>
      </c>
      <c r="AW6" s="155"/>
      <c r="AX6" s="155"/>
      <c r="AY6" s="18"/>
      <c r="AZ6" s="18"/>
      <c r="BA6" s="18"/>
      <c r="BB6" s="18"/>
      <c r="BC6" s="18"/>
      <c r="BD6" s="18"/>
      <c r="BH6" s="13"/>
      <c r="BI6" s="17"/>
      <c r="BJ6" s="17"/>
      <c r="BK6" s="17"/>
    </row>
    <row r="7" spans="2:71" ht="28.5" customHeight="1" thickBot="1">
      <c r="B7" s="97" t="s">
        <v>34</v>
      </c>
      <c r="C7" s="98"/>
      <c r="D7" s="98"/>
      <c r="E7" s="99"/>
      <c r="F7" s="94" t="s">
        <v>106</v>
      </c>
      <c r="G7" s="95"/>
      <c r="H7" s="95"/>
      <c r="I7" s="95"/>
      <c r="J7" s="95"/>
      <c r="K7" s="95"/>
      <c r="L7" s="95"/>
      <c r="M7" s="95"/>
      <c r="N7" s="95"/>
      <c r="O7" s="95"/>
      <c r="P7" s="95"/>
      <c r="Q7" s="95"/>
      <c r="R7" s="95"/>
      <c r="S7" s="95"/>
      <c r="T7" s="95"/>
      <c r="U7" s="95"/>
      <c r="V7" s="95"/>
      <c r="W7" s="95"/>
      <c r="X7" s="96"/>
      <c r="Y7" s="97" t="s">
        <v>9</v>
      </c>
      <c r="Z7" s="98"/>
      <c r="AA7" s="98"/>
      <c r="AB7" s="99"/>
      <c r="AC7" s="100" t="s">
        <v>36</v>
      </c>
      <c r="AD7" s="101"/>
      <c r="AE7" s="102"/>
      <c r="BH7" s="13"/>
      <c r="BI7" s="13"/>
      <c r="BJ7" s="17"/>
      <c r="BK7" s="17"/>
    </row>
    <row r="8" spans="2:71" ht="28.5" customHeight="1" thickBot="1">
      <c r="B8" s="97" t="s">
        <v>7</v>
      </c>
      <c r="C8" s="98"/>
      <c r="D8" s="98"/>
      <c r="E8" s="99"/>
      <c r="F8" s="136" t="str">
        <f>IF(F7="","",VLOOKUP(F7,Lookups!B4:H8,2))</f>
        <v>Customer Feature - New</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Predictive analytics modules, AI-powered workflow automation, intelligent decision support systems</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v>45929</v>
      </c>
      <c r="AP10" s="92"/>
      <c r="AQ10" s="92"/>
      <c r="AR10" s="92">
        <v>45929</v>
      </c>
      <c r="AS10" s="92"/>
      <c r="AT10" s="92"/>
      <c r="AU10" s="93" t="str">
        <f>IF(AO10=$BK$3,"Missing Target",IF(AR10=$BK$3,IF($AZ$3&gt;AO10,INT($AZ$3-AO10)&amp;" Day(s) Overdue","Incomplete"),IF(AR10&gt;AO10,INT(AR10-AO10)&amp;" Day(s) Late",IF(AR10=AO10,"OK",INT(AO10-AR10)&amp;" Day(s) Ahead"))))</f>
        <v>OK</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v>45936</v>
      </c>
      <c r="AP11" s="92"/>
      <c r="AQ11" s="92"/>
      <c r="AR11" s="92">
        <v>45936</v>
      </c>
      <c r="AS11" s="92"/>
      <c r="AT11" s="92"/>
      <c r="AU11" s="93" t="str">
        <f t="shared" ref="AU11:AU14" si="0">IF(AO11=$BK$3,"Missing Target",IF(AR11=$BK$3,IF($AZ$3&gt;AO11,INT($AZ$3-AO11)&amp;" Day(s) Overdue","Incomplete"),IF(AR11&gt;AO11,INT(AR11-AO11)&amp;" Day(s) Late",IF(AR11=AO11,"OK",INT(AO11-AR11)&amp;" Day(s) Ahead"))))</f>
        <v>OK</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Market Differentiation</v>
      </c>
      <c r="G12" s="125"/>
      <c r="H12" s="125"/>
      <c r="I12" s="125"/>
      <c r="J12" s="125"/>
      <c r="K12" s="125"/>
      <c r="L12" s="125"/>
      <c r="M12" s="126"/>
      <c r="O12" s="124" t="str">
        <f>IF(F7="","",VLOOKUP(F7,Lookups!B4:H8,6))</f>
        <v>Competitive Advantage</v>
      </c>
      <c r="P12" s="125"/>
      <c r="Q12" s="125"/>
      <c r="R12" s="125"/>
      <c r="S12" s="125"/>
      <c r="T12" s="125"/>
      <c r="U12" s="125"/>
      <c r="V12" s="126"/>
      <c r="X12" s="124" t="str">
        <f>IF(F7="","",VLOOKUP(F7,Lookups!B4:H8,7))</f>
        <v>Revenue Impact</v>
      </c>
      <c r="Y12" s="125"/>
      <c r="Z12" s="125"/>
      <c r="AA12" s="125"/>
      <c r="AB12" s="125"/>
      <c r="AC12" s="125"/>
      <c r="AD12" s="125"/>
      <c r="AE12" s="126"/>
      <c r="AG12" s="127"/>
      <c r="AH12" s="127"/>
      <c r="AI12" s="127"/>
      <c r="AJ12" s="89" t="s">
        <v>50</v>
      </c>
      <c r="AK12" s="89"/>
      <c r="AL12" s="89"/>
      <c r="AM12" s="89"/>
      <c r="AN12" s="89"/>
      <c r="AO12" s="92">
        <v>45938</v>
      </c>
      <c r="AP12" s="92"/>
      <c r="AQ12" s="92"/>
      <c r="AR12" s="92">
        <v>45938</v>
      </c>
      <c r="AS12" s="92"/>
      <c r="AT12" s="92"/>
      <c r="AU12" s="93" t="str">
        <f t="shared" si="0"/>
        <v>OK</v>
      </c>
      <c r="AV12" s="93"/>
      <c r="AW12" s="93"/>
      <c r="AX12" s="93"/>
      <c r="AY12" s="91"/>
      <c r="AZ12" s="91"/>
      <c r="BA12" s="91"/>
      <c r="BB12" s="91"/>
      <c r="BC12" s="91"/>
      <c r="BD12" s="91"/>
      <c r="BE12" s="91"/>
      <c r="BL12" s="15"/>
      <c r="BS12" s="12"/>
    </row>
    <row r="13" spans="2:71" ht="28.5" customHeight="1" thickBot="1">
      <c r="B13" s="103" t="s">
        <v>107</v>
      </c>
      <c r="C13" s="104"/>
      <c r="D13" s="105"/>
      <c r="F13" s="24" t="s">
        <v>52</v>
      </c>
      <c r="G13" s="77" t="s">
        <v>108</v>
      </c>
      <c r="H13" s="78"/>
      <c r="I13" s="78"/>
      <c r="J13" s="78"/>
      <c r="K13" s="78"/>
      <c r="L13" s="78"/>
      <c r="M13" s="79"/>
      <c r="O13" s="24" t="s">
        <v>52</v>
      </c>
      <c r="P13" s="77" t="s">
        <v>109</v>
      </c>
      <c r="Q13" s="78"/>
      <c r="R13" s="78"/>
      <c r="S13" s="78"/>
      <c r="T13" s="78"/>
      <c r="U13" s="78"/>
      <c r="V13" s="79"/>
      <c r="X13" s="24" t="s">
        <v>52</v>
      </c>
      <c r="Y13" s="77" t="s">
        <v>110</v>
      </c>
      <c r="Z13" s="78"/>
      <c r="AA13" s="78"/>
      <c r="AB13" s="78"/>
      <c r="AC13" s="78"/>
      <c r="AD13" s="78"/>
      <c r="AE13" s="79"/>
      <c r="AG13" s="127" t="s">
        <v>56</v>
      </c>
      <c r="AH13" s="127"/>
      <c r="AI13" s="127"/>
      <c r="AJ13" s="89" t="s">
        <v>57</v>
      </c>
      <c r="AK13" s="89"/>
      <c r="AL13" s="89"/>
      <c r="AM13" s="89"/>
      <c r="AN13" s="89"/>
      <c r="AO13" s="92">
        <v>45939</v>
      </c>
      <c r="AP13" s="92"/>
      <c r="AQ13" s="92"/>
      <c r="AR13" s="92">
        <v>45939</v>
      </c>
      <c r="AS13" s="92"/>
      <c r="AT13" s="92"/>
      <c r="AU13" s="93" t="str">
        <f t="shared" si="0"/>
        <v>OK</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v>45940</v>
      </c>
      <c r="AP14" s="92"/>
      <c r="AQ14" s="92"/>
      <c r="AR14" s="92">
        <v>45940</v>
      </c>
      <c r="AS14" s="92"/>
      <c r="AT14" s="92"/>
      <c r="AU14" s="93" t="str">
        <f t="shared" si="0"/>
        <v>OK</v>
      </c>
      <c r="AV14" s="93"/>
      <c r="AW14" s="93"/>
      <c r="AX14" s="93"/>
      <c r="AY14" s="91"/>
      <c r="AZ14" s="91"/>
      <c r="BA14" s="91"/>
      <c r="BB14" s="91"/>
      <c r="BC14" s="91"/>
      <c r="BD14" s="91"/>
      <c r="BE14" s="91"/>
      <c r="BL14" s="15"/>
      <c r="BS14" s="12"/>
    </row>
    <row r="15" spans="2:71" ht="28.5" customHeight="1" thickBot="1">
      <c r="B15" s="109"/>
      <c r="C15" s="110"/>
      <c r="D15" s="111"/>
      <c r="F15" s="115" t="s">
        <v>111</v>
      </c>
      <c r="G15" s="116"/>
      <c r="H15" s="116"/>
      <c r="I15" s="116"/>
      <c r="J15" s="116"/>
      <c r="K15" s="116"/>
      <c r="L15" s="116"/>
      <c r="M15" s="117"/>
      <c r="O15" s="115" t="s">
        <v>112</v>
      </c>
      <c r="P15" s="116"/>
      <c r="Q15" s="116"/>
      <c r="R15" s="116"/>
      <c r="S15" s="116"/>
      <c r="T15" s="116"/>
      <c r="U15" s="116"/>
      <c r="V15" s="117"/>
      <c r="X15" s="115" t="s">
        <v>113</v>
      </c>
      <c r="Y15" s="116"/>
      <c r="Z15" s="116"/>
      <c r="AA15" s="116"/>
      <c r="AB15" s="116"/>
      <c r="AC15" s="116"/>
      <c r="AD15" s="116"/>
      <c r="AE15" s="117"/>
      <c r="AG15" s="127"/>
      <c r="AH15" s="127"/>
      <c r="AI15" s="127"/>
      <c r="AJ15" s="89" t="s">
        <v>63</v>
      </c>
      <c r="AK15" s="89"/>
      <c r="AL15" s="89"/>
      <c r="AM15" s="89"/>
      <c r="AN15" s="89"/>
      <c r="AO15" s="92">
        <v>45946</v>
      </c>
      <c r="AP15" s="92"/>
      <c r="AQ15" s="92"/>
      <c r="AR15" s="92">
        <v>45946</v>
      </c>
      <c r="AS15" s="92"/>
      <c r="AT15" s="92"/>
      <c r="AU15" s="93" t="str">
        <f t="shared" ref="AU15:AU21" si="1">IF(AO15=$A$1,"Missing Target",IF(AR15=$A$1,IF($AZ$3&gt;AO15,INT($AZ$3-AO15)&amp;" Day(s) Overdue","Incomplete"),IF(AR15&gt;AO15,INT(AR15-AO15)&amp;" Day(s) Late",IF(AR15=AO15,"OK",INT(AO15-AR15)&amp;" Day(s) Ahead"))))</f>
        <v>OK</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34" t="s">
        <v>98</v>
      </c>
      <c r="D17" s="16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t="s">
        <v>299</v>
      </c>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t="s">
        <v>299</v>
      </c>
      <c r="D19" s="82"/>
      <c r="F19" s="115" t="s">
        <v>114</v>
      </c>
      <c r="G19" s="116"/>
      <c r="H19" s="116"/>
      <c r="I19" s="116"/>
      <c r="J19" s="116"/>
      <c r="K19" s="116"/>
      <c r="L19" s="116"/>
      <c r="M19" s="117"/>
      <c r="O19" s="115" t="s">
        <v>115</v>
      </c>
      <c r="P19" s="116"/>
      <c r="Q19" s="116"/>
      <c r="R19" s="116"/>
      <c r="S19" s="116"/>
      <c r="T19" s="116"/>
      <c r="U19" s="116"/>
      <c r="V19" s="117"/>
      <c r="X19" s="115" t="s">
        <v>116</v>
      </c>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t="s">
        <v>300</v>
      </c>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t="s">
        <v>301</v>
      </c>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v>45929</v>
      </c>
      <c r="G24" s="31">
        <f>F24+7</f>
        <v>45936</v>
      </c>
      <c r="H24" s="31">
        <f t="shared" ref="H24:BE24" si="4">G24+7</f>
        <v>45943</v>
      </c>
      <c r="I24" s="31">
        <f t="shared" si="4"/>
        <v>45950</v>
      </c>
      <c r="J24" s="31">
        <f t="shared" si="4"/>
        <v>45957</v>
      </c>
      <c r="K24" s="31">
        <f t="shared" si="4"/>
        <v>45964</v>
      </c>
      <c r="L24" s="31">
        <f t="shared" si="4"/>
        <v>45971</v>
      </c>
      <c r="M24" s="31">
        <f t="shared" si="4"/>
        <v>45978</v>
      </c>
      <c r="N24" s="31">
        <f t="shared" si="4"/>
        <v>45985</v>
      </c>
      <c r="O24" s="31">
        <f t="shared" si="4"/>
        <v>45992</v>
      </c>
      <c r="P24" s="31">
        <f t="shared" si="4"/>
        <v>45999</v>
      </c>
      <c r="Q24" s="31">
        <f t="shared" si="4"/>
        <v>46006</v>
      </c>
      <c r="R24" s="31">
        <f t="shared" si="4"/>
        <v>46013</v>
      </c>
      <c r="S24" s="31">
        <f t="shared" si="4"/>
        <v>46020</v>
      </c>
      <c r="T24" s="31">
        <f t="shared" si="4"/>
        <v>46027</v>
      </c>
      <c r="U24" s="31">
        <f t="shared" si="4"/>
        <v>46034</v>
      </c>
      <c r="V24" s="31">
        <f t="shared" si="4"/>
        <v>46041</v>
      </c>
      <c r="W24" s="31">
        <f t="shared" si="4"/>
        <v>46048</v>
      </c>
      <c r="X24" s="31">
        <f t="shared" si="4"/>
        <v>46055</v>
      </c>
      <c r="Y24" s="31">
        <f t="shared" si="4"/>
        <v>46062</v>
      </c>
      <c r="Z24" s="31">
        <f t="shared" si="4"/>
        <v>46069</v>
      </c>
      <c r="AA24" s="31">
        <f t="shared" si="4"/>
        <v>46076</v>
      </c>
      <c r="AB24" s="31">
        <f t="shared" si="4"/>
        <v>46083</v>
      </c>
      <c r="AC24" s="31">
        <f t="shared" si="4"/>
        <v>46090</v>
      </c>
      <c r="AD24" s="31">
        <f t="shared" si="4"/>
        <v>46097</v>
      </c>
      <c r="AE24" s="31">
        <f t="shared" si="4"/>
        <v>46104</v>
      </c>
      <c r="AF24" s="31">
        <f t="shared" si="4"/>
        <v>46111</v>
      </c>
      <c r="AG24" s="31">
        <f t="shared" si="4"/>
        <v>46118</v>
      </c>
      <c r="AH24" s="31">
        <f t="shared" si="4"/>
        <v>46125</v>
      </c>
      <c r="AI24" s="31">
        <f t="shared" si="4"/>
        <v>46132</v>
      </c>
      <c r="AJ24" s="31">
        <f t="shared" si="4"/>
        <v>46139</v>
      </c>
      <c r="AK24" s="31">
        <f t="shared" si="4"/>
        <v>46146</v>
      </c>
      <c r="AL24" s="31">
        <f t="shared" si="4"/>
        <v>46153</v>
      </c>
      <c r="AM24" s="31">
        <f t="shared" si="4"/>
        <v>46160</v>
      </c>
      <c r="AN24" s="31">
        <f t="shared" si="4"/>
        <v>46167</v>
      </c>
      <c r="AO24" s="31">
        <f t="shared" si="4"/>
        <v>46174</v>
      </c>
      <c r="AP24" s="31">
        <f t="shared" si="4"/>
        <v>46181</v>
      </c>
      <c r="AQ24" s="31">
        <f t="shared" si="4"/>
        <v>46188</v>
      </c>
      <c r="AR24" s="31">
        <f t="shared" si="4"/>
        <v>46195</v>
      </c>
      <c r="AS24" s="31">
        <f t="shared" si="4"/>
        <v>46202</v>
      </c>
      <c r="AT24" s="31">
        <f t="shared" si="4"/>
        <v>46209</v>
      </c>
      <c r="AU24" s="31">
        <f t="shared" si="4"/>
        <v>46216</v>
      </c>
      <c r="AV24" s="31">
        <f t="shared" si="4"/>
        <v>46223</v>
      </c>
      <c r="AW24" s="31">
        <f t="shared" si="4"/>
        <v>46230</v>
      </c>
      <c r="AX24" s="31">
        <f t="shared" si="4"/>
        <v>46237</v>
      </c>
      <c r="AY24" s="31">
        <f t="shared" si="4"/>
        <v>46244</v>
      </c>
      <c r="AZ24" s="31">
        <f t="shared" si="4"/>
        <v>46251</v>
      </c>
      <c r="BA24" s="31">
        <f t="shared" si="4"/>
        <v>46258</v>
      </c>
      <c r="BB24" s="31">
        <f t="shared" si="4"/>
        <v>46265</v>
      </c>
      <c r="BC24" s="31">
        <f t="shared" si="4"/>
        <v>46272</v>
      </c>
      <c r="BD24" s="31">
        <f t="shared" si="4"/>
        <v>46279</v>
      </c>
      <c r="BE24" s="31">
        <f t="shared" si="4"/>
        <v>46286</v>
      </c>
      <c r="BJ24" s="21"/>
    </row>
    <row r="25" spans="2:71">
      <c r="B25" s="86" t="str">
        <f>G13&amp;" TARGET"</f>
        <v>New AI-enabled Products/Features TARGET</v>
      </c>
      <c r="C25" s="87"/>
      <c r="D25" s="87"/>
      <c r="E25" s="88"/>
      <c r="F25" s="66">
        <v>50</v>
      </c>
      <c r="G25" s="66">
        <f>F25</f>
        <v>50</v>
      </c>
      <c r="H25" s="66">
        <f t="shared" ref="H25:BE25" si="5">G25</f>
        <v>50</v>
      </c>
      <c r="I25" s="66">
        <f t="shared" si="5"/>
        <v>50</v>
      </c>
      <c r="J25" s="66">
        <f t="shared" si="5"/>
        <v>50</v>
      </c>
      <c r="K25" s="66">
        <f t="shared" si="5"/>
        <v>50</v>
      </c>
      <c r="L25" s="66">
        <f t="shared" si="5"/>
        <v>50</v>
      </c>
      <c r="M25" s="66">
        <f t="shared" si="5"/>
        <v>50</v>
      </c>
      <c r="N25" s="66">
        <f t="shared" si="5"/>
        <v>50</v>
      </c>
      <c r="O25" s="66">
        <f t="shared" si="5"/>
        <v>50</v>
      </c>
      <c r="P25" s="66">
        <f t="shared" si="5"/>
        <v>50</v>
      </c>
      <c r="Q25" s="66">
        <f t="shared" si="5"/>
        <v>50</v>
      </c>
      <c r="R25" s="66">
        <f t="shared" si="5"/>
        <v>50</v>
      </c>
      <c r="S25" s="66">
        <f t="shared" si="5"/>
        <v>50</v>
      </c>
      <c r="T25" s="66">
        <f t="shared" si="5"/>
        <v>50</v>
      </c>
      <c r="U25" s="66">
        <f t="shared" si="5"/>
        <v>50</v>
      </c>
      <c r="V25" s="66">
        <f t="shared" si="5"/>
        <v>50</v>
      </c>
      <c r="W25" s="66">
        <f t="shared" si="5"/>
        <v>50</v>
      </c>
      <c r="X25" s="66">
        <f t="shared" si="5"/>
        <v>50</v>
      </c>
      <c r="Y25" s="66">
        <f t="shared" si="5"/>
        <v>50</v>
      </c>
      <c r="Z25" s="66">
        <f t="shared" si="5"/>
        <v>50</v>
      </c>
      <c r="AA25" s="66">
        <f t="shared" si="5"/>
        <v>50</v>
      </c>
      <c r="AB25" s="66">
        <f t="shared" si="5"/>
        <v>50</v>
      </c>
      <c r="AC25" s="66">
        <f t="shared" si="5"/>
        <v>50</v>
      </c>
      <c r="AD25" s="66">
        <f t="shared" si="5"/>
        <v>50</v>
      </c>
      <c r="AE25" s="66">
        <f t="shared" si="5"/>
        <v>50</v>
      </c>
      <c r="AF25" s="66">
        <f t="shared" si="5"/>
        <v>50</v>
      </c>
      <c r="AG25" s="66">
        <f t="shared" si="5"/>
        <v>50</v>
      </c>
      <c r="AH25" s="66">
        <f t="shared" si="5"/>
        <v>50</v>
      </c>
      <c r="AI25" s="66">
        <f t="shared" si="5"/>
        <v>50</v>
      </c>
      <c r="AJ25" s="66">
        <f t="shared" si="5"/>
        <v>50</v>
      </c>
      <c r="AK25" s="66">
        <f t="shared" si="5"/>
        <v>50</v>
      </c>
      <c r="AL25" s="66">
        <f t="shared" si="5"/>
        <v>50</v>
      </c>
      <c r="AM25" s="66">
        <f t="shared" si="5"/>
        <v>50</v>
      </c>
      <c r="AN25" s="66">
        <f t="shared" si="5"/>
        <v>50</v>
      </c>
      <c r="AO25" s="66">
        <f t="shared" si="5"/>
        <v>50</v>
      </c>
      <c r="AP25" s="66">
        <f t="shared" si="5"/>
        <v>50</v>
      </c>
      <c r="AQ25" s="66">
        <f t="shared" si="5"/>
        <v>50</v>
      </c>
      <c r="AR25" s="66">
        <f t="shared" si="5"/>
        <v>50</v>
      </c>
      <c r="AS25" s="66">
        <f t="shared" si="5"/>
        <v>50</v>
      </c>
      <c r="AT25" s="66">
        <f t="shared" si="5"/>
        <v>50</v>
      </c>
      <c r="AU25" s="66">
        <f t="shared" si="5"/>
        <v>50</v>
      </c>
      <c r="AV25" s="66">
        <f t="shared" si="5"/>
        <v>50</v>
      </c>
      <c r="AW25" s="66">
        <f t="shared" si="5"/>
        <v>50</v>
      </c>
      <c r="AX25" s="66">
        <f t="shared" si="5"/>
        <v>50</v>
      </c>
      <c r="AY25" s="66">
        <f t="shared" si="5"/>
        <v>50</v>
      </c>
      <c r="AZ25" s="66">
        <f t="shared" si="5"/>
        <v>50</v>
      </c>
      <c r="BA25" s="66">
        <f t="shared" si="5"/>
        <v>50</v>
      </c>
      <c r="BB25" s="66">
        <f t="shared" si="5"/>
        <v>50</v>
      </c>
      <c r="BC25" s="66">
        <f t="shared" si="5"/>
        <v>50</v>
      </c>
      <c r="BD25" s="66">
        <f t="shared" si="5"/>
        <v>50</v>
      </c>
      <c r="BE25" s="66">
        <f t="shared" si="5"/>
        <v>50</v>
      </c>
    </row>
    <row r="26" spans="2:71">
      <c r="B26" s="86" t="s">
        <v>87</v>
      </c>
      <c r="C26" s="87"/>
      <c r="D26" s="87"/>
      <c r="E26" s="88"/>
      <c r="F26" s="66">
        <v>0</v>
      </c>
      <c r="G26" s="66">
        <v>0</v>
      </c>
      <c r="H26" s="66">
        <v>0</v>
      </c>
      <c r="I26" s="66">
        <v>0</v>
      </c>
      <c r="J26" s="66">
        <v>0</v>
      </c>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-50</v>
      </c>
      <c r="G27" s="67">
        <f t="shared" ref="G27:BE27" si="6">G26-G25</f>
        <v>-50</v>
      </c>
      <c r="H27" s="67">
        <f t="shared" si="6"/>
        <v>-50</v>
      </c>
      <c r="I27" s="67">
        <f t="shared" si="6"/>
        <v>-50</v>
      </c>
      <c r="J27" s="67">
        <f t="shared" si="6"/>
        <v>-50</v>
      </c>
      <c r="K27" s="67">
        <f t="shared" si="6"/>
        <v>-50</v>
      </c>
      <c r="L27" s="67">
        <f t="shared" si="6"/>
        <v>-50</v>
      </c>
      <c r="M27" s="67">
        <f t="shared" si="6"/>
        <v>-50</v>
      </c>
      <c r="N27" s="67">
        <f t="shared" si="6"/>
        <v>-50</v>
      </c>
      <c r="O27" s="67">
        <f t="shared" si="6"/>
        <v>-50</v>
      </c>
      <c r="P27" s="67">
        <f t="shared" si="6"/>
        <v>-50</v>
      </c>
      <c r="Q27" s="67">
        <f t="shared" si="6"/>
        <v>-50</v>
      </c>
      <c r="R27" s="67">
        <f t="shared" si="6"/>
        <v>-50</v>
      </c>
      <c r="S27" s="67">
        <f t="shared" si="6"/>
        <v>-50</v>
      </c>
      <c r="T27" s="67">
        <f t="shared" si="6"/>
        <v>-50</v>
      </c>
      <c r="U27" s="67">
        <f t="shared" si="6"/>
        <v>-50</v>
      </c>
      <c r="V27" s="67">
        <f t="shared" si="6"/>
        <v>-50</v>
      </c>
      <c r="W27" s="67">
        <f t="shared" si="6"/>
        <v>-50</v>
      </c>
      <c r="X27" s="67">
        <f t="shared" si="6"/>
        <v>-50</v>
      </c>
      <c r="Y27" s="67">
        <f t="shared" si="6"/>
        <v>-50</v>
      </c>
      <c r="Z27" s="67">
        <f t="shared" si="6"/>
        <v>-50</v>
      </c>
      <c r="AA27" s="67">
        <f t="shared" si="6"/>
        <v>-50</v>
      </c>
      <c r="AB27" s="67">
        <f t="shared" si="6"/>
        <v>-50</v>
      </c>
      <c r="AC27" s="67">
        <f t="shared" si="6"/>
        <v>-50</v>
      </c>
      <c r="AD27" s="67">
        <f t="shared" si="6"/>
        <v>-50</v>
      </c>
      <c r="AE27" s="67">
        <f t="shared" si="6"/>
        <v>-50</v>
      </c>
      <c r="AF27" s="67">
        <f t="shared" si="6"/>
        <v>-50</v>
      </c>
      <c r="AG27" s="67">
        <f t="shared" si="6"/>
        <v>-50</v>
      </c>
      <c r="AH27" s="67">
        <f t="shared" si="6"/>
        <v>-50</v>
      </c>
      <c r="AI27" s="67">
        <f t="shared" si="6"/>
        <v>-50</v>
      </c>
      <c r="AJ27" s="67">
        <f t="shared" si="6"/>
        <v>-50</v>
      </c>
      <c r="AK27" s="67">
        <f t="shared" si="6"/>
        <v>-50</v>
      </c>
      <c r="AL27" s="67">
        <f t="shared" si="6"/>
        <v>-50</v>
      </c>
      <c r="AM27" s="67">
        <f t="shared" si="6"/>
        <v>-50</v>
      </c>
      <c r="AN27" s="67">
        <f t="shared" si="6"/>
        <v>-50</v>
      </c>
      <c r="AO27" s="67">
        <f t="shared" si="6"/>
        <v>-50</v>
      </c>
      <c r="AP27" s="67">
        <f t="shared" si="6"/>
        <v>-50</v>
      </c>
      <c r="AQ27" s="67">
        <f t="shared" si="6"/>
        <v>-50</v>
      </c>
      <c r="AR27" s="67">
        <f t="shared" si="6"/>
        <v>-50</v>
      </c>
      <c r="AS27" s="67">
        <f t="shared" si="6"/>
        <v>-50</v>
      </c>
      <c r="AT27" s="67">
        <f t="shared" si="6"/>
        <v>-50</v>
      </c>
      <c r="AU27" s="67">
        <f t="shared" si="6"/>
        <v>-50</v>
      </c>
      <c r="AV27" s="67">
        <f t="shared" si="6"/>
        <v>-50</v>
      </c>
      <c r="AW27" s="67">
        <f t="shared" si="6"/>
        <v>-50</v>
      </c>
      <c r="AX27" s="67">
        <f t="shared" si="6"/>
        <v>-50</v>
      </c>
      <c r="AY27" s="67">
        <f t="shared" si="6"/>
        <v>-50</v>
      </c>
      <c r="AZ27" s="67">
        <f t="shared" si="6"/>
        <v>-50</v>
      </c>
      <c r="BA27" s="67">
        <f t="shared" si="6"/>
        <v>-50</v>
      </c>
      <c r="BB27" s="67">
        <f t="shared" si="6"/>
        <v>-50</v>
      </c>
      <c r="BC27" s="67">
        <f t="shared" si="6"/>
        <v>-50</v>
      </c>
      <c r="BD27" s="67">
        <f t="shared" si="6"/>
        <v>-50</v>
      </c>
      <c r="BE27" s="67">
        <f t="shared" si="6"/>
        <v>-50</v>
      </c>
    </row>
    <row r="28" spans="2:71">
      <c r="B28" s="86" t="s">
        <v>89</v>
      </c>
      <c r="C28" s="87"/>
      <c r="D28" s="87"/>
      <c r="E28" s="88"/>
      <c r="F28" s="83" t="s">
        <v>99</v>
      </c>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Successful Adaptation to New Use Cases TARGET</v>
      </c>
      <c r="C30" s="87"/>
      <c r="D30" s="87"/>
      <c r="E30" s="88"/>
      <c r="F30" s="66">
        <v>10</v>
      </c>
      <c r="G30" s="66">
        <f>F30</f>
        <v>10</v>
      </c>
      <c r="H30" s="66">
        <f t="shared" ref="H30:BE30" si="7">G30</f>
        <v>10</v>
      </c>
      <c r="I30" s="66">
        <f t="shared" si="7"/>
        <v>10</v>
      </c>
      <c r="J30" s="66">
        <f t="shared" si="7"/>
        <v>10</v>
      </c>
      <c r="K30" s="66">
        <f t="shared" si="7"/>
        <v>10</v>
      </c>
      <c r="L30" s="66">
        <f t="shared" si="7"/>
        <v>10</v>
      </c>
      <c r="M30" s="66">
        <f t="shared" si="7"/>
        <v>10</v>
      </c>
      <c r="N30" s="66">
        <f t="shared" si="7"/>
        <v>10</v>
      </c>
      <c r="O30" s="66">
        <f t="shared" si="7"/>
        <v>10</v>
      </c>
      <c r="P30" s="66">
        <f t="shared" si="7"/>
        <v>10</v>
      </c>
      <c r="Q30" s="66">
        <f t="shared" si="7"/>
        <v>10</v>
      </c>
      <c r="R30" s="66">
        <f t="shared" si="7"/>
        <v>10</v>
      </c>
      <c r="S30" s="66">
        <f t="shared" si="7"/>
        <v>10</v>
      </c>
      <c r="T30" s="66">
        <f t="shared" si="7"/>
        <v>10</v>
      </c>
      <c r="U30" s="66">
        <f t="shared" si="7"/>
        <v>10</v>
      </c>
      <c r="V30" s="66">
        <f t="shared" si="7"/>
        <v>10</v>
      </c>
      <c r="W30" s="66">
        <f t="shared" si="7"/>
        <v>10</v>
      </c>
      <c r="X30" s="66">
        <f t="shared" si="7"/>
        <v>10</v>
      </c>
      <c r="Y30" s="66">
        <f t="shared" si="7"/>
        <v>10</v>
      </c>
      <c r="Z30" s="66">
        <f t="shared" si="7"/>
        <v>10</v>
      </c>
      <c r="AA30" s="66">
        <f t="shared" si="7"/>
        <v>10</v>
      </c>
      <c r="AB30" s="66">
        <f t="shared" si="7"/>
        <v>10</v>
      </c>
      <c r="AC30" s="66">
        <f t="shared" si="7"/>
        <v>10</v>
      </c>
      <c r="AD30" s="66">
        <f t="shared" si="7"/>
        <v>10</v>
      </c>
      <c r="AE30" s="66">
        <f t="shared" si="7"/>
        <v>10</v>
      </c>
      <c r="AF30" s="66">
        <f t="shared" si="7"/>
        <v>10</v>
      </c>
      <c r="AG30" s="66">
        <f t="shared" si="7"/>
        <v>10</v>
      </c>
      <c r="AH30" s="66">
        <f t="shared" si="7"/>
        <v>10</v>
      </c>
      <c r="AI30" s="66">
        <f t="shared" si="7"/>
        <v>10</v>
      </c>
      <c r="AJ30" s="66">
        <f t="shared" si="7"/>
        <v>10</v>
      </c>
      <c r="AK30" s="66">
        <f t="shared" si="7"/>
        <v>10</v>
      </c>
      <c r="AL30" s="66">
        <f t="shared" si="7"/>
        <v>10</v>
      </c>
      <c r="AM30" s="66">
        <f t="shared" si="7"/>
        <v>10</v>
      </c>
      <c r="AN30" s="66">
        <f t="shared" si="7"/>
        <v>10</v>
      </c>
      <c r="AO30" s="66">
        <f t="shared" si="7"/>
        <v>10</v>
      </c>
      <c r="AP30" s="66">
        <f t="shared" si="7"/>
        <v>10</v>
      </c>
      <c r="AQ30" s="66">
        <f t="shared" si="7"/>
        <v>10</v>
      </c>
      <c r="AR30" s="66">
        <f t="shared" si="7"/>
        <v>10</v>
      </c>
      <c r="AS30" s="66">
        <f t="shared" si="7"/>
        <v>10</v>
      </c>
      <c r="AT30" s="66">
        <f t="shared" si="7"/>
        <v>10</v>
      </c>
      <c r="AU30" s="66">
        <f t="shared" si="7"/>
        <v>10</v>
      </c>
      <c r="AV30" s="66">
        <f t="shared" si="7"/>
        <v>10</v>
      </c>
      <c r="AW30" s="66">
        <f t="shared" si="7"/>
        <v>10</v>
      </c>
      <c r="AX30" s="66">
        <f t="shared" si="7"/>
        <v>10</v>
      </c>
      <c r="AY30" s="66">
        <f t="shared" si="7"/>
        <v>10</v>
      </c>
      <c r="AZ30" s="66">
        <f t="shared" si="7"/>
        <v>10</v>
      </c>
      <c r="BA30" s="66">
        <f t="shared" si="7"/>
        <v>10</v>
      </c>
      <c r="BB30" s="66">
        <f t="shared" si="7"/>
        <v>10</v>
      </c>
      <c r="BC30" s="66">
        <f t="shared" si="7"/>
        <v>10</v>
      </c>
      <c r="BD30" s="66">
        <f t="shared" si="7"/>
        <v>10</v>
      </c>
      <c r="BE30" s="66">
        <f t="shared" si="7"/>
        <v>10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-10</v>
      </c>
      <c r="G32" s="67">
        <f t="shared" ref="G32:BE32" si="8">G31-G30</f>
        <v>-10</v>
      </c>
      <c r="H32" s="67">
        <f t="shared" si="8"/>
        <v>-10</v>
      </c>
      <c r="I32" s="67">
        <f t="shared" si="8"/>
        <v>-10</v>
      </c>
      <c r="J32" s="67">
        <f t="shared" si="8"/>
        <v>-10</v>
      </c>
      <c r="K32" s="67">
        <f t="shared" si="8"/>
        <v>-10</v>
      </c>
      <c r="L32" s="67">
        <f t="shared" si="8"/>
        <v>-10</v>
      </c>
      <c r="M32" s="67">
        <f t="shared" si="8"/>
        <v>-10</v>
      </c>
      <c r="N32" s="67">
        <f t="shared" si="8"/>
        <v>-10</v>
      </c>
      <c r="O32" s="67">
        <f t="shared" si="8"/>
        <v>-10</v>
      </c>
      <c r="P32" s="67">
        <f t="shared" si="8"/>
        <v>-10</v>
      </c>
      <c r="Q32" s="67">
        <f t="shared" si="8"/>
        <v>-10</v>
      </c>
      <c r="R32" s="67">
        <f t="shared" si="8"/>
        <v>-10</v>
      </c>
      <c r="S32" s="67">
        <f t="shared" si="8"/>
        <v>-10</v>
      </c>
      <c r="T32" s="67">
        <f t="shared" si="8"/>
        <v>-10</v>
      </c>
      <c r="U32" s="67">
        <f t="shared" si="8"/>
        <v>-10</v>
      </c>
      <c r="V32" s="67">
        <f t="shared" si="8"/>
        <v>-10</v>
      </c>
      <c r="W32" s="67">
        <f t="shared" si="8"/>
        <v>-10</v>
      </c>
      <c r="X32" s="67">
        <f t="shared" si="8"/>
        <v>-10</v>
      </c>
      <c r="Y32" s="67">
        <f t="shared" si="8"/>
        <v>-10</v>
      </c>
      <c r="Z32" s="67">
        <f t="shared" si="8"/>
        <v>-10</v>
      </c>
      <c r="AA32" s="67">
        <f t="shared" si="8"/>
        <v>-10</v>
      </c>
      <c r="AB32" s="67">
        <f t="shared" si="8"/>
        <v>-10</v>
      </c>
      <c r="AC32" s="67">
        <f t="shared" si="8"/>
        <v>-10</v>
      </c>
      <c r="AD32" s="67">
        <f t="shared" si="8"/>
        <v>-10</v>
      </c>
      <c r="AE32" s="67">
        <f t="shared" si="8"/>
        <v>-10</v>
      </c>
      <c r="AF32" s="67">
        <f t="shared" si="8"/>
        <v>-10</v>
      </c>
      <c r="AG32" s="67">
        <f t="shared" si="8"/>
        <v>-10</v>
      </c>
      <c r="AH32" s="67">
        <f t="shared" si="8"/>
        <v>-10</v>
      </c>
      <c r="AI32" s="67">
        <f t="shared" si="8"/>
        <v>-10</v>
      </c>
      <c r="AJ32" s="67">
        <f t="shared" si="8"/>
        <v>-10</v>
      </c>
      <c r="AK32" s="67">
        <f t="shared" si="8"/>
        <v>-10</v>
      </c>
      <c r="AL32" s="67">
        <f t="shared" si="8"/>
        <v>-10</v>
      </c>
      <c r="AM32" s="67">
        <f t="shared" si="8"/>
        <v>-10</v>
      </c>
      <c r="AN32" s="67">
        <f t="shared" si="8"/>
        <v>-10</v>
      </c>
      <c r="AO32" s="67">
        <f t="shared" si="8"/>
        <v>-10</v>
      </c>
      <c r="AP32" s="67">
        <f t="shared" si="8"/>
        <v>-10</v>
      </c>
      <c r="AQ32" s="67">
        <f t="shared" si="8"/>
        <v>-10</v>
      </c>
      <c r="AR32" s="67">
        <f t="shared" si="8"/>
        <v>-10</v>
      </c>
      <c r="AS32" s="67">
        <f t="shared" si="8"/>
        <v>-10</v>
      </c>
      <c r="AT32" s="67">
        <f t="shared" si="8"/>
        <v>-10</v>
      </c>
      <c r="AU32" s="67">
        <f t="shared" si="8"/>
        <v>-10</v>
      </c>
      <c r="AV32" s="67">
        <f t="shared" si="8"/>
        <v>-10</v>
      </c>
      <c r="AW32" s="67">
        <f t="shared" si="8"/>
        <v>-10</v>
      </c>
      <c r="AX32" s="67">
        <f t="shared" si="8"/>
        <v>-10</v>
      </c>
      <c r="AY32" s="67">
        <f t="shared" si="8"/>
        <v>-10</v>
      </c>
      <c r="AZ32" s="67">
        <f t="shared" si="8"/>
        <v>-10</v>
      </c>
      <c r="BA32" s="67">
        <f t="shared" si="8"/>
        <v>-10</v>
      </c>
      <c r="BB32" s="67">
        <f t="shared" si="8"/>
        <v>-10</v>
      </c>
      <c r="BC32" s="67">
        <f t="shared" si="8"/>
        <v>-10</v>
      </c>
      <c r="BD32" s="67">
        <f t="shared" si="8"/>
        <v>-10</v>
      </c>
      <c r="BE32" s="67">
        <f t="shared" si="8"/>
        <v>-10</v>
      </c>
    </row>
    <row r="33" spans="2:62">
      <c r="B33" s="86" t="s">
        <v>89</v>
      </c>
      <c r="C33" s="87"/>
      <c r="D33" s="87"/>
      <c r="E33" s="88"/>
      <c r="F33" s="166" t="s">
        <v>99</v>
      </c>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Conversion Rates from AI-powered features TARGET</v>
      </c>
      <c r="C35" s="87"/>
      <c r="D35" s="87"/>
      <c r="E35" s="88"/>
      <c r="F35" s="66">
        <v>10</v>
      </c>
      <c r="G35" s="66">
        <f>F35</f>
        <v>10</v>
      </c>
      <c r="H35" s="66">
        <f t="shared" ref="H35:BE35" si="9">G35</f>
        <v>10</v>
      </c>
      <c r="I35" s="66">
        <f t="shared" si="9"/>
        <v>10</v>
      </c>
      <c r="J35" s="66">
        <f t="shared" si="9"/>
        <v>10</v>
      </c>
      <c r="K35" s="66">
        <f t="shared" si="9"/>
        <v>10</v>
      </c>
      <c r="L35" s="66">
        <f t="shared" si="9"/>
        <v>10</v>
      </c>
      <c r="M35" s="66">
        <f t="shared" si="9"/>
        <v>10</v>
      </c>
      <c r="N35" s="66">
        <f t="shared" si="9"/>
        <v>10</v>
      </c>
      <c r="O35" s="66">
        <f t="shared" si="9"/>
        <v>10</v>
      </c>
      <c r="P35" s="66">
        <f t="shared" si="9"/>
        <v>10</v>
      </c>
      <c r="Q35" s="66">
        <f t="shared" si="9"/>
        <v>10</v>
      </c>
      <c r="R35" s="66">
        <f t="shared" si="9"/>
        <v>10</v>
      </c>
      <c r="S35" s="66">
        <f t="shared" si="9"/>
        <v>10</v>
      </c>
      <c r="T35" s="66">
        <f t="shared" si="9"/>
        <v>10</v>
      </c>
      <c r="U35" s="66">
        <f t="shared" si="9"/>
        <v>10</v>
      </c>
      <c r="V35" s="66">
        <f t="shared" si="9"/>
        <v>10</v>
      </c>
      <c r="W35" s="66">
        <f t="shared" si="9"/>
        <v>10</v>
      </c>
      <c r="X35" s="66">
        <f t="shared" si="9"/>
        <v>10</v>
      </c>
      <c r="Y35" s="66">
        <f t="shared" si="9"/>
        <v>10</v>
      </c>
      <c r="Z35" s="66">
        <f t="shared" si="9"/>
        <v>10</v>
      </c>
      <c r="AA35" s="66">
        <f t="shared" si="9"/>
        <v>10</v>
      </c>
      <c r="AB35" s="66">
        <f t="shared" si="9"/>
        <v>10</v>
      </c>
      <c r="AC35" s="66">
        <f t="shared" si="9"/>
        <v>10</v>
      </c>
      <c r="AD35" s="66">
        <f t="shared" si="9"/>
        <v>10</v>
      </c>
      <c r="AE35" s="66">
        <f t="shared" si="9"/>
        <v>10</v>
      </c>
      <c r="AF35" s="66">
        <f t="shared" si="9"/>
        <v>10</v>
      </c>
      <c r="AG35" s="66">
        <f t="shared" si="9"/>
        <v>10</v>
      </c>
      <c r="AH35" s="66">
        <f t="shared" si="9"/>
        <v>10</v>
      </c>
      <c r="AI35" s="66">
        <f t="shared" si="9"/>
        <v>10</v>
      </c>
      <c r="AJ35" s="66">
        <f t="shared" si="9"/>
        <v>10</v>
      </c>
      <c r="AK35" s="66">
        <f t="shared" si="9"/>
        <v>10</v>
      </c>
      <c r="AL35" s="66">
        <f t="shared" si="9"/>
        <v>10</v>
      </c>
      <c r="AM35" s="66">
        <f t="shared" si="9"/>
        <v>10</v>
      </c>
      <c r="AN35" s="66">
        <f t="shared" si="9"/>
        <v>10</v>
      </c>
      <c r="AO35" s="66">
        <f t="shared" si="9"/>
        <v>10</v>
      </c>
      <c r="AP35" s="66">
        <f t="shared" si="9"/>
        <v>10</v>
      </c>
      <c r="AQ35" s="66">
        <f t="shared" si="9"/>
        <v>10</v>
      </c>
      <c r="AR35" s="66">
        <f t="shared" si="9"/>
        <v>10</v>
      </c>
      <c r="AS35" s="66">
        <f t="shared" si="9"/>
        <v>10</v>
      </c>
      <c r="AT35" s="66">
        <f t="shared" si="9"/>
        <v>10</v>
      </c>
      <c r="AU35" s="66">
        <f t="shared" si="9"/>
        <v>10</v>
      </c>
      <c r="AV35" s="66">
        <f t="shared" si="9"/>
        <v>10</v>
      </c>
      <c r="AW35" s="66">
        <f t="shared" si="9"/>
        <v>10</v>
      </c>
      <c r="AX35" s="66">
        <f t="shared" si="9"/>
        <v>10</v>
      </c>
      <c r="AY35" s="66">
        <f t="shared" si="9"/>
        <v>10</v>
      </c>
      <c r="AZ35" s="66">
        <f t="shared" si="9"/>
        <v>10</v>
      </c>
      <c r="BA35" s="66">
        <f t="shared" si="9"/>
        <v>10</v>
      </c>
      <c r="BB35" s="66">
        <f t="shared" si="9"/>
        <v>10</v>
      </c>
      <c r="BC35" s="66">
        <f t="shared" si="9"/>
        <v>10</v>
      </c>
      <c r="BD35" s="66">
        <f t="shared" si="9"/>
        <v>10</v>
      </c>
      <c r="BE35" s="66">
        <f t="shared" si="9"/>
        <v>10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-10</v>
      </c>
      <c r="G37" s="67">
        <f t="shared" ref="G37:BE37" si="10">G36-G35</f>
        <v>-10</v>
      </c>
      <c r="H37" s="67">
        <f t="shared" si="10"/>
        <v>-10</v>
      </c>
      <c r="I37" s="67">
        <f t="shared" si="10"/>
        <v>-10</v>
      </c>
      <c r="J37" s="67">
        <f t="shared" si="10"/>
        <v>-10</v>
      </c>
      <c r="K37" s="67">
        <f t="shared" si="10"/>
        <v>-10</v>
      </c>
      <c r="L37" s="67">
        <f t="shared" si="10"/>
        <v>-10</v>
      </c>
      <c r="M37" s="67">
        <f t="shared" si="10"/>
        <v>-10</v>
      </c>
      <c r="N37" s="67">
        <f t="shared" si="10"/>
        <v>-10</v>
      </c>
      <c r="O37" s="67">
        <f t="shared" si="10"/>
        <v>-10</v>
      </c>
      <c r="P37" s="67">
        <f t="shared" si="10"/>
        <v>-10</v>
      </c>
      <c r="Q37" s="67">
        <f t="shared" si="10"/>
        <v>-10</v>
      </c>
      <c r="R37" s="67">
        <f t="shared" si="10"/>
        <v>-10</v>
      </c>
      <c r="S37" s="67">
        <f t="shared" si="10"/>
        <v>-10</v>
      </c>
      <c r="T37" s="67">
        <f t="shared" si="10"/>
        <v>-10</v>
      </c>
      <c r="U37" s="67">
        <f t="shared" si="10"/>
        <v>-10</v>
      </c>
      <c r="V37" s="67">
        <f t="shared" si="10"/>
        <v>-10</v>
      </c>
      <c r="W37" s="67">
        <f t="shared" si="10"/>
        <v>-10</v>
      </c>
      <c r="X37" s="67">
        <f t="shared" si="10"/>
        <v>-10</v>
      </c>
      <c r="Y37" s="67">
        <f t="shared" si="10"/>
        <v>-10</v>
      </c>
      <c r="Z37" s="67">
        <f t="shared" si="10"/>
        <v>-10</v>
      </c>
      <c r="AA37" s="67">
        <f t="shared" si="10"/>
        <v>-10</v>
      </c>
      <c r="AB37" s="67">
        <f t="shared" si="10"/>
        <v>-10</v>
      </c>
      <c r="AC37" s="67">
        <f t="shared" si="10"/>
        <v>-10</v>
      </c>
      <c r="AD37" s="67">
        <f t="shared" si="10"/>
        <v>-10</v>
      </c>
      <c r="AE37" s="67">
        <f t="shared" si="10"/>
        <v>-10</v>
      </c>
      <c r="AF37" s="67">
        <f t="shared" si="10"/>
        <v>-10</v>
      </c>
      <c r="AG37" s="67">
        <f t="shared" si="10"/>
        <v>-10</v>
      </c>
      <c r="AH37" s="67">
        <f t="shared" si="10"/>
        <v>-10</v>
      </c>
      <c r="AI37" s="67">
        <f t="shared" si="10"/>
        <v>-10</v>
      </c>
      <c r="AJ37" s="67">
        <f t="shared" si="10"/>
        <v>-10</v>
      </c>
      <c r="AK37" s="67">
        <f t="shared" si="10"/>
        <v>-10</v>
      </c>
      <c r="AL37" s="67">
        <f t="shared" si="10"/>
        <v>-10</v>
      </c>
      <c r="AM37" s="67">
        <f t="shared" si="10"/>
        <v>-10</v>
      </c>
      <c r="AN37" s="67">
        <f t="shared" si="10"/>
        <v>-10</v>
      </c>
      <c r="AO37" s="67">
        <f t="shared" si="10"/>
        <v>-10</v>
      </c>
      <c r="AP37" s="67">
        <f t="shared" si="10"/>
        <v>-10</v>
      </c>
      <c r="AQ37" s="67">
        <f t="shared" si="10"/>
        <v>-10</v>
      </c>
      <c r="AR37" s="67">
        <f t="shared" si="10"/>
        <v>-10</v>
      </c>
      <c r="AS37" s="67">
        <f t="shared" si="10"/>
        <v>-10</v>
      </c>
      <c r="AT37" s="67">
        <f t="shared" si="10"/>
        <v>-10</v>
      </c>
      <c r="AU37" s="67">
        <f t="shared" si="10"/>
        <v>-10</v>
      </c>
      <c r="AV37" s="67">
        <f t="shared" si="10"/>
        <v>-10</v>
      </c>
      <c r="AW37" s="67">
        <f t="shared" si="10"/>
        <v>-10</v>
      </c>
      <c r="AX37" s="67">
        <f t="shared" si="10"/>
        <v>-10</v>
      </c>
      <c r="AY37" s="67">
        <f t="shared" si="10"/>
        <v>-10</v>
      </c>
      <c r="AZ37" s="67">
        <f t="shared" si="10"/>
        <v>-10</v>
      </c>
      <c r="BA37" s="67">
        <f t="shared" si="10"/>
        <v>-10</v>
      </c>
      <c r="BB37" s="67">
        <f t="shared" si="10"/>
        <v>-10</v>
      </c>
      <c r="BC37" s="67">
        <f t="shared" si="10"/>
        <v>-10</v>
      </c>
      <c r="BD37" s="67">
        <f t="shared" si="10"/>
        <v>-10</v>
      </c>
      <c r="BE37" s="67">
        <f t="shared" si="10"/>
        <v>-10</v>
      </c>
    </row>
    <row r="38" spans="2:62">
      <c r="B38" s="86" t="s">
        <v>89</v>
      </c>
      <c r="C38" s="87"/>
      <c r="D38" s="87"/>
      <c r="E38" s="88"/>
      <c r="F38" s="166" t="s">
        <v>99</v>
      </c>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10</v>
      </c>
      <c r="G41" s="33">
        <f t="shared" si="11"/>
        <v>10</v>
      </c>
      <c r="H41" s="33">
        <f t="shared" si="11"/>
        <v>10</v>
      </c>
      <c r="I41" s="33">
        <f t="shared" si="11"/>
        <v>10</v>
      </c>
      <c r="J41" s="33">
        <f t="shared" si="11"/>
        <v>10</v>
      </c>
      <c r="K41" s="33">
        <f t="shared" si="11"/>
        <v>10</v>
      </c>
      <c r="L41" s="33">
        <f t="shared" si="11"/>
        <v>10</v>
      </c>
      <c r="M41" s="33">
        <f t="shared" si="11"/>
        <v>10</v>
      </c>
      <c r="N41" s="33">
        <f t="shared" si="11"/>
        <v>10</v>
      </c>
      <c r="O41" s="33">
        <f t="shared" si="11"/>
        <v>10</v>
      </c>
      <c r="P41" s="33">
        <f t="shared" si="11"/>
        <v>10</v>
      </c>
      <c r="Q41" s="33">
        <f t="shared" si="11"/>
        <v>10</v>
      </c>
      <c r="R41" s="33">
        <f t="shared" si="11"/>
        <v>10</v>
      </c>
      <c r="S41" s="33">
        <f t="shared" si="11"/>
        <v>10</v>
      </c>
      <c r="T41" s="33">
        <f t="shared" si="11"/>
        <v>10</v>
      </c>
      <c r="U41" s="33">
        <f t="shared" si="11"/>
        <v>10</v>
      </c>
      <c r="V41" s="33">
        <f t="shared" si="11"/>
        <v>10</v>
      </c>
      <c r="W41" s="33">
        <f t="shared" si="11"/>
        <v>10</v>
      </c>
      <c r="X41" s="33">
        <f t="shared" si="11"/>
        <v>10</v>
      </c>
      <c r="Y41" s="33">
        <f t="shared" si="11"/>
        <v>10</v>
      </c>
      <c r="Z41" s="33">
        <f t="shared" si="11"/>
        <v>10</v>
      </c>
      <c r="AA41" s="33">
        <f t="shared" si="11"/>
        <v>10</v>
      </c>
      <c r="AB41" s="33">
        <f t="shared" si="11"/>
        <v>10</v>
      </c>
      <c r="AC41" s="33">
        <f t="shared" si="11"/>
        <v>10</v>
      </c>
      <c r="AD41" s="33">
        <f t="shared" si="11"/>
        <v>10</v>
      </c>
      <c r="AE41" s="33">
        <f t="shared" si="11"/>
        <v>10</v>
      </c>
      <c r="AF41" s="33">
        <f t="shared" si="11"/>
        <v>10</v>
      </c>
      <c r="AG41" s="33">
        <f t="shared" si="11"/>
        <v>10</v>
      </c>
      <c r="AH41" s="33">
        <f t="shared" si="11"/>
        <v>10</v>
      </c>
      <c r="AI41" s="33">
        <f t="shared" si="11"/>
        <v>10</v>
      </c>
      <c r="AJ41" s="33">
        <f t="shared" si="11"/>
        <v>10</v>
      </c>
      <c r="AK41" s="33">
        <f t="shared" si="11"/>
        <v>10</v>
      </c>
      <c r="AL41" s="33">
        <f t="shared" si="11"/>
        <v>10</v>
      </c>
      <c r="AM41" s="33">
        <f t="shared" si="11"/>
        <v>10</v>
      </c>
      <c r="AN41" s="33">
        <f t="shared" si="11"/>
        <v>10</v>
      </c>
      <c r="AO41" s="33">
        <f t="shared" si="11"/>
        <v>10</v>
      </c>
      <c r="AP41" s="33">
        <f t="shared" si="11"/>
        <v>10</v>
      </c>
      <c r="AQ41" s="33">
        <f t="shared" si="11"/>
        <v>10</v>
      </c>
      <c r="AR41" s="33">
        <f t="shared" si="11"/>
        <v>10</v>
      </c>
      <c r="AS41" s="33">
        <f t="shared" si="11"/>
        <v>10</v>
      </c>
      <c r="AT41" s="33">
        <f t="shared" si="11"/>
        <v>10</v>
      </c>
      <c r="AU41" s="33">
        <f t="shared" si="11"/>
        <v>10</v>
      </c>
      <c r="AV41" s="33">
        <f t="shared" si="11"/>
        <v>10</v>
      </c>
      <c r="AW41" s="33">
        <f t="shared" si="11"/>
        <v>10</v>
      </c>
      <c r="AX41" s="33">
        <f t="shared" si="11"/>
        <v>10</v>
      </c>
      <c r="AY41" s="33">
        <f t="shared" si="11"/>
        <v>10</v>
      </c>
      <c r="AZ41" s="33">
        <f t="shared" si="11"/>
        <v>10</v>
      </c>
      <c r="BA41" s="33">
        <f t="shared" si="11"/>
        <v>10</v>
      </c>
      <c r="BB41" s="33">
        <f t="shared" si="11"/>
        <v>10</v>
      </c>
      <c r="BC41" s="33">
        <f t="shared" si="11"/>
        <v>10</v>
      </c>
      <c r="BD41" s="33">
        <f t="shared" si="11"/>
        <v>10</v>
      </c>
      <c r="BE41" s="33">
        <f t="shared" si="11"/>
        <v>10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10</v>
      </c>
      <c r="G47" s="33">
        <f t="shared" ref="G47:BE47" si="13">G41+G44</f>
        <v>10</v>
      </c>
      <c r="H47" s="33">
        <f t="shared" si="13"/>
        <v>10</v>
      </c>
      <c r="I47" s="33">
        <f t="shared" si="13"/>
        <v>10</v>
      </c>
      <c r="J47" s="33">
        <f t="shared" si="13"/>
        <v>10</v>
      </c>
      <c r="K47" s="33">
        <f t="shared" si="13"/>
        <v>10</v>
      </c>
      <c r="L47" s="33">
        <f t="shared" si="13"/>
        <v>10</v>
      </c>
      <c r="M47" s="33">
        <f t="shared" si="13"/>
        <v>10</v>
      </c>
      <c r="N47" s="33">
        <f t="shared" si="13"/>
        <v>10</v>
      </c>
      <c r="O47" s="33">
        <f t="shared" si="13"/>
        <v>10</v>
      </c>
      <c r="P47" s="33">
        <f t="shared" si="13"/>
        <v>10</v>
      </c>
      <c r="Q47" s="33">
        <f t="shared" si="13"/>
        <v>10</v>
      </c>
      <c r="R47" s="33">
        <f t="shared" si="13"/>
        <v>10</v>
      </c>
      <c r="S47" s="33">
        <f t="shared" si="13"/>
        <v>10</v>
      </c>
      <c r="T47" s="33">
        <f t="shared" si="13"/>
        <v>10</v>
      </c>
      <c r="U47" s="33">
        <f t="shared" si="13"/>
        <v>10</v>
      </c>
      <c r="V47" s="33">
        <f t="shared" si="13"/>
        <v>10</v>
      </c>
      <c r="W47" s="33">
        <f t="shared" si="13"/>
        <v>10</v>
      </c>
      <c r="X47" s="33">
        <f t="shared" si="13"/>
        <v>10</v>
      </c>
      <c r="Y47" s="33">
        <f t="shared" si="13"/>
        <v>10</v>
      </c>
      <c r="Z47" s="33">
        <f t="shared" si="13"/>
        <v>10</v>
      </c>
      <c r="AA47" s="33">
        <f t="shared" si="13"/>
        <v>10</v>
      </c>
      <c r="AB47" s="33">
        <f t="shared" si="13"/>
        <v>10</v>
      </c>
      <c r="AC47" s="33">
        <f t="shared" si="13"/>
        <v>10</v>
      </c>
      <c r="AD47" s="33">
        <f t="shared" si="13"/>
        <v>10</v>
      </c>
      <c r="AE47" s="33">
        <f t="shared" si="13"/>
        <v>10</v>
      </c>
      <c r="AF47" s="33">
        <f t="shared" si="13"/>
        <v>10</v>
      </c>
      <c r="AG47" s="33">
        <f t="shared" si="13"/>
        <v>10</v>
      </c>
      <c r="AH47" s="33">
        <f t="shared" si="13"/>
        <v>10</v>
      </c>
      <c r="AI47" s="33">
        <f t="shared" si="13"/>
        <v>10</v>
      </c>
      <c r="AJ47" s="33">
        <f t="shared" si="13"/>
        <v>10</v>
      </c>
      <c r="AK47" s="33">
        <f t="shared" si="13"/>
        <v>10</v>
      </c>
      <c r="AL47" s="33">
        <f t="shared" si="13"/>
        <v>10</v>
      </c>
      <c r="AM47" s="33">
        <f t="shared" si="13"/>
        <v>10</v>
      </c>
      <c r="AN47" s="33">
        <f t="shared" si="13"/>
        <v>10</v>
      </c>
      <c r="AO47" s="33">
        <f t="shared" si="13"/>
        <v>10</v>
      </c>
      <c r="AP47" s="33">
        <f t="shared" si="13"/>
        <v>10</v>
      </c>
      <c r="AQ47" s="33">
        <f t="shared" si="13"/>
        <v>10</v>
      </c>
      <c r="AR47" s="33">
        <f t="shared" si="13"/>
        <v>10</v>
      </c>
      <c r="AS47" s="33">
        <f t="shared" si="13"/>
        <v>10</v>
      </c>
      <c r="AT47" s="33">
        <f t="shared" si="13"/>
        <v>10</v>
      </c>
      <c r="AU47" s="33">
        <f t="shared" si="13"/>
        <v>10</v>
      </c>
      <c r="AV47" s="33">
        <f t="shared" si="13"/>
        <v>10</v>
      </c>
      <c r="AW47" s="33">
        <f t="shared" si="13"/>
        <v>10</v>
      </c>
      <c r="AX47" s="33">
        <f t="shared" si="13"/>
        <v>10</v>
      </c>
      <c r="AY47" s="33">
        <f t="shared" si="13"/>
        <v>10</v>
      </c>
      <c r="AZ47" s="33">
        <f t="shared" si="13"/>
        <v>10</v>
      </c>
      <c r="BA47" s="33">
        <f t="shared" si="13"/>
        <v>10</v>
      </c>
      <c r="BB47" s="33">
        <f t="shared" si="13"/>
        <v>10</v>
      </c>
      <c r="BC47" s="33">
        <f t="shared" si="13"/>
        <v>10</v>
      </c>
      <c r="BD47" s="33">
        <f t="shared" si="13"/>
        <v>10</v>
      </c>
      <c r="BE47" s="33">
        <f t="shared" si="13"/>
        <v>10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10</v>
      </c>
      <c r="F50" s="33">
        <f t="shared" ref="F50:BE51" ca="1" si="15">IF($AZ$3&gt;F24,F47,0)</f>
        <v>10</v>
      </c>
      <c r="G50" s="33">
        <f t="shared" ca="1" si="15"/>
        <v>10</v>
      </c>
      <c r="H50" s="33">
        <f t="shared" ca="1" si="15"/>
        <v>10</v>
      </c>
      <c r="I50" s="33">
        <f t="shared" ca="1" si="15"/>
        <v>10</v>
      </c>
      <c r="J50" s="33">
        <f t="shared" ca="1" si="15"/>
        <v>10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41" priority="1" operator="equal">
      <formula>"No Change"</formula>
    </cfRule>
    <cfRule type="cellIs" dxfId="40" priority="2" operator="equal">
      <formula>"Progression"</formula>
    </cfRule>
  </conditionalFormatting>
  <conditionalFormatting sqref="AU10:AU21">
    <cfRule type="expression" dxfId="39" priority="3">
      <formula>IFERROR(FIND("Ahead",AU10),0)&gt;0</formula>
    </cfRule>
    <cfRule type="expression" dxfId="38" priority="4">
      <formula>IFERROR(FIND("Overdue",AU10),0)&gt;0</formula>
    </cfRule>
    <cfRule type="cellIs" dxfId="37" priority="5" operator="equal">
      <formula>"Met Target"</formula>
    </cfRule>
    <cfRule type="cellIs" dxfId="36" priority="6" operator="equal">
      <formula>"Missing Target"</formula>
    </cfRule>
    <cfRule type="expression" dxfId="3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451E105A-66EE-CA42-A25F-387E7060B5B4}">
      <formula1>43831</formula1>
    </dataValidation>
  </dataValidations>
  <hyperlinks>
    <hyperlink ref="C17:D17" r:id="rId1" display="ed.leisman@pyxissoftware.com" xr:uid="{982FA79B-EF30-F94E-91E2-3185DF203083}"/>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E7D18285-6CBD-4D4C-9AC2-F3B6E69731DB}">
          <x14:formula1>
            <xm:f>Lookups!$AC$4:$AC$9</xm:f>
          </x14:formula1>
          <xm:sqref>AC7</xm:sqref>
        </x14:dataValidation>
        <x14:dataValidation type="list" allowBlank="1" showInputMessage="1" showErrorMessage="1" xr:uid="{98A6D51A-DC6E-E747-86EF-25EF64063854}">
          <x14:formula1>
            <xm:f>Lookups!$B$4:$B$8</xm:f>
          </x14:formula1>
          <xm:sqref>F7:X7</xm:sqref>
        </x14:dataValidation>
        <x14:dataValidation type="list" allowBlank="1" showInputMessage="1" showErrorMessage="1" xr:uid="{C74DB928-8457-AB47-9592-4CF20DBBC786}">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Normal="100" workbookViewId="0">
      <pane xSplit="5" ySplit="7" topLeftCell="F9" activePane="bottomRight" state="frozen"/>
      <selection pane="topRight" activeCell="F1" sqref="F1:BE1048576"/>
      <selection pane="bottomLeft" activeCell="F1" sqref="F1:BE1048576"/>
      <selection pane="bottomRight" activeCell="C21" sqref="C21:D21"/>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t="s">
        <v>117</v>
      </c>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Complex Tool</v>
      </c>
      <c r="AP3" s="141"/>
      <c r="AQ3" s="141"/>
      <c r="AR3" s="141"/>
      <c r="AS3" s="141"/>
      <c r="AT3" s="141"/>
      <c r="AU3" s="141"/>
      <c r="AV3" s="151">
        <f>IF(F7="",0,VLOOKUP(F7,Lookups!B4:H8,3))</f>
        <v>25</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Dev</v>
      </c>
      <c r="AP4" s="141"/>
      <c r="AQ4" s="141"/>
      <c r="AR4" s="141"/>
      <c r="AS4" s="141"/>
      <c r="AT4" s="141"/>
      <c r="AU4" s="141"/>
      <c r="AV4" s="154">
        <f ca="1">IF(AO4="Not Def",0,VLOOKUP(AO4,Lookups!L4:M8,2))</f>
        <v>0.4</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t="s">
        <v>118</v>
      </c>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1.2</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12</v>
      </c>
      <c r="AW6" s="155"/>
      <c r="AX6" s="155"/>
      <c r="AY6" s="18"/>
      <c r="AZ6" s="18"/>
      <c r="BA6" s="18"/>
      <c r="BB6" s="18"/>
      <c r="BC6" s="18"/>
      <c r="BD6" s="18"/>
      <c r="BH6" s="13"/>
      <c r="BI6" s="17"/>
      <c r="BJ6" s="17"/>
      <c r="BK6" s="17"/>
    </row>
    <row r="7" spans="2:71" ht="28.5" customHeight="1" thickBot="1">
      <c r="B7" s="97" t="s">
        <v>34</v>
      </c>
      <c r="C7" s="98"/>
      <c r="D7" s="98"/>
      <c r="E7" s="99"/>
      <c r="F7" s="94" t="s">
        <v>100</v>
      </c>
      <c r="G7" s="95"/>
      <c r="H7" s="95"/>
      <c r="I7" s="95"/>
      <c r="J7" s="95"/>
      <c r="K7" s="95"/>
      <c r="L7" s="95"/>
      <c r="M7" s="95"/>
      <c r="N7" s="95"/>
      <c r="O7" s="95"/>
      <c r="P7" s="95"/>
      <c r="Q7" s="95"/>
      <c r="R7" s="95"/>
      <c r="S7" s="95"/>
      <c r="T7" s="95"/>
      <c r="U7" s="95"/>
      <c r="V7" s="95"/>
      <c r="W7" s="95"/>
      <c r="X7" s="96"/>
      <c r="Y7" s="97" t="s">
        <v>9</v>
      </c>
      <c r="Z7" s="98"/>
      <c r="AA7" s="98"/>
      <c r="AB7" s="99"/>
      <c r="AC7" s="100" t="s">
        <v>101</v>
      </c>
      <c r="AD7" s="101"/>
      <c r="AE7" s="102"/>
      <c r="BH7" s="13"/>
      <c r="BI7" s="13"/>
      <c r="BJ7" s="17"/>
      <c r="BK7" s="17"/>
    </row>
    <row r="8" spans="2:71" ht="28.5" customHeight="1" thickBot="1">
      <c r="B8" s="97" t="s">
        <v>7</v>
      </c>
      <c r="C8" s="98"/>
      <c r="D8" s="98"/>
      <c r="E8" s="99"/>
      <c r="F8" s="136" t="str">
        <f>IF(F7="","",VLOOKUP(F7,Lookups!B4:H8,2))</f>
        <v>Complex Tool</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AI-powered code review, automated testing, advanced development environments</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v>45931</v>
      </c>
      <c r="AP10" s="92"/>
      <c r="AQ10" s="92"/>
      <c r="AR10" s="92">
        <v>45931</v>
      </c>
      <c r="AS10" s="92"/>
      <c r="AT10" s="92"/>
      <c r="AU10" s="93" t="str">
        <f>IF(AO10=$BK$3,"Missing Target",IF(AR10=$BK$3,IF($AZ$3&gt;AO10,INT($AZ$3-AO10)&amp;" Day(s) Overdue","Incomplete"),IF(AR10&gt;AO10,INT(AR10-AO10)&amp;" Day(s) Late",IF(AR10=AO10,"OK",INT(AO10-AR10)&amp;" Day(s) Ahead"))))</f>
        <v>OK</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v>45936</v>
      </c>
      <c r="AP11" s="92"/>
      <c r="AQ11" s="92"/>
      <c r="AR11" s="92">
        <v>45936</v>
      </c>
      <c r="AS11" s="92"/>
      <c r="AT11" s="92"/>
      <c r="AU11" s="93" t="str">
        <f t="shared" ref="AU11:AU14" si="0">IF(AO11=$BK$3,"Missing Target",IF(AR11=$BK$3,IF($AZ$3&gt;AO11,INT($AZ$3-AO11)&amp;" Day(s) Overdue","Incomplete"),IF(AR11&gt;AO11,INT(AR11-AO11)&amp;" Day(s) Late",IF(AR11=AO11,"OK",INT(AO11-AR11)&amp;" Day(s) Ahead"))))</f>
        <v>OK</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Integration Depth</v>
      </c>
      <c r="G12" s="125"/>
      <c r="H12" s="125"/>
      <c r="I12" s="125"/>
      <c r="J12" s="125"/>
      <c r="K12" s="125"/>
      <c r="L12" s="125"/>
      <c r="M12" s="126"/>
      <c r="O12" s="124" t="str">
        <f>IF(F7="","",VLOOKUP(F7,Lookups!B4:H8,6))</f>
        <v>Process Improvement</v>
      </c>
      <c r="P12" s="125"/>
      <c r="Q12" s="125"/>
      <c r="R12" s="125"/>
      <c r="S12" s="125"/>
      <c r="T12" s="125"/>
      <c r="U12" s="125"/>
      <c r="V12" s="126"/>
      <c r="X12" s="124" t="str">
        <f>IF(F7="","",VLOOKUP(F7,Lookups!B4:H8,7))</f>
        <v>Skills Development</v>
      </c>
      <c r="Y12" s="125"/>
      <c r="Z12" s="125"/>
      <c r="AA12" s="125"/>
      <c r="AB12" s="125"/>
      <c r="AC12" s="125"/>
      <c r="AD12" s="125"/>
      <c r="AE12" s="126"/>
      <c r="AG12" s="127"/>
      <c r="AH12" s="127"/>
      <c r="AI12" s="127"/>
      <c r="AJ12" s="89" t="s">
        <v>50</v>
      </c>
      <c r="AK12" s="89"/>
      <c r="AL12" s="89"/>
      <c r="AM12" s="89"/>
      <c r="AN12" s="89"/>
      <c r="AO12" s="92">
        <v>45936</v>
      </c>
      <c r="AP12" s="92"/>
      <c r="AQ12" s="92"/>
      <c r="AR12" s="92">
        <v>45936</v>
      </c>
      <c r="AS12" s="92"/>
      <c r="AT12" s="92"/>
      <c r="AU12" s="93" t="str">
        <f t="shared" si="0"/>
        <v>OK</v>
      </c>
      <c r="AV12" s="93"/>
      <c r="AW12" s="93"/>
      <c r="AX12" s="93"/>
      <c r="AY12" s="91"/>
      <c r="AZ12" s="91"/>
      <c r="BA12" s="91"/>
      <c r="BB12" s="91"/>
      <c r="BC12" s="91"/>
      <c r="BD12" s="91"/>
      <c r="BE12" s="91"/>
      <c r="BL12" s="15"/>
      <c r="BS12" s="12"/>
    </row>
    <row r="13" spans="2:71" ht="28.5" customHeight="1" thickBot="1">
      <c r="B13" s="103" t="s">
        <v>119</v>
      </c>
      <c r="C13" s="104"/>
      <c r="D13" s="105"/>
      <c r="F13" s="24" t="s">
        <v>52</v>
      </c>
      <c r="G13" s="77" t="s">
        <v>53</v>
      </c>
      <c r="H13" s="78"/>
      <c r="I13" s="78"/>
      <c r="J13" s="78"/>
      <c r="K13" s="78"/>
      <c r="L13" s="78"/>
      <c r="M13" s="79"/>
      <c r="O13" s="24" t="s">
        <v>52</v>
      </c>
      <c r="P13" s="77" t="s">
        <v>97</v>
      </c>
      <c r="Q13" s="78"/>
      <c r="R13" s="78"/>
      <c r="S13" s="78"/>
      <c r="T13" s="78"/>
      <c r="U13" s="78"/>
      <c r="V13" s="79"/>
      <c r="X13" s="24" t="s">
        <v>52</v>
      </c>
      <c r="Y13" s="77" t="s">
        <v>120</v>
      </c>
      <c r="Z13" s="78"/>
      <c r="AA13" s="78"/>
      <c r="AB13" s="78"/>
      <c r="AC13" s="78"/>
      <c r="AD13" s="78"/>
      <c r="AE13" s="79"/>
      <c r="AG13" s="127" t="s">
        <v>56</v>
      </c>
      <c r="AH13" s="127"/>
      <c r="AI13" s="127"/>
      <c r="AJ13" s="89" t="s">
        <v>57</v>
      </c>
      <c r="AK13" s="89"/>
      <c r="AL13" s="89"/>
      <c r="AM13" s="89"/>
      <c r="AN13" s="89"/>
      <c r="AO13" s="92">
        <v>45936</v>
      </c>
      <c r="AP13" s="92"/>
      <c r="AQ13" s="92"/>
      <c r="AR13" s="92">
        <v>45936</v>
      </c>
      <c r="AS13" s="92"/>
      <c r="AT13" s="92"/>
      <c r="AU13" s="93" t="str">
        <f t="shared" si="0"/>
        <v>OK</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v>45943</v>
      </c>
      <c r="AP14" s="92"/>
      <c r="AQ14" s="92"/>
      <c r="AR14" s="92">
        <v>45931</v>
      </c>
      <c r="AS14" s="92"/>
      <c r="AT14" s="92"/>
      <c r="AU14" s="93" t="str">
        <f t="shared" si="0"/>
        <v>12 Day(s) Ahead</v>
      </c>
      <c r="AV14" s="93"/>
      <c r="AW14" s="93"/>
      <c r="AX14" s="93"/>
      <c r="AY14" s="91"/>
      <c r="AZ14" s="91"/>
      <c r="BA14" s="91"/>
      <c r="BB14" s="91"/>
      <c r="BC14" s="91"/>
      <c r="BD14" s="91"/>
      <c r="BE14" s="91"/>
      <c r="BL14" s="15"/>
      <c r="BS14" s="12"/>
    </row>
    <row r="15" spans="2:71" ht="28.5" customHeight="1" thickBot="1">
      <c r="B15" s="109"/>
      <c r="C15" s="110"/>
      <c r="D15" s="111"/>
      <c r="F15" s="115" t="s">
        <v>121</v>
      </c>
      <c r="G15" s="116"/>
      <c r="H15" s="116"/>
      <c r="I15" s="116"/>
      <c r="J15" s="116"/>
      <c r="K15" s="116"/>
      <c r="L15" s="116"/>
      <c r="M15" s="117"/>
      <c r="O15" s="115" t="s">
        <v>122</v>
      </c>
      <c r="P15" s="116"/>
      <c r="Q15" s="116"/>
      <c r="R15" s="116"/>
      <c r="S15" s="116"/>
      <c r="T15" s="116"/>
      <c r="U15" s="116"/>
      <c r="V15" s="117"/>
      <c r="X15" s="115" t="s">
        <v>123</v>
      </c>
      <c r="Y15" s="116"/>
      <c r="Z15" s="116"/>
      <c r="AA15" s="116"/>
      <c r="AB15" s="116"/>
      <c r="AC15" s="116"/>
      <c r="AD15" s="116"/>
      <c r="AE15" s="117"/>
      <c r="AG15" s="127"/>
      <c r="AH15" s="127"/>
      <c r="AI15" s="127"/>
      <c r="AJ15" s="89" t="s">
        <v>63</v>
      </c>
      <c r="AK15" s="89"/>
      <c r="AL15" s="89"/>
      <c r="AM15" s="89"/>
      <c r="AN15" s="89"/>
      <c r="AO15" s="92">
        <v>45946</v>
      </c>
      <c r="AP15" s="92"/>
      <c r="AQ15" s="92"/>
      <c r="AR15" s="92">
        <v>45946</v>
      </c>
      <c r="AS15" s="92"/>
      <c r="AT15" s="92"/>
      <c r="AU15" s="93" t="str">
        <f t="shared" ref="AU15:AU21" si="1">IF(AO15=$A$1,"Missing Target",IF(AR15=$A$1,IF($AZ$3&gt;AO15,INT($AZ$3-AO15)&amp;" Day(s) Overdue","Incomplete"),IF(AR15&gt;AO15,INT(AR15-AO15)&amp;" Day(s) Late",IF(AR15=AO15,"OK",INT(AO15-AR15)&amp;" Day(s) Ahead"))))</f>
        <v>OK</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34" t="s">
        <v>98</v>
      </c>
      <c r="D17" s="16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t="s">
        <v>124</v>
      </c>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t="s">
        <v>124</v>
      </c>
      <c r="D19" s="82"/>
      <c r="F19" s="115" t="s">
        <v>125</v>
      </c>
      <c r="G19" s="116"/>
      <c r="H19" s="116"/>
      <c r="I19" s="116"/>
      <c r="J19" s="116"/>
      <c r="K19" s="116"/>
      <c r="L19" s="116"/>
      <c r="M19" s="117"/>
      <c r="O19" s="115" t="s">
        <v>126</v>
      </c>
      <c r="P19" s="116"/>
      <c r="Q19" s="116"/>
      <c r="R19" s="116"/>
      <c r="S19" s="116"/>
      <c r="T19" s="116"/>
      <c r="U19" s="116"/>
      <c r="V19" s="117"/>
      <c r="X19" s="115" t="s">
        <v>127</v>
      </c>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t="s">
        <v>124</v>
      </c>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t="s">
        <v>301</v>
      </c>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v>45931</v>
      </c>
      <c r="G24" s="31">
        <f>F24+7</f>
        <v>45938</v>
      </c>
      <c r="H24" s="31">
        <f t="shared" ref="H24:BE24" si="4">G24+7</f>
        <v>45945</v>
      </c>
      <c r="I24" s="31">
        <f t="shared" si="4"/>
        <v>45952</v>
      </c>
      <c r="J24" s="31">
        <f t="shared" si="4"/>
        <v>45959</v>
      </c>
      <c r="K24" s="31">
        <f t="shared" si="4"/>
        <v>45966</v>
      </c>
      <c r="L24" s="31">
        <f t="shared" si="4"/>
        <v>45973</v>
      </c>
      <c r="M24" s="31">
        <f t="shared" si="4"/>
        <v>45980</v>
      </c>
      <c r="N24" s="31">
        <f t="shared" si="4"/>
        <v>45987</v>
      </c>
      <c r="O24" s="31">
        <f t="shared" si="4"/>
        <v>45994</v>
      </c>
      <c r="P24" s="31">
        <f t="shared" si="4"/>
        <v>46001</v>
      </c>
      <c r="Q24" s="31">
        <f t="shared" si="4"/>
        <v>46008</v>
      </c>
      <c r="R24" s="31">
        <f t="shared" si="4"/>
        <v>46015</v>
      </c>
      <c r="S24" s="31">
        <f t="shared" si="4"/>
        <v>46022</v>
      </c>
      <c r="T24" s="31">
        <f t="shared" si="4"/>
        <v>46029</v>
      </c>
      <c r="U24" s="31">
        <f t="shared" si="4"/>
        <v>46036</v>
      </c>
      <c r="V24" s="31">
        <f t="shared" si="4"/>
        <v>46043</v>
      </c>
      <c r="W24" s="31">
        <f t="shared" si="4"/>
        <v>46050</v>
      </c>
      <c r="X24" s="31">
        <f t="shared" si="4"/>
        <v>46057</v>
      </c>
      <c r="Y24" s="31">
        <f t="shared" si="4"/>
        <v>46064</v>
      </c>
      <c r="Z24" s="31">
        <f t="shared" si="4"/>
        <v>46071</v>
      </c>
      <c r="AA24" s="31">
        <f t="shared" si="4"/>
        <v>46078</v>
      </c>
      <c r="AB24" s="31">
        <f t="shared" si="4"/>
        <v>46085</v>
      </c>
      <c r="AC24" s="31">
        <f t="shared" si="4"/>
        <v>46092</v>
      </c>
      <c r="AD24" s="31">
        <f t="shared" si="4"/>
        <v>46099</v>
      </c>
      <c r="AE24" s="31">
        <f t="shared" si="4"/>
        <v>46106</v>
      </c>
      <c r="AF24" s="31">
        <f t="shared" si="4"/>
        <v>46113</v>
      </c>
      <c r="AG24" s="31">
        <f t="shared" si="4"/>
        <v>46120</v>
      </c>
      <c r="AH24" s="31">
        <f t="shared" si="4"/>
        <v>46127</v>
      </c>
      <c r="AI24" s="31">
        <f t="shared" si="4"/>
        <v>46134</v>
      </c>
      <c r="AJ24" s="31">
        <f t="shared" si="4"/>
        <v>46141</v>
      </c>
      <c r="AK24" s="31">
        <f t="shared" si="4"/>
        <v>46148</v>
      </c>
      <c r="AL24" s="31">
        <f t="shared" si="4"/>
        <v>46155</v>
      </c>
      <c r="AM24" s="31">
        <f t="shared" si="4"/>
        <v>46162</v>
      </c>
      <c r="AN24" s="31">
        <f t="shared" si="4"/>
        <v>46169</v>
      </c>
      <c r="AO24" s="31">
        <f t="shared" si="4"/>
        <v>46176</v>
      </c>
      <c r="AP24" s="31">
        <f t="shared" si="4"/>
        <v>46183</v>
      </c>
      <c r="AQ24" s="31">
        <f t="shared" si="4"/>
        <v>46190</v>
      </c>
      <c r="AR24" s="31">
        <f t="shared" si="4"/>
        <v>46197</v>
      </c>
      <c r="AS24" s="31">
        <f t="shared" si="4"/>
        <v>46204</v>
      </c>
      <c r="AT24" s="31">
        <f t="shared" si="4"/>
        <v>46211</v>
      </c>
      <c r="AU24" s="31">
        <f t="shared" si="4"/>
        <v>46218</v>
      </c>
      <c r="AV24" s="31">
        <f t="shared" si="4"/>
        <v>46225</v>
      </c>
      <c r="AW24" s="31">
        <f t="shared" si="4"/>
        <v>46232</v>
      </c>
      <c r="AX24" s="31">
        <f t="shared" si="4"/>
        <v>46239</v>
      </c>
      <c r="AY24" s="31">
        <f t="shared" si="4"/>
        <v>46246</v>
      </c>
      <c r="AZ24" s="31">
        <f t="shared" si="4"/>
        <v>46253</v>
      </c>
      <c r="BA24" s="31">
        <f t="shared" si="4"/>
        <v>46260</v>
      </c>
      <c r="BB24" s="31">
        <f t="shared" si="4"/>
        <v>46267</v>
      </c>
      <c r="BC24" s="31">
        <f t="shared" si="4"/>
        <v>46274</v>
      </c>
      <c r="BD24" s="31">
        <f t="shared" si="4"/>
        <v>46281</v>
      </c>
      <c r="BE24" s="31">
        <f t="shared" si="4"/>
        <v>46288</v>
      </c>
      <c r="BJ24" s="21"/>
    </row>
    <row r="25" spans="2:71">
      <c r="B25" s="86" t="str">
        <f>G13&amp;" TARGET"</f>
        <v>Employee AI Tool Adoption Rate TARGET</v>
      </c>
      <c r="C25" s="87"/>
      <c r="D25" s="87"/>
      <c r="E25" s="88"/>
      <c r="F25" s="66">
        <v>0</v>
      </c>
      <c r="G25" s="66">
        <f>F25</f>
        <v>0</v>
      </c>
      <c r="H25" s="66">
        <f t="shared" ref="H25:BE25" si="5">G25</f>
        <v>0</v>
      </c>
      <c r="I25" s="66">
        <f t="shared" si="5"/>
        <v>0</v>
      </c>
      <c r="J25" s="66">
        <f t="shared" si="5"/>
        <v>0</v>
      </c>
      <c r="K25" s="66">
        <f t="shared" si="5"/>
        <v>0</v>
      </c>
      <c r="L25" s="66">
        <f t="shared" si="5"/>
        <v>0</v>
      </c>
      <c r="M25" s="66">
        <f t="shared" si="5"/>
        <v>0</v>
      </c>
      <c r="N25" s="66">
        <f t="shared" si="5"/>
        <v>0</v>
      </c>
      <c r="O25" s="66">
        <f t="shared" si="5"/>
        <v>0</v>
      </c>
      <c r="P25" s="66">
        <f t="shared" si="5"/>
        <v>0</v>
      </c>
      <c r="Q25" s="66">
        <f t="shared" si="5"/>
        <v>0</v>
      </c>
      <c r="R25" s="66">
        <f t="shared" si="5"/>
        <v>0</v>
      </c>
      <c r="S25" s="66">
        <f t="shared" si="5"/>
        <v>0</v>
      </c>
      <c r="T25" s="66">
        <f t="shared" si="5"/>
        <v>0</v>
      </c>
      <c r="U25" s="66">
        <f t="shared" si="5"/>
        <v>0</v>
      </c>
      <c r="V25" s="66">
        <f t="shared" si="5"/>
        <v>0</v>
      </c>
      <c r="W25" s="66">
        <f t="shared" si="5"/>
        <v>0</v>
      </c>
      <c r="X25" s="66">
        <f t="shared" si="5"/>
        <v>0</v>
      </c>
      <c r="Y25" s="66">
        <f t="shared" si="5"/>
        <v>0</v>
      </c>
      <c r="Z25" s="66">
        <f t="shared" si="5"/>
        <v>0</v>
      </c>
      <c r="AA25" s="66">
        <f t="shared" si="5"/>
        <v>0</v>
      </c>
      <c r="AB25" s="66">
        <f t="shared" si="5"/>
        <v>0</v>
      </c>
      <c r="AC25" s="66">
        <f t="shared" si="5"/>
        <v>0</v>
      </c>
      <c r="AD25" s="66">
        <f t="shared" si="5"/>
        <v>0</v>
      </c>
      <c r="AE25" s="66">
        <f t="shared" si="5"/>
        <v>0</v>
      </c>
      <c r="AF25" s="66">
        <f t="shared" si="5"/>
        <v>0</v>
      </c>
      <c r="AG25" s="66">
        <f t="shared" si="5"/>
        <v>0</v>
      </c>
      <c r="AH25" s="66">
        <f t="shared" si="5"/>
        <v>0</v>
      </c>
      <c r="AI25" s="66">
        <f t="shared" si="5"/>
        <v>0</v>
      </c>
      <c r="AJ25" s="66">
        <f t="shared" si="5"/>
        <v>0</v>
      </c>
      <c r="AK25" s="66">
        <f t="shared" si="5"/>
        <v>0</v>
      </c>
      <c r="AL25" s="66">
        <f t="shared" si="5"/>
        <v>0</v>
      </c>
      <c r="AM25" s="66">
        <f t="shared" si="5"/>
        <v>0</v>
      </c>
      <c r="AN25" s="66">
        <f t="shared" si="5"/>
        <v>0</v>
      </c>
      <c r="AO25" s="66">
        <f t="shared" si="5"/>
        <v>0</v>
      </c>
      <c r="AP25" s="66">
        <f t="shared" si="5"/>
        <v>0</v>
      </c>
      <c r="AQ25" s="66">
        <f t="shared" si="5"/>
        <v>0</v>
      </c>
      <c r="AR25" s="66">
        <f t="shared" si="5"/>
        <v>0</v>
      </c>
      <c r="AS25" s="66">
        <f t="shared" si="5"/>
        <v>0</v>
      </c>
      <c r="AT25" s="66">
        <f t="shared" si="5"/>
        <v>0</v>
      </c>
      <c r="AU25" s="66">
        <f t="shared" si="5"/>
        <v>0</v>
      </c>
      <c r="AV25" s="66">
        <f t="shared" si="5"/>
        <v>0</v>
      </c>
      <c r="AW25" s="66">
        <f t="shared" si="5"/>
        <v>0</v>
      </c>
      <c r="AX25" s="66">
        <f t="shared" si="5"/>
        <v>0</v>
      </c>
      <c r="AY25" s="66">
        <f t="shared" si="5"/>
        <v>0</v>
      </c>
      <c r="AZ25" s="66">
        <f t="shared" si="5"/>
        <v>0</v>
      </c>
      <c r="BA25" s="66">
        <f t="shared" si="5"/>
        <v>0</v>
      </c>
      <c r="BB25" s="66">
        <f t="shared" si="5"/>
        <v>0</v>
      </c>
      <c r="BC25" s="66">
        <f t="shared" si="5"/>
        <v>0</v>
      </c>
      <c r="BD25" s="66">
        <f t="shared" si="5"/>
        <v>0</v>
      </c>
      <c r="BE25" s="66">
        <f t="shared" si="5"/>
        <v>0</v>
      </c>
    </row>
    <row r="26" spans="2:71">
      <c r="B26" s="86" t="s">
        <v>87</v>
      </c>
      <c r="C26" s="87"/>
      <c r="D26" s="87"/>
      <c r="E26" s="88"/>
      <c r="F26" s="66">
        <v>0</v>
      </c>
      <c r="G26" s="66">
        <v>0</v>
      </c>
      <c r="H26" s="66">
        <v>0</v>
      </c>
      <c r="I26" s="66">
        <v>0</v>
      </c>
      <c r="J26" s="66">
        <v>0</v>
      </c>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0</v>
      </c>
      <c r="O27" s="67">
        <f t="shared" si="6"/>
        <v>0</v>
      </c>
      <c r="P27" s="67">
        <f t="shared" si="6"/>
        <v>0</v>
      </c>
      <c r="Q27" s="67">
        <f t="shared" si="6"/>
        <v>0</v>
      </c>
      <c r="R27" s="67">
        <f t="shared" si="6"/>
        <v>0</v>
      </c>
      <c r="S27" s="67">
        <f t="shared" si="6"/>
        <v>0</v>
      </c>
      <c r="T27" s="67">
        <f t="shared" si="6"/>
        <v>0</v>
      </c>
      <c r="U27" s="67">
        <f t="shared" si="6"/>
        <v>0</v>
      </c>
      <c r="V27" s="67">
        <f t="shared" si="6"/>
        <v>0</v>
      </c>
      <c r="W27" s="67">
        <f t="shared" si="6"/>
        <v>0</v>
      </c>
      <c r="X27" s="67">
        <f t="shared" si="6"/>
        <v>0</v>
      </c>
      <c r="Y27" s="67">
        <f t="shared" si="6"/>
        <v>0</v>
      </c>
      <c r="Z27" s="67">
        <f t="shared" si="6"/>
        <v>0</v>
      </c>
      <c r="AA27" s="67">
        <f t="shared" si="6"/>
        <v>0</v>
      </c>
      <c r="AB27" s="67">
        <f t="shared" si="6"/>
        <v>0</v>
      </c>
      <c r="AC27" s="67">
        <f t="shared" si="6"/>
        <v>0</v>
      </c>
      <c r="AD27" s="67">
        <f t="shared" si="6"/>
        <v>0</v>
      </c>
      <c r="AE27" s="67">
        <f t="shared" si="6"/>
        <v>0</v>
      </c>
      <c r="AF27" s="67">
        <f t="shared" si="6"/>
        <v>0</v>
      </c>
      <c r="AG27" s="67">
        <f t="shared" si="6"/>
        <v>0</v>
      </c>
      <c r="AH27" s="67">
        <f t="shared" si="6"/>
        <v>0</v>
      </c>
      <c r="AI27" s="67">
        <f t="shared" si="6"/>
        <v>0</v>
      </c>
      <c r="AJ27" s="67">
        <f t="shared" si="6"/>
        <v>0</v>
      </c>
      <c r="AK27" s="67">
        <f t="shared" si="6"/>
        <v>0</v>
      </c>
      <c r="AL27" s="67">
        <f t="shared" si="6"/>
        <v>0</v>
      </c>
      <c r="AM27" s="67">
        <f t="shared" si="6"/>
        <v>0</v>
      </c>
      <c r="AN27" s="67">
        <f t="shared" si="6"/>
        <v>0</v>
      </c>
      <c r="AO27" s="67">
        <f t="shared" si="6"/>
        <v>0</v>
      </c>
      <c r="AP27" s="67">
        <f t="shared" si="6"/>
        <v>0</v>
      </c>
      <c r="AQ27" s="67">
        <f t="shared" si="6"/>
        <v>0</v>
      </c>
      <c r="AR27" s="67">
        <f t="shared" si="6"/>
        <v>0</v>
      </c>
      <c r="AS27" s="67">
        <f t="shared" si="6"/>
        <v>0</v>
      </c>
      <c r="AT27" s="67">
        <f t="shared" si="6"/>
        <v>0</v>
      </c>
      <c r="AU27" s="67">
        <f t="shared" si="6"/>
        <v>0</v>
      </c>
      <c r="AV27" s="67">
        <f t="shared" si="6"/>
        <v>0</v>
      </c>
      <c r="AW27" s="67">
        <f t="shared" si="6"/>
        <v>0</v>
      </c>
      <c r="AX27" s="67">
        <f t="shared" si="6"/>
        <v>0</v>
      </c>
      <c r="AY27" s="67">
        <f t="shared" si="6"/>
        <v>0</v>
      </c>
      <c r="AZ27" s="67">
        <f t="shared" si="6"/>
        <v>0</v>
      </c>
      <c r="BA27" s="67">
        <f t="shared" si="6"/>
        <v>0</v>
      </c>
      <c r="BB27" s="67">
        <f t="shared" si="6"/>
        <v>0</v>
      </c>
      <c r="BC27" s="67">
        <f t="shared" si="6"/>
        <v>0</v>
      </c>
      <c r="BD27" s="67">
        <f t="shared" si="6"/>
        <v>0</v>
      </c>
      <c r="BE27" s="67">
        <f t="shared" si="6"/>
        <v>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Time Savings / Resolution Time Reduction TARGET</v>
      </c>
      <c r="C30" s="87"/>
      <c r="D30" s="87"/>
      <c r="E30" s="88"/>
      <c r="F30" s="66">
        <v>0</v>
      </c>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v>0</v>
      </c>
      <c r="G31" s="66">
        <v>0</v>
      </c>
      <c r="H31" s="66">
        <v>0</v>
      </c>
      <c r="I31" s="66">
        <v>0</v>
      </c>
      <c r="J31" s="66">
        <v>0</v>
      </c>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Employee Productivity Gains TARGET</v>
      </c>
      <c r="C35" s="87"/>
      <c r="D35" s="87"/>
      <c r="E35" s="88"/>
      <c r="F35" s="66">
        <v>0</v>
      </c>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si="11"/>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3">G41+G44</f>
        <v>0</v>
      </c>
      <c r="H47" s="33">
        <f t="shared" si="13"/>
        <v>0</v>
      </c>
      <c r="I47" s="33">
        <f t="shared" si="13"/>
        <v>0</v>
      </c>
      <c r="J47" s="33">
        <f t="shared" si="13"/>
        <v>0</v>
      </c>
      <c r="K47" s="33">
        <f t="shared" si="13"/>
        <v>0</v>
      </c>
      <c r="L47" s="33">
        <f t="shared" si="13"/>
        <v>0</v>
      </c>
      <c r="M47" s="33">
        <f t="shared" si="13"/>
        <v>0</v>
      </c>
      <c r="N47" s="33">
        <f t="shared" si="13"/>
        <v>0</v>
      </c>
      <c r="O47" s="33">
        <f t="shared" si="13"/>
        <v>0</v>
      </c>
      <c r="P47" s="33">
        <f t="shared" si="13"/>
        <v>0</v>
      </c>
      <c r="Q47" s="33">
        <f t="shared" si="13"/>
        <v>0</v>
      </c>
      <c r="R47" s="33">
        <f t="shared" si="13"/>
        <v>0</v>
      </c>
      <c r="S47" s="33">
        <f t="shared" si="13"/>
        <v>0</v>
      </c>
      <c r="T47" s="33">
        <f t="shared" si="13"/>
        <v>0</v>
      </c>
      <c r="U47" s="33">
        <f t="shared" si="13"/>
        <v>0</v>
      </c>
      <c r="V47" s="33">
        <f t="shared" si="13"/>
        <v>0</v>
      </c>
      <c r="W47" s="33">
        <f t="shared" si="13"/>
        <v>0</v>
      </c>
      <c r="X47" s="33">
        <f t="shared" si="13"/>
        <v>0</v>
      </c>
      <c r="Y47" s="33">
        <f t="shared" si="13"/>
        <v>0</v>
      </c>
      <c r="Z47" s="33">
        <f t="shared" si="13"/>
        <v>0</v>
      </c>
      <c r="AA47" s="33">
        <f t="shared" si="13"/>
        <v>0</v>
      </c>
      <c r="AB47" s="33">
        <f t="shared" si="13"/>
        <v>0</v>
      </c>
      <c r="AC47" s="33">
        <f t="shared" si="13"/>
        <v>0</v>
      </c>
      <c r="AD47" s="33">
        <f t="shared" si="13"/>
        <v>0</v>
      </c>
      <c r="AE47" s="33">
        <f t="shared" si="13"/>
        <v>0</v>
      </c>
      <c r="AF47" s="33">
        <f t="shared" si="13"/>
        <v>0</v>
      </c>
      <c r="AG47" s="33">
        <f t="shared" si="13"/>
        <v>0</v>
      </c>
      <c r="AH47" s="33">
        <f t="shared" si="13"/>
        <v>0</v>
      </c>
      <c r="AI47" s="33">
        <f t="shared" si="13"/>
        <v>0</v>
      </c>
      <c r="AJ47" s="33">
        <f t="shared" si="13"/>
        <v>0</v>
      </c>
      <c r="AK47" s="33">
        <f t="shared" si="13"/>
        <v>0</v>
      </c>
      <c r="AL47" s="33">
        <f t="shared" si="13"/>
        <v>0</v>
      </c>
      <c r="AM47" s="33">
        <f t="shared" si="13"/>
        <v>0</v>
      </c>
      <c r="AN47" s="33">
        <f t="shared" si="13"/>
        <v>0</v>
      </c>
      <c r="AO47" s="33">
        <f t="shared" si="13"/>
        <v>0</v>
      </c>
      <c r="AP47" s="33">
        <f t="shared" si="13"/>
        <v>0</v>
      </c>
      <c r="AQ47" s="33">
        <f t="shared" si="13"/>
        <v>0</v>
      </c>
      <c r="AR47" s="33">
        <f t="shared" si="13"/>
        <v>0</v>
      </c>
      <c r="AS47" s="33">
        <f t="shared" si="13"/>
        <v>0</v>
      </c>
      <c r="AT47" s="33">
        <f t="shared" si="13"/>
        <v>0</v>
      </c>
      <c r="AU47" s="33">
        <f t="shared" si="13"/>
        <v>0</v>
      </c>
      <c r="AV47" s="33">
        <f t="shared" si="13"/>
        <v>0</v>
      </c>
      <c r="AW47" s="33">
        <f t="shared" si="13"/>
        <v>0</v>
      </c>
      <c r="AX47" s="33">
        <f t="shared" si="13"/>
        <v>0</v>
      </c>
      <c r="AY47" s="33">
        <f t="shared" si="13"/>
        <v>0</v>
      </c>
      <c r="AZ47" s="33">
        <f t="shared" si="13"/>
        <v>0</v>
      </c>
      <c r="BA47" s="33">
        <f t="shared" si="13"/>
        <v>0</v>
      </c>
      <c r="BB47" s="33">
        <f t="shared" si="13"/>
        <v>0</v>
      </c>
      <c r="BC47" s="33">
        <f t="shared" si="13"/>
        <v>0</v>
      </c>
      <c r="BD47" s="33">
        <f t="shared" si="13"/>
        <v>0</v>
      </c>
      <c r="BE47" s="33">
        <f t="shared" si="13"/>
        <v>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BE51" ca="1" si="15">IF($AZ$3&gt;F24,F47,0)</f>
        <v>0</v>
      </c>
      <c r="G50" s="33">
        <f t="shared" ca="1" si="15"/>
        <v>0</v>
      </c>
      <c r="H50" s="33">
        <f t="shared" ca="1" si="15"/>
        <v>0</v>
      </c>
      <c r="I50" s="33">
        <f t="shared" ca="1" si="15"/>
        <v>0</v>
      </c>
      <c r="J50" s="33">
        <f t="shared" ca="1" si="15"/>
        <v>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34" priority="1" operator="equal">
      <formula>"No Change"</formula>
    </cfRule>
    <cfRule type="cellIs" dxfId="33" priority="2" operator="equal">
      <formula>"Progression"</formula>
    </cfRule>
  </conditionalFormatting>
  <conditionalFormatting sqref="AU10:AU21">
    <cfRule type="expression" dxfId="32" priority="3">
      <formula>IFERROR(FIND("Ahead",AU10),0)&gt;0</formula>
    </cfRule>
    <cfRule type="expression" dxfId="31" priority="4">
      <formula>IFERROR(FIND("Overdue",AU10),0)&gt;0</formula>
    </cfRule>
    <cfRule type="cellIs" dxfId="30" priority="5" operator="equal">
      <formula>"Met Target"</formula>
    </cfRule>
    <cfRule type="cellIs" dxfId="29" priority="6" operator="equal">
      <formula>"Missing Target"</formula>
    </cfRule>
    <cfRule type="expression" dxfId="2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6E22E3A-7D40-C341-A5D6-EF47BA86ED4A}">
      <formula1>43831</formula1>
    </dataValidation>
  </dataValidations>
  <hyperlinks>
    <hyperlink ref="C17:D17" r:id="rId1" display="ed.leisman@pyxissoftware.com" xr:uid="{AF73D31E-53B6-AB4E-8C14-B3414771851B}"/>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21C727DE-F586-9144-9B4F-00FEB23F23DB}">
          <x14:formula1>
            <xm:f>Lookups!$B$4:$B$8</xm:f>
          </x14:formula1>
          <xm:sqref>F7:X7</xm:sqref>
        </x14:dataValidation>
        <x14:dataValidation type="list" allowBlank="1" showInputMessage="1" showErrorMessage="1" xr:uid="{732E8E5E-F20C-924F-A520-45607BF11930}">
          <x14:formula1>
            <xm:f>Lookups!$AC$4:$AC$9</xm:f>
          </x14:formula1>
          <xm:sqref>AC7</xm:sqref>
        </x14:dataValidation>
        <x14:dataValidation type="list" allowBlank="1" showInputMessage="1" showErrorMessage="1" xr:uid="{3BE7B881-442C-B443-B867-6394E0AEE8E0}">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Normal="100" workbookViewId="0">
      <pane xSplit="5" ySplit="7" topLeftCell="F8" activePane="bottomRight" state="frozen"/>
      <selection pane="topRight" activeCell="F1" sqref="F1:BE1048576"/>
      <selection pane="bottomLeft" activeCell="F1" sqref="F1:BE1048576"/>
      <selection pane="bottomRight" activeCell="C56"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si="11"/>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3">G41+G44</f>
        <v>0</v>
      </c>
      <c r="H47" s="33">
        <f t="shared" si="13"/>
        <v>0</v>
      </c>
      <c r="I47" s="33">
        <f t="shared" si="13"/>
        <v>0</v>
      </c>
      <c r="J47" s="33">
        <f t="shared" si="13"/>
        <v>0</v>
      </c>
      <c r="K47" s="33">
        <f t="shared" si="13"/>
        <v>0</v>
      </c>
      <c r="L47" s="33">
        <f t="shared" si="13"/>
        <v>0</v>
      </c>
      <c r="M47" s="33">
        <f t="shared" si="13"/>
        <v>0</v>
      </c>
      <c r="N47" s="33">
        <f t="shared" si="13"/>
        <v>0</v>
      </c>
      <c r="O47" s="33">
        <f t="shared" si="13"/>
        <v>0</v>
      </c>
      <c r="P47" s="33">
        <f t="shared" si="13"/>
        <v>0</v>
      </c>
      <c r="Q47" s="33">
        <f t="shared" si="13"/>
        <v>0</v>
      </c>
      <c r="R47" s="33">
        <f t="shared" si="13"/>
        <v>0</v>
      </c>
      <c r="S47" s="33">
        <f t="shared" si="13"/>
        <v>0</v>
      </c>
      <c r="T47" s="33">
        <f t="shared" si="13"/>
        <v>0</v>
      </c>
      <c r="U47" s="33">
        <f t="shared" si="13"/>
        <v>0</v>
      </c>
      <c r="V47" s="33">
        <f t="shared" si="13"/>
        <v>0</v>
      </c>
      <c r="W47" s="33">
        <f t="shared" si="13"/>
        <v>0</v>
      </c>
      <c r="X47" s="33">
        <f t="shared" si="13"/>
        <v>0</v>
      </c>
      <c r="Y47" s="33">
        <f t="shared" si="13"/>
        <v>0</v>
      </c>
      <c r="Z47" s="33">
        <f t="shared" si="13"/>
        <v>0</v>
      </c>
      <c r="AA47" s="33">
        <f t="shared" si="13"/>
        <v>0</v>
      </c>
      <c r="AB47" s="33">
        <f t="shared" si="13"/>
        <v>0</v>
      </c>
      <c r="AC47" s="33">
        <f t="shared" si="13"/>
        <v>0</v>
      </c>
      <c r="AD47" s="33">
        <f t="shared" si="13"/>
        <v>0</v>
      </c>
      <c r="AE47" s="33">
        <f t="shared" si="13"/>
        <v>0</v>
      </c>
      <c r="AF47" s="33">
        <f t="shared" si="13"/>
        <v>0</v>
      </c>
      <c r="AG47" s="33">
        <f t="shared" si="13"/>
        <v>0</v>
      </c>
      <c r="AH47" s="33">
        <f t="shared" si="13"/>
        <v>0</v>
      </c>
      <c r="AI47" s="33">
        <f t="shared" si="13"/>
        <v>0</v>
      </c>
      <c r="AJ47" s="33">
        <f t="shared" si="13"/>
        <v>0</v>
      </c>
      <c r="AK47" s="33">
        <f t="shared" si="13"/>
        <v>0</v>
      </c>
      <c r="AL47" s="33">
        <f t="shared" si="13"/>
        <v>0</v>
      </c>
      <c r="AM47" s="33">
        <f t="shared" si="13"/>
        <v>0</v>
      </c>
      <c r="AN47" s="33">
        <f t="shared" si="13"/>
        <v>0</v>
      </c>
      <c r="AO47" s="33">
        <f t="shared" si="13"/>
        <v>0</v>
      </c>
      <c r="AP47" s="33">
        <f t="shared" si="13"/>
        <v>0</v>
      </c>
      <c r="AQ47" s="33">
        <f t="shared" si="13"/>
        <v>0</v>
      </c>
      <c r="AR47" s="33">
        <f t="shared" si="13"/>
        <v>0</v>
      </c>
      <c r="AS47" s="33">
        <f t="shared" si="13"/>
        <v>0</v>
      </c>
      <c r="AT47" s="33">
        <f t="shared" si="13"/>
        <v>0</v>
      </c>
      <c r="AU47" s="33">
        <f t="shared" si="13"/>
        <v>0</v>
      </c>
      <c r="AV47" s="33">
        <f t="shared" si="13"/>
        <v>0</v>
      </c>
      <c r="AW47" s="33">
        <f t="shared" si="13"/>
        <v>0</v>
      </c>
      <c r="AX47" s="33">
        <f t="shared" si="13"/>
        <v>0</v>
      </c>
      <c r="AY47" s="33">
        <f t="shared" si="13"/>
        <v>0</v>
      </c>
      <c r="AZ47" s="33">
        <f t="shared" si="13"/>
        <v>0</v>
      </c>
      <c r="BA47" s="33">
        <f t="shared" si="13"/>
        <v>0</v>
      </c>
      <c r="BB47" s="33">
        <f t="shared" si="13"/>
        <v>0</v>
      </c>
      <c r="BC47" s="33">
        <f t="shared" si="13"/>
        <v>0</v>
      </c>
      <c r="BD47" s="33">
        <f t="shared" si="13"/>
        <v>0</v>
      </c>
      <c r="BE47" s="33">
        <f t="shared" si="13"/>
        <v>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BE51" ca="1" si="15">IF($AZ$3&gt;F24,F47,0)</f>
        <v>0</v>
      </c>
      <c r="G50" s="33">
        <f t="shared" ca="1" si="15"/>
        <v>0</v>
      </c>
      <c r="H50" s="33">
        <f t="shared" ca="1" si="15"/>
        <v>0</v>
      </c>
      <c r="I50" s="33">
        <f t="shared" ca="1" si="15"/>
        <v>0</v>
      </c>
      <c r="J50" s="33">
        <f t="shared" ca="1" si="15"/>
        <v>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27" priority="1" operator="equal">
      <formula>"No Change"</formula>
    </cfRule>
    <cfRule type="cellIs" dxfId="26" priority="2" operator="equal">
      <formula>"Progression"</formula>
    </cfRule>
  </conditionalFormatting>
  <conditionalFormatting sqref="AU10:AU21">
    <cfRule type="expression" dxfId="25" priority="3">
      <formula>IFERROR(FIND("Ahead",AU10),0)&gt;0</formula>
    </cfRule>
    <cfRule type="expression" dxfId="24" priority="4">
      <formula>IFERROR(FIND("Overdue",AU10),0)&gt;0</formula>
    </cfRule>
    <cfRule type="cellIs" dxfId="23" priority="5" operator="equal">
      <formula>"Met Target"</formula>
    </cfRule>
    <cfRule type="cellIs" dxfId="22" priority="6" operator="equal">
      <formula>"Missing Target"</formula>
    </cfRule>
    <cfRule type="expression" dxfId="21" priority="7">
      <formula>IFERROR(FIND("Late",AU10),0)&gt;0</formula>
    </cfRule>
  </conditionalFormatting>
  <dataValidations disablePrompts="1" count="1">
    <dataValidation type="date" errorStyle="warning" operator="greaterThan" allowBlank="1" showInputMessage="1" showErrorMessage="1" error="You need to enter a date here" sqref="AP11:AQ21 AR10:AT21 AO10:AO21" xr:uid="{5765F427-4794-D54C-A09C-C9581F5D45D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E192BAC-D53B-9A4E-89D4-A08FCB2FC0C5}">
          <x14:formula1>
            <xm:f>Lookups!$AC$4:$AC$9</xm:f>
          </x14:formula1>
          <xm:sqref>AC7</xm:sqref>
        </x14:dataValidation>
        <x14:dataValidation type="list" allowBlank="1" showInputMessage="1" showErrorMessage="1" xr:uid="{13070339-7D7D-144E-AE7E-9FE942C96E7A}">
          <x14:formula1>
            <xm:f>Lookups!$B$4:$B$8</xm:f>
          </x14:formula1>
          <xm:sqref>F7:X7</xm:sqref>
        </x14:dataValidation>
        <x14:dataValidation type="list" allowBlank="1" showInputMessage="1" showErrorMessage="1" xr:uid="{6C8B3C02-AF75-EE43-831F-7275049BFF93}">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D41"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si="11"/>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3">G41+G44</f>
        <v>0</v>
      </c>
      <c r="H47" s="33">
        <f t="shared" si="13"/>
        <v>0</v>
      </c>
      <c r="I47" s="33">
        <f t="shared" si="13"/>
        <v>0</v>
      </c>
      <c r="J47" s="33">
        <f t="shared" si="13"/>
        <v>0</v>
      </c>
      <c r="K47" s="33">
        <f t="shared" si="13"/>
        <v>0</v>
      </c>
      <c r="L47" s="33">
        <f t="shared" si="13"/>
        <v>0</v>
      </c>
      <c r="M47" s="33">
        <f t="shared" si="13"/>
        <v>0</v>
      </c>
      <c r="N47" s="33">
        <f t="shared" si="13"/>
        <v>0</v>
      </c>
      <c r="O47" s="33">
        <f t="shared" si="13"/>
        <v>0</v>
      </c>
      <c r="P47" s="33">
        <f t="shared" si="13"/>
        <v>0</v>
      </c>
      <c r="Q47" s="33">
        <f t="shared" si="13"/>
        <v>0</v>
      </c>
      <c r="R47" s="33">
        <f t="shared" si="13"/>
        <v>0</v>
      </c>
      <c r="S47" s="33">
        <f t="shared" si="13"/>
        <v>0</v>
      </c>
      <c r="T47" s="33">
        <f t="shared" si="13"/>
        <v>0</v>
      </c>
      <c r="U47" s="33">
        <f t="shared" si="13"/>
        <v>0</v>
      </c>
      <c r="V47" s="33">
        <f t="shared" si="13"/>
        <v>0</v>
      </c>
      <c r="W47" s="33">
        <f t="shared" si="13"/>
        <v>0</v>
      </c>
      <c r="X47" s="33">
        <f t="shared" si="13"/>
        <v>0</v>
      </c>
      <c r="Y47" s="33">
        <f t="shared" si="13"/>
        <v>0</v>
      </c>
      <c r="Z47" s="33">
        <f t="shared" si="13"/>
        <v>0</v>
      </c>
      <c r="AA47" s="33">
        <f t="shared" si="13"/>
        <v>0</v>
      </c>
      <c r="AB47" s="33">
        <f t="shared" si="13"/>
        <v>0</v>
      </c>
      <c r="AC47" s="33">
        <f t="shared" si="13"/>
        <v>0</v>
      </c>
      <c r="AD47" s="33">
        <f t="shared" si="13"/>
        <v>0</v>
      </c>
      <c r="AE47" s="33">
        <f t="shared" si="13"/>
        <v>0</v>
      </c>
      <c r="AF47" s="33">
        <f t="shared" si="13"/>
        <v>0</v>
      </c>
      <c r="AG47" s="33">
        <f t="shared" si="13"/>
        <v>0</v>
      </c>
      <c r="AH47" s="33">
        <f t="shared" si="13"/>
        <v>0</v>
      </c>
      <c r="AI47" s="33">
        <f t="shared" si="13"/>
        <v>0</v>
      </c>
      <c r="AJ47" s="33">
        <f t="shared" si="13"/>
        <v>0</v>
      </c>
      <c r="AK47" s="33">
        <f t="shared" si="13"/>
        <v>0</v>
      </c>
      <c r="AL47" s="33">
        <f t="shared" si="13"/>
        <v>0</v>
      </c>
      <c r="AM47" s="33">
        <f t="shared" si="13"/>
        <v>0</v>
      </c>
      <c r="AN47" s="33">
        <f t="shared" si="13"/>
        <v>0</v>
      </c>
      <c r="AO47" s="33">
        <f t="shared" si="13"/>
        <v>0</v>
      </c>
      <c r="AP47" s="33">
        <f t="shared" si="13"/>
        <v>0</v>
      </c>
      <c r="AQ47" s="33">
        <f t="shared" si="13"/>
        <v>0</v>
      </c>
      <c r="AR47" s="33">
        <f t="shared" si="13"/>
        <v>0</v>
      </c>
      <c r="AS47" s="33">
        <f t="shared" si="13"/>
        <v>0</v>
      </c>
      <c r="AT47" s="33">
        <f t="shared" si="13"/>
        <v>0</v>
      </c>
      <c r="AU47" s="33">
        <f t="shared" si="13"/>
        <v>0</v>
      </c>
      <c r="AV47" s="33">
        <f t="shared" si="13"/>
        <v>0</v>
      </c>
      <c r="AW47" s="33">
        <f t="shared" si="13"/>
        <v>0</v>
      </c>
      <c r="AX47" s="33">
        <f t="shared" si="13"/>
        <v>0</v>
      </c>
      <c r="AY47" s="33">
        <f t="shared" si="13"/>
        <v>0</v>
      </c>
      <c r="AZ47" s="33">
        <f t="shared" si="13"/>
        <v>0</v>
      </c>
      <c r="BA47" s="33">
        <f t="shared" si="13"/>
        <v>0</v>
      </c>
      <c r="BB47" s="33">
        <f t="shared" si="13"/>
        <v>0</v>
      </c>
      <c r="BC47" s="33">
        <f t="shared" si="13"/>
        <v>0</v>
      </c>
      <c r="BD47" s="33">
        <f t="shared" si="13"/>
        <v>0</v>
      </c>
      <c r="BE47" s="33">
        <f t="shared" si="13"/>
        <v>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BE51" ca="1" si="15">IF($AZ$3&gt;F24,F47,0)</f>
        <v>0</v>
      </c>
      <c r="G50" s="33">
        <f t="shared" ca="1" si="15"/>
        <v>0</v>
      </c>
      <c r="H50" s="33">
        <f t="shared" ca="1" si="15"/>
        <v>0</v>
      </c>
      <c r="I50" s="33">
        <f t="shared" ca="1" si="15"/>
        <v>0</v>
      </c>
      <c r="J50" s="33">
        <f t="shared" ca="1" si="15"/>
        <v>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20" priority="1" operator="equal">
      <formula>"No Change"</formula>
    </cfRule>
    <cfRule type="cellIs" dxfId="19" priority="2" operator="equal">
      <formula>"Progression"</formula>
    </cfRule>
  </conditionalFormatting>
  <conditionalFormatting sqref="AU10:AU21">
    <cfRule type="expression" dxfId="18" priority="3">
      <formula>IFERROR(FIND("Ahead",AU10),0)&gt;0</formula>
    </cfRule>
    <cfRule type="expression" dxfId="17" priority="4">
      <formula>IFERROR(FIND("Overdue",AU10),0)&gt;0</formula>
    </cfRule>
    <cfRule type="cellIs" dxfId="16" priority="5" operator="equal">
      <formula>"Met Target"</formula>
    </cfRule>
    <cfRule type="cellIs" dxfId="15" priority="6" operator="equal">
      <formula>"Missing Target"</formula>
    </cfRule>
    <cfRule type="expression" dxfId="1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E97A2F93-5457-6848-B163-4D5B95A87000}">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C4D8540-6729-E54E-88DC-17B47892AEA9}">
          <x14:formula1>
            <xm:f>Lookups!$B$4:$B$8</xm:f>
          </x14:formula1>
          <xm:sqref>F7:X7</xm:sqref>
        </x14:dataValidation>
        <x14:dataValidation type="list" allowBlank="1" showInputMessage="1" showErrorMessage="1" xr:uid="{F6F6C0F8-8310-2740-83E6-8C31EBBEE835}">
          <x14:formula1>
            <xm:f>Lookups!$AC$4:$AC$9</xm:f>
          </x14:formula1>
          <xm:sqref>AC7</xm:sqref>
        </x14:dataValidation>
        <x14:dataValidation type="list" allowBlank="1" showInputMessage="1" showErrorMessage="1" xr:uid="{3D6F2565-F78E-414C-8543-263C59752329}">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14" activePane="bottomRight" state="frozen"/>
      <selection pane="topRight" activeCell="F1" sqref="F1:BE1048576"/>
      <selection pane="bottomLeft" activeCell="F1" sqref="F1:BE1048576"/>
      <selection pane="bottomRight" activeCell="D45"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si="11"/>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3">G41+G44</f>
        <v>0</v>
      </c>
      <c r="H47" s="33">
        <f t="shared" si="13"/>
        <v>0</v>
      </c>
      <c r="I47" s="33">
        <f t="shared" si="13"/>
        <v>0</v>
      </c>
      <c r="J47" s="33">
        <f t="shared" si="13"/>
        <v>0</v>
      </c>
      <c r="K47" s="33">
        <f t="shared" si="13"/>
        <v>0</v>
      </c>
      <c r="L47" s="33">
        <f t="shared" si="13"/>
        <v>0</v>
      </c>
      <c r="M47" s="33">
        <f t="shared" si="13"/>
        <v>0</v>
      </c>
      <c r="N47" s="33">
        <f t="shared" si="13"/>
        <v>0</v>
      </c>
      <c r="O47" s="33">
        <f t="shared" si="13"/>
        <v>0</v>
      </c>
      <c r="P47" s="33">
        <f t="shared" si="13"/>
        <v>0</v>
      </c>
      <c r="Q47" s="33">
        <f t="shared" si="13"/>
        <v>0</v>
      </c>
      <c r="R47" s="33">
        <f t="shared" si="13"/>
        <v>0</v>
      </c>
      <c r="S47" s="33">
        <f t="shared" si="13"/>
        <v>0</v>
      </c>
      <c r="T47" s="33">
        <f t="shared" si="13"/>
        <v>0</v>
      </c>
      <c r="U47" s="33">
        <f t="shared" si="13"/>
        <v>0</v>
      </c>
      <c r="V47" s="33">
        <f t="shared" si="13"/>
        <v>0</v>
      </c>
      <c r="W47" s="33">
        <f t="shared" si="13"/>
        <v>0</v>
      </c>
      <c r="X47" s="33">
        <f t="shared" si="13"/>
        <v>0</v>
      </c>
      <c r="Y47" s="33">
        <f t="shared" si="13"/>
        <v>0</v>
      </c>
      <c r="Z47" s="33">
        <f t="shared" si="13"/>
        <v>0</v>
      </c>
      <c r="AA47" s="33">
        <f t="shared" si="13"/>
        <v>0</v>
      </c>
      <c r="AB47" s="33">
        <f t="shared" si="13"/>
        <v>0</v>
      </c>
      <c r="AC47" s="33">
        <f t="shared" si="13"/>
        <v>0</v>
      </c>
      <c r="AD47" s="33">
        <f t="shared" si="13"/>
        <v>0</v>
      </c>
      <c r="AE47" s="33">
        <f t="shared" si="13"/>
        <v>0</v>
      </c>
      <c r="AF47" s="33">
        <f t="shared" si="13"/>
        <v>0</v>
      </c>
      <c r="AG47" s="33">
        <f t="shared" si="13"/>
        <v>0</v>
      </c>
      <c r="AH47" s="33">
        <f t="shared" si="13"/>
        <v>0</v>
      </c>
      <c r="AI47" s="33">
        <f t="shared" si="13"/>
        <v>0</v>
      </c>
      <c r="AJ47" s="33">
        <f t="shared" si="13"/>
        <v>0</v>
      </c>
      <c r="AK47" s="33">
        <f t="shared" si="13"/>
        <v>0</v>
      </c>
      <c r="AL47" s="33">
        <f t="shared" si="13"/>
        <v>0</v>
      </c>
      <c r="AM47" s="33">
        <f t="shared" si="13"/>
        <v>0</v>
      </c>
      <c r="AN47" s="33">
        <f t="shared" si="13"/>
        <v>0</v>
      </c>
      <c r="AO47" s="33">
        <f t="shared" si="13"/>
        <v>0</v>
      </c>
      <c r="AP47" s="33">
        <f t="shared" si="13"/>
        <v>0</v>
      </c>
      <c r="AQ47" s="33">
        <f t="shared" si="13"/>
        <v>0</v>
      </c>
      <c r="AR47" s="33">
        <f t="shared" si="13"/>
        <v>0</v>
      </c>
      <c r="AS47" s="33">
        <f t="shared" si="13"/>
        <v>0</v>
      </c>
      <c r="AT47" s="33">
        <f t="shared" si="13"/>
        <v>0</v>
      </c>
      <c r="AU47" s="33">
        <f t="shared" si="13"/>
        <v>0</v>
      </c>
      <c r="AV47" s="33">
        <f t="shared" si="13"/>
        <v>0</v>
      </c>
      <c r="AW47" s="33">
        <f t="shared" si="13"/>
        <v>0</v>
      </c>
      <c r="AX47" s="33">
        <f t="shared" si="13"/>
        <v>0</v>
      </c>
      <c r="AY47" s="33">
        <f t="shared" si="13"/>
        <v>0</v>
      </c>
      <c r="AZ47" s="33">
        <f t="shared" si="13"/>
        <v>0</v>
      </c>
      <c r="BA47" s="33">
        <f t="shared" si="13"/>
        <v>0</v>
      </c>
      <c r="BB47" s="33">
        <f t="shared" si="13"/>
        <v>0</v>
      </c>
      <c r="BC47" s="33">
        <f t="shared" si="13"/>
        <v>0</v>
      </c>
      <c r="BD47" s="33">
        <f t="shared" si="13"/>
        <v>0</v>
      </c>
      <c r="BE47" s="33">
        <f t="shared" si="13"/>
        <v>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BE51" ca="1" si="15">IF($AZ$3&gt;F24,F47,0)</f>
        <v>0</v>
      </c>
      <c r="G50" s="33">
        <f t="shared" ca="1" si="15"/>
        <v>0</v>
      </c>
      <c r="H50" s="33">
        <f t="shared" ca="1" si="15"/>
        <v>0</v>
      </c>
      <c r="I50" s="33">
        <f t="shared" ca="1" si="15"/>
        <v>0</v>
      </c>
      <c r="J50" s="33">
        <f t="shared" ca="1" si="15"/>
        <v>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13" priority="1" operator="equal">
      <formula>"No Change"</formula>
    </cfRule>
    <cfRule type="cellIs" dxfId="12" priority="2" operator="equal">
      <formula>"Progression"</formula>
    </cfRule>
  </conditionalFormatting>
  <conditionalFormatting sqref="AU10:AU21">
    <cfRule type="expression" dxfId="11" priority="3">
      <formula>IFERROR(FIND("Ahead",AU10),0)&gt;0</formula>
    </cfRule>
    <cfRule type="expression" dxfId="10" priority="4">
      <formula>IFERROR(FIND("Overdue",AU10),0)&gt;0</formula>
    </cfRule>
    <cfRule type="cellIs" dxfId="9" priority="5" operator="equal">
      <formula>"Met Target"</formula>
    </cfRule>
    <cfRule type="cellIs" dxfId="8" priority="6" operator="equal">
      <formula>"Missing Target"</formula>
    </cfRule>
    <cfRule type="expression" dxfId="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3236BB2-A37F-C244-BEFF-AF88AD565C15}">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7AD1C10D-7C83-FE45-AD26-FA46DF55E7A1}">
          <x14:formula1>
            <xm:f>Lookups!$AC$4:$AC$9</xm:f>
          </x14:formula1>
          <xm:sqref>AC7</xm:sqref>
        </x14:dataValidation>
        <x14:dataValidation type="list" allowBlank="1" showInputMessage="1" showErrorMessage="1" xr:uid="{40292F07-1A98-9349-A289-3EDBEB500B43}">
          <x14:formula1>
            <xm:f>Lookups!$B$4:$B$8</xm:f>
          </x14:formula1>
          <xm:sqref>F7:X7</xm:sqref>
        </x14:dataValidation>
        <x14:dataValidation type="list" allowBlank="1" showInputMessage="1" showErrorMessage="1" xr:uid="{3BEDBFD3-C547-614B-A622-31EC10061925}">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D43"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BE42"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si="11"/>
        <v>0</v>
      </c>
      <c r="AM41" s="33">
        <f t="shared" si="11"/>
        <v>0</v>
      </c>
      <c r="AN41" s="33">
        <f t="shared" si="11"/>
        <v>0</v>
      </c>
      <c r="AO41" s="33">
        <f t="shared" si="11"/>
        <v>0</v>
      </c>
      <c r="AP41" s="33">
        <f t="shared" si="11"/>
        <v>0</v>
      </c>
      <c r="AQ41" s="33">
        <f t="shared" si="11"/>
        <v>0</v>
      </c>
      <c r="AR41" s="33">
        <f t="shared" si="11"/>
        <v>0</v>
      </c>
      <c r="AS41" s="33">
        <f t="shared" si="11"/>
        <v>0</v>
      </c>
      <c r="AT41" s="33">
        <f t="shared" si="11"/>
        <v>0</v>
      </c>
      <c r="AU41" s="33">
        <f t="shared" si="11"/>
        <v>0</v>
      </c>
      <c r="AV41" s="33">
        <f t="shared" si="11"/>
        <v>0</v>
      </c>
      <c r="AW41" s="33">
        <f t="shared" si="11"/>
        <v>0</v>
      </c>
      <c r="AX41" s="33">
        <f t="shared" si="11"/>
        <v>0</v>
      </c>
      <c r="AY41" s="33">
        <f t="shared" si="11"/>
        <v>0</v>
      </c>
      <c r="AZ41" s="33">
        <f t="shared" si="11"/>
        <v>0</v>
      </c>
      <c r="BA41" s="33">
        <f t="shared" si="11"/>
        <v>0</v>
      </c>
      <c r="BB41" s="33">
        <f t="shared" si="11"/>
        <v>0</v>
      </c>
      <c r="BC41" s="33">
        <f t="shared" si="11"/>
        <v>0</v>
      </c>
      <c r="BD41" s="33">
        <f t="shared" si="11"/>
        <v>0</v>
      </c>
      <c r="BE41" s="33">
        <f t="shared" si="11"/>
        <v>0</v>
      </c>
      <c r="BI41" s="21"/>
      <c r="BJ41" s="21"/>
    </row>
    <row r="42" spans="2:62">
      <c r="B42" s="33" t="s">
        <v>91</v>
      </c>
      <c r="C42" s="33"/>
      <c r="D42" s="33"/>
      <c r="E42" s="33"/>
      <c r="F42" s="33">
        <f t="shared" si="11"/>
        <v>0</v>
      </c>
      <c r="G42" s="33">
        <f t="shared" si="11"/>
        <v>0</v>
      </c>
      <c r="H42" s="33">
        <f t="shared" si="11"/>
        <v>0</v>
      </c>
      <c r="I42" s="33">
        <f t="shared" si="11"/>
        <v>0</v>
      </c>
      <c r="J42" s="33">
        <f t="shared" si="11"/>
        <v>0</v>
      </c>
      <c r="K42" s="33">
        <f t="shared" si="11"/>
        <v>0</v>
      </c>
      <c r="L42" s="33">
        <f t="shared" si="11"/>
        <v>0</v>
      </c>
      <c r="M42" s="33">
        <f t="shared" si="11"/>
        <v>0</v>
      </c>
      <c r="N42" s="33">
        <f t="shared" si="11"/>
        <v>0</v>
      </c>
      <c r="O42" s="33">
        <f t="shared" si="11"/>
        <v>0</v>
      </c>
      <c r="P42" s="33">
        <f t="shared" si="11"/>
        <v>0</v>
      </c>
      <c r="Q42" s="33">
        <f t="shared" si="11"/>
        <v>0</v>
      </c>
      <c r="R42" s="33">
        <f t="shared" si="11"/>
        <v>0</v>
      </c>
      <c r="S42" s="33">
        <f t="shared" si="11"/>
        <v>0</v>
      </c>
      <c r="T42" s="33">
        <f t="shared" si="11"/>
        <v>0</v>
      </c>
      <c r="U42" s="33">
        <f t="shared" si="11"/>
        <v>0</v>
      </c>
      <c r="V42" s="33">
        <f t="shared" si="11"/>
        <v>0</v>
      </c>
      <c r="W42" s="33">
        <f t="shared" si="11"/>
        <v>0</v>
      </c>
      <c r="X42" s="33">
        <f t="shared" si="11"/>
        <v>0</v>
      </c>
      <c r="Y42" s="33">
        <f t="shared" si="11"/>
        <v>0</v>
      </c>
      <c r="Z42" s="33">
        <f t="shared" si="11"/>
        <v>0</v>
      </c>
      <c r="AA42" s="33">
        <f t="shared" si="11"/>
        <v>0</v>
      </c>
      <c r="AB42" s="33">
        <f t="shared" si="11"/>
        <v>0</v>
      </c>
      <c r="AC42" s="33">
        <f t="shared" si="11"/>
        <v>0</v>
      </c>
      <c r="AD42" s="33">
        <f t="shared" si="11"/>
        <v>0</v>
      </c>
      <c r="AE42" s="33">
        <f t="shared" si="11"/>
        <v>0</v>
      </c>
      <c r="AF42" s="33">
        <f t="shared" si="11"/>
        <v>0</v>
      </c>
      <c r="AG42" s="33">
        <f t="shared" si="11"/>
        <v>0</v>
      </c>
      <c r="AH42" s="33">
        <f t="shared" si="11"/>
        <v>0</v>
      </c>
      <c r="AI42" s="33">
        <f t="shared" si="11"/>
        <v>0</v>
      </c>
      <c r="AJ42" s="33">
        <f t="shared" si="11"/>
        <v>0</v>
      </c>
      <c r="AK42" s="33">
        <f t="shared" si="11"/>
        <v>0</v>
      </c>
      <c r="AL42" s="33">
        <f t="shared" si="11"/>
        <v>0</v>
      </c>
      <c r="AM42" s="33">
        <f t="shared" si="11"/>
        <v>0</v>
      </c>
      <c r="AN42" s="33">
        <f t="shared" si="11"/>
        <v>0</v>
      </c>
      <c r="AO42" s="33">
        <f t="shared" si="11"/>
        <v>0</v>
      </c>
      <c r="AP42" s="33">
        <f t="shared" si="11"/>
        <v>0</v>
      </c>
      <c r="AQ42" s="33">
        <f t="shared" si="11"/>
        <v>0</v>
      </c>
      <c r="AR42" s="33">
        <f t="shared" si="11"/>
        <v>0</v>
      </c>
      <c r="AS42" s="33">
        <f t="shared" si="11"/>
        <v>0</v>
      </c>
      <c r="AT42" s="33">
        <f t="shared" si="11"/>
        <v>0</v>
      </c>
      <c r="AU42" s="33">
        <f t="shared" si="11"/>
        <v>0</v>
      </c>
      <c r="AV42" s="33">
        <f t="shared" si="11"/>
        <v>0</v>
      </c>
      <c r="AW42" s="33">
        <f t="shared" si="11"/>
        <v>0</v>
      </c>
      <c r="AX42" s="33">
        <f t="shared" si="11"/>
        <v>0</v>
      </c>
      <c r="AY42" s="33">
        <f t="shared" si="11"/>
        <v>0</v>
      </c>
      <c r="AZ42" s="33">
        <f t="shared" si="11"/>
        <v>0</v>
      </c>
      <c r="BA42" s="33">
        <f t="shared" si="11"/>
        <v>0</v>
      </c>
      <c r="BB42" s="33">
        <f t="shared" si="11"/>
        <v>0</v>
      </c>
      <c r="BC42" s="33">
        <f t="shared" si="11"/>
        <v>0</v>
      </c>
      <c r="BD42" s="33">
        <f t="shared" si="11"/>
        <v>0</v>
      </c>
      <c r="BE42" s="33">
        <f t="shared" si="11"/>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BE45" si="12">IF($X$12="Cost Savings",F35,0)</f>
        <v>0</v>
      </c>
      <c r="G44" s="33">
        <f t="shared" si="12"/>
        <v>0</v>
      </c>
      <c r="H44" s="33">
        <f t="shared" si="12"/>
        <v>0</v>
      </c>
      <c r="I44" s="33">
        <f t="shared" si="12"/>
        <v>0</v>
      </c>
      <c r="J44" s="33">
        <f t="shared" si="12"/>
        <v>0</v>
      </c>
      <c r="K44" s="33">
        <f t="shared" si="12"/>
        <v>0</v>
      </c>
      <c r="L44" s="33">
        <f t="shared" si="12"/>
        <v>0</v>
      </c>
      <c r="M44" s="33">
        <f t="shared" si="12"/>
        <v>0</v>
      </c>
      <c r="N44" s="33">
        <f t="shared" si="12"/>
        <v>0</v>
      </c>
      <c r="O44" s="33">
        <f t="shared" si="12"/>
        <v>0</v>
      </c>
      <c r="P44" s="33">
        <f t="shared" si="12"/>
        <v>0</v>
      </c>
      <c r="Q44" s="33">
        <f t="shared" si="12"/>
        <v>0</v>
      </c>
      <c r="R44" s="33">
        <f t="shared" si="12"/>
        <v>0</v>
      </c>
      <c r="S44" s="33">
        <f t="shared" si="12"/>
        <v>0</v>
      </c>
      <c r="T44" s="33">
        <f t="shared" si="12"/>
        <v>0</v>
      </c>
      <c r="U44" s="33">
        <f t="shared" si="12"/>
        <v>0</v>
      </c>
      <c r="V44" s="33">
        <f t="shared" si="12"/>
        <v>0</v>
      </c>
      <c r="W44" s="33">
        <f t="shared" si="12"/>
        <v>0</v>
      </c>
      <c r="X44" s="33">
        <f t="shared" si="12"/>
        <v>0</v>
      </c>
      <c r="Y44" s="33">
        <f t="shared" si="12"/>
        <v>0</v>
      </c>
      <c r="Z44" s="33">
        <f t="shared" si="12"/>
        <v>0</v>
      </c>
      <c r="AA44" s="33">
        <f t="shared" si="12"/>
        <v>0</v>
      </c>
      <c r="AB44" s="33">
        <f t="shared" si="12"/>
        <v>0</v>
      </c>
      <c r="AC44" s="33">
        <f t="shared" si="12"/>
        <v>0</v>
      </c>
      <c r="AD44" s="33">
        <f t="shared" si="12"/>
        <v>0</v>
      </c>
      <c r="AE44" s="33">
        <f t="shared" si="12"/>
        <v>0</v>
      </c>
      <c r="AF44" s="33">
        <f t="shared" si="12"/>
        <v>0</v>
      </c>
      <c r="AG44" s="33">
        <f t="shared" si="12"/>
        <v>0</v>
      </c>
      <c r="AH44" s="33">
        <f t="shared" si="12"/>
        <v>0</v>
      </c>
      <c r="AI44" s="33">
        <f t="shared" si="12"/>
        <v>0</v>
      </c>
      <c r="AJ44" s="33">
        <f t="shared" si="12"/>
        <v>0</v>
      </c>
      <c r="AK44" s="33">
        <f t="shared" si="12"/>
        <v>0</v>
      </c>
      <c r="AL44" s="33">
        <f t="shared" si="12"/>
        <v>0</v>
      </c>
      <c r="AM44" s="33">
        <f t="shared" si="12"/>
        <v>0</v>
      </c>
      <c r="AN44" s="33">
        <f t="shared" si="12"/>
        <v>0</v>
      </c>
      <c r="AO44" s="33">
        <f t="shared" si="12"/>
        <v>0</v>
      </c>
      <c r="AP44" s="33">
        <f t="shared" si="12"/>
        <v>0</v>
      </c>
      <c r="AQ44" s="33">
        <f t="shared" si="12"/>
        <v>0</v>
      </c>
      <c r="AR44" s="33">
        <f t="shared" si="12"/>
        <v>0</v>
      </c>
      <c r="AS44" s="33">
        <f t="shared" si="12"/>
        <v>0</v>
      </c>
      <c r="AT44" s="33">
        <f t="shared" si="12"/>
        <v>0</v>
      </c>
      <c r="AU44" s="33">
        <f t="shared" si="12"/>
        <v>0</v>
      </c>
      <c r="AV44" s="33">
        <f t="shared" si="12"/>
        <v>0</v>
      </c>
      <c r="AW44" s="33">
        <f t="shared" si="12"/>
        <v>0</v>
      </c>
      <c r="AX44" s="33">
        <f t="shared" si="12"/>
        <v>0</v>
      </c>
      <c r="AY44" s="33">
        <f t="shared" si="12"/>
        <v>0</v>
      </c>
      <c r="AZ44" s="33">
        <f t="shared" si="12"/>
        <v>0</v>
      </c>
      <c r="BA44" s="33">
        <f t="shared" si="12"/>
        <v>0</v>
      </c>
      <c r="BB44" s="33">
        <f t="shared" si="12"/>
        <v>0</v>
      </c>
      <c r="BC44" s="33">
        <f t="shared" si="12"/>
        <v>0</v>
      </c>
      <c r="BD44" s="33">
        <f t="shared" si="12"/>
        <v>0</v>
      </c>
      <c r="BE44" s="33">
        <f t="shared" si="12"/>
        <v>0</v>
      </c>
      <c r="BI44" s="21"/>
      <c r="BJ44" s="21"/>
    </row>
    <row r="45" spans="2:62">
      <c r="B45" s="33" t="s">
        <v>93</v>
      </c>
      <c r="C45" s="33"/>
      <c r="D45" s="33"/>
      <c r="E45" s="33"/>
      <c r="F45" s="33">
        <f t="shared" si="12"/>
        <v>0</v>
      </c>
      <c r="G45" s="33">
        <f t="shared" si="12"/>
        <v>0</v>
      </c>
      <c r="H45" s="33">
        <f t="shared" si="12"/>
        <v>0</v>
      </c>
      <c r="I45" s="33">
        <f t="shared" si="12"/>
        <v>0</v>
      </c>
      <c r="J45" s="33">
        <f t="shared" si="12"/>
        <v>0</v>
      </c>
      <c r="K45" s="33">
        <f t="shared" si="12"/>
        <v>0</v>
      </c>
      <c r="L45" s="33">
        <f t="shared" si="12"/>
        <v>0</v>
      </c>
      <c r="M45" s="33">
        <f t="shared" si="12"/>
        <v>0</v>
      </c>
      <c r="N45" s="33">
        <f t="shared" si="12"/>
        <v>0</v>
      </c>
      <c r="O45" s="33">
        <f t="shared" si="12"/>
        <v>0</v>
      </c>
      <c r="P45" s="33">
        <f t="shared" si="12"/>
        <v>0</v>
      </c>
      <c r="Q45" s="33">
        <f t="shared" si="12"/>
        <v>0</v>
      </c>
      <c r="R45" s="33">
        <f t="shared" si="12"/>
        <v>0</v>
      </c>
      <c r="S45" s="33">
        <f t="shared" si="12"/>
        <v>0</v>
      </c>
      <c r="T45" s="33">
        <f t="shared" si="12"/>
        <v>0</v>
      </c>
      <c r="U45" s="33">
        <f t="shared" si="12"/>
        <v>0</v>
      </c>
      <c r="V45" s="33">
        <f t="shared" si="12"/>
        <v>0</v>
      </c>
      <c r="W45" s="33">
        <f t="shared" si="12"/>
        <v>0</v>
      </c>
      <c r="X45" s="33">
        <f t="shared" si="12"/>
        <v>0</v>
      </c>
      <c r="Y45" s="33">
        <f t="shared" si="12"/>
        <v>0</v>
      </c>
      <c r="Z45" s="33">
        <f t="shared" si="12"/>
        <v>0</v>
      </c>
      <c r="AA45" s="33">
        <f t="shared" si="12"/>
        <v>0</v>
      </c>
      <c r="AB45" s="33">
        <f t="shared" si="12"/>
        <v>0</v>
      </c>
      <c r="AC45" s="33">
        <f t="shared" si="12"/>
        <v>0</v>
      </c>
      <c r="AD45" s="33">
        <f t="shared" si="12"/>
        <v>0</v>
      </c>
      <c r="AE45" s="33">
        <f t="shared" si="12"/>
        <v>0</v>
      </c>
      <c r="AF45" s="33">
        <f t="shared" si="12"/>
        <v>0</v>
      </c>
      <c r="AG45" s="33">
        <f t="shared" si="12"/>
        <v>0</v>
      </c>
      <c r="AH45" s="33">
        <f t="shared" si="12"/>
        <v>0</v>
      </c>
      <c r="AI45" s="33">
        <f t="shared" si="12"/>
        <v>0</v>
      </c>
      <c r="AJ45" s="33">
        <f t="shared" si="12"/>
        <v>0</v>
      </c>
      <c r="AK45" s="33">
        <f t="shared" si="12"/>
        <v>0</v>
      </c>
      <c r="AL45" s="33">
        <f t="shared" si="12"/>
        <v>0</v>
      </c>
      <c r="AM45" s="33">
        <f t="shared" si="12"/>
        <v>0</v>
      </c>
      <c r="AN45" s="33">
        <f t="shared" si="12"/>
        <v>0</v>
      </c>
      <c r="AO45" s="33">
        <f t="shared" si="12"/>
        <v>0</v>
      </c>
      <c r="AP45" s="33">
        <f t="shared" si="12"/>
        <v>0</v>
      </c>
      <c r="AQ45" s="33">
        <f t="shared" si="12"/>
        <v>0</v>
      </c>
      <c r="AR45" s="33">
        <f t="shared" si="12"/>
        <v>0</v>
      </c>
      <c r="AS45" s="33">
        <f t="shared" si="12"/>
        <v>0</v>
      </c>
      <c r="AT45" s="33">
        <f t="shared" si="12"/>
        <v>0</v>
      </c>
      <c r="AU45" s="33">
        <f t="shared" si="12"/>
        <v>0</v>
      </c>
      <c r="AV45" s="33">
        <f t="shared" si="12"/>
        <v>0</v>
      </c>
      <c r="AW45" s="33">
        <f t="shared" si="12"/>
        <v>0</v>
      </c>
      <c r="AX45" s="33">
        <f t="shared" si="12"/>
        <v>0</v>
      </c>
      <c r="AY45" s="33">
        <f t="shared" si="12"/>
        <v>0</v>
      </c>
      <c r="AZ45" s="33">
        <f t="shared" si="12"/>
        <v>0</v>
      </c>
      <c r="BA45" s="33">
        <f t="shared" si="12"/>
        <v>0</v>
      </c>
      <c r="BB45" s="33">
        <f t="shared" si="12"/>
        <v>0</v>
      </c>
      <c r="BC45" s="33">
        <f t="shared" si="12"/>
        <v>0</v>
      </c>
      <c r="BD45" s="33">
        <f t="shared" si="12"/>
        <v>0</v>
      </c>
      <c r="BE45" s="33">
        <f t="shared" si="12"/>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3">G41+G44</f>
        <v>0</v>
      </c>
      <c r="H47" s="33">
        <f t="shared" si="13"/>
        <v>0</v>
      </c>
      <c r="I47" s="33">
        <f t="shared" si="13"/>
        <v>0</v>
      </c>
      <c r="J47" s="33">
        <f t="shared" si="13"/>
        <v>0</v>
      </c>
      <c r="K47" s="33">
        <f t="shared" si="13"/>
        <v>0</v>
      </c>
      <c r="L47" s="33">
        <f t="shared" si="13"/>
        <v>0</v>
      </c>
      <c r="M47" s="33">
        <f t="shared" si="13"/>
        <v>0</v>
      </c>
      <c r="N47" s="33">
        <f t="shared" si="13"/>
        <v>0</v>
      </c>
      <c r="O47" s="33">
        <f t="shared" si="13"/>
        <v>0</v>
      </c>
      <c r="P47" s="33">
        <f t="shared" si="13"/>
        <v>0</v>
      </c>
      <c r="Q47" s="33">
        <f t="shared" si="13"/>
        <v>0</v>
      </c>
      <c r="R47" s="33">
        <f t="shared" si="13"/>
        <v>0</v>
      </c>
      <c r="S47" s="33">
        <f t="shared" si="13"/>
        <v>0</v>
      </c>
      <c r="T47" s="33">
        <f t="shared" si="13"/>
        <v>0</v>
      </c>
      <c r="U47" s="33">
        <f t="shared" si="13"/>
        <v>0</v>
      </c>
      <c r="V47" s="33">
        <f t="shared" si="13"/>
        <v>0</v>
      </c>
      <c r="W47" s="33">
        <f t="shared" si="13"/>
        <v>0</v>
      </c>
      <c r="X47" s="33">
        <f t="shared" si="13"/>
        <v>0</v>
      </c>
      <c r="Y47" s="33">
        <f t="shared" si="13"/>
        <v>0</v>
      </c>
      <c r="Z47" s="33">
        <f t="shared" si="13"/>
        <v>0</v>
      </c>
      <c r="AA47" s="33">
        <f t="shared" si="13"/>
        <v>0</v>
      </c>
      <c r="AB47" s="33">
        <f t="shared" si="13"/>
        <v>0</v>
      </c>
      <c r="AC47" s="33">
        <f t="shared" si="13"/>
        <v>0</v>
      </c>
      <c r="AD47" s="33">
        <f t="shared" si="13"/>
        <v>0</v>
      </c>
      <c r="AE47" s="33">
        <f t="shared" si="13"/>
        <v>0</v>
      </c>
      <c r="AF47" s="33">
        <f t="shared" si="13"/>
        <v>0</v>
      </c>
      <c r="AG47" s="33">
        <f t="shared" si="13"/>
        <v>0</v>
      </c>
      <c r="AH47" s="33">
        <f t="shared" si="13"/>
        <v>0</v>
      </c>
      <c r="AI47" s="33">
        <f t="shared" si="13"/>
        <v>0</v>
      </c>
      <c r="AJ47" s="33">
        <f t="shared" si="13"/>
        <v>0</v>
      </c>
      <c r="AK47" s="33">
        <f t="shared" si="13"/>
        <v>0</v>
      </c>
      <c r="AL47" s="33">
        <f t="shared" si="13"/>
        <v>0</v>
      </c>
      <c r="AM47" s="33">
        <f t="shared" si="13"/>
        <v>0</v>
      </c>
      <c r="AN47" s="33">
        <f t="shared" si="13"/>
        <v>0</v>
      </c>
      <c r="AO47" s="33">
        <f t="shared" si="13"/>
        <v>0</v>
      </c>
      <c r="AP47" s="33">
        <f t="shared" si="13"/>
        <v>0</v>
      </c>
      <c r="AQ47" s="33">
        <f t="shared" si="13"/>
        <v>0</v>
      </c>
      <c r="AR47" s="33">
        <f t="shared" si="13"/>
        <v>0</v>
      </c>
      <c r="AS47" s="33">
        <f t="shared" si="13"/>
        <v>0</v>
      </c>
      <c r="AT47" s="33">
        <f t="shared" si="13"/>
        <v>0</v>
      </c>
      <c r="AU47" s="33">
        <f t="shared" si="13"/>
        <v>0</v>
      </c>
      <c r="AV47" s="33">
        <f t="shared" si="13"/>
        <v>0</v>
      </c>
      <c r="AW47" s="33">
        <f t="shared" si="13"/>
        <v>0</v>
      </c>
      <c r="AX47" s="33">
        <f t="shared" si="13"/>
        <v>0</v>
      </c>
      <c r="AY47" s="33">
        <f t="shared" si="13"/>
        <v>0</v>
      </c>
      <c r="AZ47" s="33">
        <f t="shared" si="13"/>
        <v>0</v>
      </c>
      <c r="BA47" s="33">
        <f t="shared" si="13"/>
        <v>0</v>
      </c>
      <c r="BB47" s="33">
        <f t="shared" si="13"/>
        <v>0</v>
      </c>
      <c r="BC47" s="33">
        <f t="shared" si="13"/>
        <v>0</v>
      </c>
      <c r="BD47" s="33">
        <f t="shared" si="13"/>
        <v>0</v>
      </c>
      <c r="BE47" s="33">
        <f t="shared" si="13"/>
        <v>0</v>
      </c>
    </row>
    <row r="48" spans="2:62">
      <c r="B48" s="33" t="s">
        <v>12</v>
      </c>
      <c r="C48" s="33"/>
      <c r="D48" s="33"/>
      <c r="E48" s="33"/>
      <c r="F48" s="33">
        <f t="shared" ref="F48:BE48" si="14">F42+F45</f>
        <v>0</v>
      </c>
      <c r="G48" s="33">
        <f t="shared" si="14"/>
        <v>0</v>
      </c>
      <c r="H48" s="33">
        <f t="shared" si="14"/>
        <v>0</v>
      </c>
      <c r="I48" s="33">
        <f t="shared" si="14"/>
        <v>0</v>
      </c>
      <c r="J48" s="33">
        <f t="shared" si="14"/>
        <v>0</v>
      </c>
      <c r="K48" s="33">
        <f t="shared" si="14"/>
        <v>0</v>
      </c>
      <c r="L48" s="33">
        <f t="shared" si="14"/>
        <v>0</v>
      </c>
      <c r="M48" s="33">
        <f t="shared" si="14"/>
        <v>0</v>
      </c>
      <c r="N48" s="33">
        <f t="shared" si="14"/>
        <v>0</v>
      </c>
      <c r="O48" s="33">
        <f t="shared" si="14"/>
        <v>0</v>
      </c>
      <c r="P48" s="33">
        <f t="shared" si="14"/>
        <v>0</v>
      </c>
      <c r="Q48" s="33">
        <f t="shared" si="14"/>
        <v>0</v>
      </c>
      <c r="R48" s="33">
        <f t="shared" si="14"/>
        <v>0</v>
      </c>
      <c r="S48" s="33">
        <f t="shared" si="14"/>
        <v>0</v>
      </c>
      <c r="T48" s="33">
        <f t="shared" si="14"/>
        <v>0</v>
      </c>
      <c r="U48" s="33">
        <f t="shared" si="14"/>
        <v>0</v>
      </c>
      <c r="V48" s="33">
        <f t="shared" si="14"/>
        <v>0</v>
      </c>
      <c r="W48" s="33">
        <f t="shared" si="14"/>
        <v>0</v>
      </c>
      <c r="X48" s="33">
        <f t="shared" si="14"/>
        <v>0</v>
      </c>
      <c r="Y48" s="33">
        <f t="shared" si="14"/>
        <v>0</v>
      </c>
      <c r="Z48" s="33">
        <f t="shared" si="14"/>
        <v>0</v>
      </c>
      <c r="AA48" s="33">
        <f t="shared" si="14"/>
        <v>0</v>
      </c>
      <c r="AB48" s="33">
        <f t="shared" si="14"/>
        <v>0</v>
      </c>
      <c r="AC48" s="33">
        <f t="shared" si="14"/>
        <v>0</v>
      </c>
      <c r="AD48" s="33">
        <f t="shared" si="14"/>
        <v>0</v>
      </c>
      <c r="AE48" s="33">
        <f t="shared" si="14"/>
        <v>0</v>
      </c>
      <c r="AF48" s="33">
        <f t="shared" si="14"/>
        <v>0</v>
      </c>
      <c r="AG48" s="33">
        <f t="shared" si="14"/>
        <v>0</v>
      </c>
      <c r="AH48" s="33">
        <f t="shared" si="14"/>
        <v>0</v>
      </c>
      <c r="AI48" s="33">
        <f t="shared" si="14"/>
        <v>0</v>
      </c>
      <c r="AJ48" s="33">
        <f t="shared" si="14"/>
        <v>0</v>
      </c>
      <c r="AK48" s="33">
        <f t="shared" si="14"/>
        <v>0</v>
      </c>
      <c r="AL48" s="33">
        <f t="shared" si="14"/>
        <v>0</v>
      </c>
      <c r="AM48" s="33">
        <f t="shared" si="14"/>
        <v>0</v>
      </c>
      <c r="AN48" s="33">
        <f t="shared" si="14"/>
        <v>0</v>
      </c>
      <c r="AO48" s="33">
        <f t="shared" si="14"/>
        <v>0</v>
      </c>
      <c r="AP48" s="33">
        <f t="shared" si="14"/>
        <v>0</v>
      </c>
      <c r="AQ48" s="33">
        <f t="shared" si="14"/>
        <v>0</v>
      </c>
      <c r="AR48" s="33">
        <f t="shared" si="14"/>
        <v>0</v>
      </c>
      <c r="AS48" s="33">
        <f t="shared" si="14"/>
        <v>0</v>
      </c>
      <c r="AT48" s="33">
        <f t="shared" si="14"/>
        <v>0</v>
      </c>
      <c r="AU48" s="33">
        <f t="shared" si="14"/>
        <v>0</v>
      </c>
      <c r="AV48" s="33">
        <f t="shared" si="14"/>
        <v>0</v>
      </c>
      <c r="AW48" s="33">
        <f t="shared" si="14"/>
        <v>0</v>
      </c>
      <c r="AX48" s="33">
        <f t="shared" si="14"/>
        <v>0</v>
      </c>
      <c r="AY48" s="33">
        <f t="shared" si="14"/>
        <v>0</v>
      </c>
      <c r="AZ48" s="33">
        <f t="shared" si="14"/>
        <v>0</v>
      </c>
      <c r="BA48" s="33">
        <f t="shared" si="14"/>
        <v>0</v>
      </c>
      <c r="BB48" s="33">
        <f t="shared" si="14"/>
        <v>0</v>
      </c>
      <c r="BC48" s="33">
        <f t="shared" si="14"/>
        <v>0</v>
      </c>
      <c r="BD48" s="33">
        <f t="shared" si="14"/>
        <v>0</v>
      </c>
      <c r="BE48" s="33">
        <f t="shared" si="14"/>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BE51" ca="1" si="15">IF($AZ$3&gt;F24,F47,0)</f>
        <v>0</v>
      </c>
      <c r="G50" s="33">
        <f t="shared" ca="1" si="15"/>
        <v>0</v>
      </c>
      <c r="H50" s="33">
        <f t="shared" ca="1" si="15"/>
        <v>0</v>
      </c>
      <c r="I50" s="33">
        <f t="shared" ca="1" si="15"/>
        <v>0</v>
      </c>
      <c r="J50" s="33">
        <f t="shared" ca="1" si="15"/>
        <v>0</v>
      </c>
      <c r="K50" s="33">
        <f t="shared" ca="1" si="15"/>
        <v>0</v>
      </c>
      <c r="L50" s="33">
        <f t="shared" ca="1" si="15"/>
        <v>0</v>
      </c>
      <c r="M50" s="33">
        <f t="shared" ca="1" si="15"/>
        <v>0</v>
      </c>
      <c r="N50" s="33">
        <f t="shared" ca="1" si="15"/>
        <v>0</v>
      </c>
      <c r="O50" s="33">
        <f t="shared" ca="1" si="15"/>
        <v>0</v>
      </c>
      <c r="P50" s="33">
        <f t="shared" ca="1" si="15"/>
        <v>0</v>
      </c>
      <c r="Q50" s="33">
        <f t="shared" ca="1" si="15"/>
        <v>0</v>
      </c>
      <c r="R50" s="33">
        <f t="shared" ca="1" si="15"/>
        <v>0</v>
      </c>
      <c r="S50" s="33">
        <f t="shared" ca="1" si="15"/>
        <v>0</v>
      </c>
      <c r="T50" s="33">
        <f t="shared" ca="1" si="15"/>
        <v>0</v>
      </c>
      <c r="U50" s="33">
        <f t="shared" ca="1" si="15"/>
        <v>0</v>
      </c>
      <c r="V50" s="33">
        <f t="shared" ca="1" si="15"/>
        <v>0</v>
      </c>
      <c r="W50" s="33">
        <f t="shared" ca="1" si="15"/>
        <v>0</v>
      </c>
      <c r="X50" s="33">
        <f t="shared" ca="1" si="15"/>
        <v>0</v>
      </c>
      <c r="Y50" s="33">
        <f t="shared" ca="1" si="15"/>
        <v>0</v>
      </c>
      <c r="Z50" s="33">
        <f t="shared" ca="1" si="15"/>
        <v>0</v>
      </c>
      <c r="AA50" s="33">
        <f t="shared" ca="1" si="15"/>
        <v>0</v>
      </c>
      <c r="AB50" s="33">
        <f t="shared" ca="1" si="15"/>
        <v>0</v>
      </c>
      <c r="AC50" s="33">
        <f t="shared" ca="1" si="15"/>
        <v>0</v>
      </c>
      <c r="AD50" s="33">
        <f t="shared" ca="1" si="15"/>
        <v>0</v>
      </c>
      <c r="AE50" s="33">
        <f t="shared" ca="1" si="15"/>
        <v>0</v>
      </c>
      <c r="AF50" s="33">
        <f t="shared" ca="1" si="15"/>
        <v>0</v>
      </c>
      <c r="AG50" s="33">
        <f t="shared" ca="1" si="15"/>
        <v>0</v>
      </c>
      <c r="AH50" s="33">
        <f t="shared" ca="1" si="15"/>
        <v>0</v>
      </c>
      <c r="AI50" s="33">
        <f t="shared" ca="1" si="15"/>
        <v>0</v>
      </c>
      <c r="AJ50" s="33">
        <f t="shared" ca="1" si="15"/>
        <v>0</v>
      </c>
      <c r="AK50" s="33">
        <f t="shared" ca="1" si="15"/>
        <v>0</v>
      </c>
      <c r="AL50" s="33">
        <f t="shared" ca="1" si="15"/>
        <v>0</v>
      </c>
      <c r="AM50" s="33">
        <f t="shared" ca="1" si="15"/>
        <v>0</v>
      </c>
      <c r="AN50" s="33">
        <f t="shared" ca="1" si="15"/>
        <v>0</v>
      </c>
      <c r="AO50" s="33">
        <f t="shared" ca="1" si="15"/>
        <v>0</v>
      </c>
      <c r="AP50" s="33">
        <f t="shared" ca="1" si="15"/>
        <v>0</v>
      </c>
      <c r="AQ50" s="33">
        <f t="shared" ca="1" si="15"/>
        <v>0</v>
      </c>
      <c r="AR50" s="33">
        <f t="shared" ca="1" si="15"/>
        <v>0</v>
      </c>
      <c r="AS50" s="33">
        <f t="shared" ca="1" si="15"/>
        <v>0</v>
      </c>
      <c r="AT50" s="33">
        <f t="shared" ca="1" si="15"/>
        <v>0</v>
      </c>
      <c r="AU50" s="33">
        <f t="shared" ca="1" si="15"/>
        <v>0</v>
      </c>
      <c r="AV50" s="33">
        <f t="shared" ca="1" si="15"/>
        <v>0</v>
      </c>
      <c r="AW50" s="33">
        <f t="shared" ca="1" si="15"/>
        <v>0</v>
      </c>
      <c r="AX50" s="33">
        <f t="shared" ca="1" si="15"/>
        <v>0</v>
      </c>
      <c r="AY50" s="33">
        <f t="shared" ca="1" si="15"/>
        <v>0</v>
      </c>
      <c r="AZ50" s="33">
        <f t="shared" ca="1" si="15"/>
        <v>0</v>
      </c>
      <c r="BA50" s="33">
        <f t="shared" ca="1" si="15"/>
        <v>0</v>
      </c>
      <c r="BB50" s="33">
        <f t="shared" ca="1" si="15"/>
        <v>0</v>
      </c>
      <c r="BC50" s="33">
        <f t="shared" ca="1" si="15"/>
        <v>0</v>
      </c>
      <c r="BD50" s="33">
        <f t="shared" ca="1" si="15"/>
        <v>0</v>
      </c>
      <c r="BE50" s="33">
        <f t="shared" ca="1" si="15"/>
        <v>0</v>
      </c>
    </row>
    <row r="51" spans="2:57">
      <c r="B51" s="33" t="s">
        <v>96</v>
      </c>
      <c r="C51" s="33"/>
      <c r="D51" s="33"/>
      <c r="E51" s="33">
        <f ca="1">MAX(F51:BE51)</f>
        <v>0</v>
      </c>
      <c r="F51" s="33">
        <f t="shared" ca="1" si="15"/>
        <v>0</v>
      </c>
      <c r="G51" s="33">
        <f t="shared" ca="1" si="15"/>
        <v>0</v>
      </c>
      <c r="H51" s="33">
        <f t="shared" ca="1" si="15"/>
        <v>0</v>
      </c>
      <c r="I51" s="33">
        <f t="shared" ca="1" si="15"/>
        <v>0</v>
      </c>
      <c r="J51" s="33">
        <f t="shared" ca="1" si="15"/>
        <v>0</v>
      </c>
      <c r="K51" s="33">
        <f t="shared" ca="1" si="15"/>
        <v>0</v>
      </c>
      <c r="L51" s="33">
        <f t="shared" ca="1" si="15"/>
        <v>0</v>
      </c>
      <c r="M51" s="33">
        <f t="shared" ca="1" si="15"/>
        <v>0</v>
      </c>
      <c r="N51" s="33">
        <f t="shared" ca="1" si="15"/>
        <v>0</v>
      </c>
      <c r="O51" s="33">
        <f t="shared" ca="1" si="15"/>
        <v>0</v>
      </c>
      <c r="P51" s="33">
        <f t="shared" ca="1" si="15"/>
        <v>0</v>
      </c>
      <c r="Q51" s="33">
        <f t="shared" ca="1" si="15"/>
        <v>0</v>
      </c>
      <c r="R51" s="33">
        <f t="shared" ca="1" si="15"/>
        <v>0</v>
      </c>
      <c r="S51" s="33">
        <f t="shared" ca="1" si="15"/>
        <v>0</v>
      </c>
      <c r="T51" s="33">
        <f t="shared" ca="1" si="15"/>
        <v>0</v>
      </c>
      <c r="U51" s="33">
        <f t="shared" ca="1" si="15"/>
        <v>0</v>
      </c>
      <c r="V51" s="33">
        <f t="shared" ca="1" si="15"/>
        <v>0</v>
      </c>
      <c r="W51" s="33">
        <f t="shared" ca="1" si="15"/>
        <v>0</v>
      </c>
      <c r="X51" s="33">
        <f t="shared" ca="1" si="15"/>
        <v>0</v>
      </c>
      <c r="Y51" s="33">
        <f t="shared" ca="1" si="15"/>
        <v>0</v>
      </c>
      <c r="Z51" s="33">
        <f t="shared" ca="1" si="15"/>
        <v>0</v>
      </c>
      <c r="AA51" s="33">
        <f t="shared" ca="1" si="15"/>
        <v>0</v>
      </c>
      <c r="AB51" s="33">
        <f t="shared" ca="1" si="15"/>
        <v>0</v>
      </c>
      <c r="AC51" s="33">
        <f t="shared" ca="1" si="15"/>
        <v>0</v>
      </c>
      <c r="AD51" s="33">
        <f t="shared" ca="1" si="15"/>
        <v>0</v>
      </c>
      <c r="AE51" s="33">
        <f t="shared" ca="1" si="15"/>
        <v>0</v>
      </c>
      <c r="AF51" s="33">
        <f t="shared" ca="1" si="15"/>
        <v>0</v>
      </c>
      <c r="AG51" s="33">
        <f t="shared" ca="1" si="15"/>
        <v>0</v>
      </c>
      <c r="AH51" s="33">
        <f t="shared" ca="1" si="15"/>
        <v>0</v>
      </c>
      <c r="AI51" s="33">
        <f t="shared" ca="1" si="15"/>
        <v>0</v>
      </c>
      <c r="AJ51" s="33">
        <f t="shared" ca="1" si="15"/>
        <v>0</v>
      </c>
      <c r="AK51" s="33">
        <f t="shared" ca="1" si="15"/>
        <v>0</v>
      </c>
      <c r="AL51" s="33">
        <f t="shared" ca="1" si="15"/>
        <v>0</v>
      </c>
      <c r="AM51" s="33">
        <f t="shared" ca="1" si="15"/>
        <v>0</v>
      </c>
      <c r="AN51" s="33">
        <f t="shared" ca="1" si="15"/>
        <v>0</v>
      </c>
      <c r="AO51" s="33">
        <f t="shared" ca="1" si="15"/>
        <v>0</v>
      </c>
      <c r="AP51" s="33">
        <f t="shared" ca="1" si="15"/>
        <v>0</v>
      </c>
      <c r="AQ51" s="33">
        <f t="shared" ca="1" si="15"/>
        <v>0</v>
      </c>
      <c r="AR51" s="33">
        <f t="shared" ca="1" si="15"/>
        <v>0</v>
      </c>
      <c r="AS51" s="33">
        <f t="shared" ca="1" si="15"/>
        <v>0</v>
      </c>
      <c r="AT51" s="33">
        <f t="shared" ca="1" si="15"/>
        <v>0</v>
      </c>
      <c r="AU51" s="33">
        <f t="shared" ca="1" si="15"/>
        <v>0</v>
      </c>
      <c r="AV51" s="33">
        <f t="shared" ca="1" si="15"/>
        <v>0</v>
      </c>
      <c r="AW51" s="33">
        <f t="shared" ca="1" si="15"/>
        <v>0</v>
      </c>
      <c r="AX51" s="33">
        <f t="shared" ca="1" si="15"/>
        <v>0</v>
      </c>
      <c r="AY51" s="33">
        <f t="shared" ca="1" si="15"/>
        <v>0</v>
      </c>
      <c r="AZ51" s="33">
        <f t="shared" ca="1" si="15"/>
        <v>0</v>
      </c>
      <c r="BA51" s="33">
        <f t="shared" ca="1" si="15"/>
        <v>0</v>
      </c>
      <c r="BB51" s="33">
        <f t="shared" ca="1" si="15"/>
        <v>0</v>
      </c>
      <c r="BC51" s="33">
        <f t="shared" ca="1" si="15"/>
        <v>0</v>
      </c>
      <c r="BD51" s="33">
        <f t="shared" ca="1" si="15"/>
        <v>0</v>
      </c>
      <c r="BE51" s="33">
        <f t="shared" ca="1" si="15"/>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6" priority="1" operator="equal">
      <formula>"No Change"</formula>
    </cfRule>
    <cfRule type="cellIs" dxfId="5" priority="2" operator="equal">
      <formula>"Progression"</formula>
    </cfRule>
  </conditionalFormatting>
  <conditionalFormatting sqref="AU10:AU21">
    <cfRule type="expression" dxfId="4" priority="3">
      <formula>IFERROR(FIND("Ahead",AU10),0)&gt;0</formula>
    </cfRule>
    <cfRule type="expression" dxfId="3" priority="4">
      <formula>IFERROR(FIND("Overdue",AU10),0)&gt;0</formula>
    </cfRule>
    <cfRule type="cellIs" dxfId="2" priority="5" operator="equal">
      <formula>"Met Target"</formula>
    </cfRule>
    <cfRule type="cellIs" dxfId="1" priority="6" operator="equal">
      <formula>"Missing Target"</formula>
    </cfRule>
    <cfRule type="expression" dxfId="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00FF1532-A76E-9540-9147-B85FB7917FE5}">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F5703F1-C96F-A14A-ADD4-49B12F052B0F}">
          <x14:formula1>
            <xm:f>Lookups!$B$4:$B$8</xm:f>
          </x14:formula1>
          <xm:sqref>F7:X7</xm:sqref>
        </x14:dataValidation>
        <x14:dataValidation type="list" allowBlank="1" showInputMessage="1" showErrorMessage="1" xr:uid="{101E0A40-4E10-4647-89F1-9B6753D54B54}">
          <x14:formula1>
            <xm:f>Lookups!$AC$4:$AC$9</xm:f>
          </x14:formula1>
          <xm:sqref>AC7</xm:sqref>
        </x14:dataValidation>
        <x14:dataValidation type="list" allowBlank="1" showInputMessage="1" showErrorMessage="1" xr:uid="{8992CC9D-5370-2045-A193-6E7585B421CC}">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D39"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91</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93</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12</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96</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69" priority="1" operator="equal">
      <formula>"No Change"</formula>
    </cfRule>
    <cfRule type="cellIs" dxfId="68" priority="2" operator="equal">
      <formula>"Progression"</formula>
    </cfRule>
  </conditionalFormatting>
  <conditionalFormatting sqref="AU10:AU21">
    <cfRule type="expression" dxfId="67" priority="3">
      <formula>IFERROR(FIND("Ahead",AU10),0)&gt;0</formula>
    </cfRule>
    <cfRule type="expression" dxfId="66" priority="4">
      <formula>IFERROR(FIND("Overdue",AU10),0)&gt;0</formula>
    </cfRule>
    <cfRule type="cellIs" dxfId="65" priority="5" operator="equal">
      <formula>"Met Target"</formula>
    </cfRule>
    <cfRule type="cellIs" dxfId="64" priority="6" operator="equal">
      <formula>"Missing Target"</formula>
    </cfRule>
    <cfRule type="expression" dxfId="6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C43" sqref="A1:XFD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91</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93</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12</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96</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62" priority="1" operator="equal">
      <formula>"No Change"</formula>
    </cfRule>
    <cfRule type="cellIs" dxfId="61" priority="2" operator="equal">
      <formula>"Progression"</formula>
    </cfRule>
  </conditionalFormatting>
  <conditionalFormatting sqref="AU10:AU21">
    <cfRule type="expression" dxfId="60" priority="3">
      <formula>IFERROR(FIND("Ahead",AU10),0)&gt;0</formula>
    </cfRule>
    <cfRule type="expression" dxfId="59" priority="4">
      <formula>IFERROR(FIND("Overdue",AU10),0)&gt;0</formula>
    </cfRule>
    <cfRule type="cellIs" dxfId="58" priority="5" operator="equal">
      <formula>"Met Target"</formula>
    </cfRule>
    <cfRule type="cellIs" dxfId="57" priority="6" operator="equal">
      <formula>"Missing Target"</formula>
    </cfRule>
    <cfRule type="expression" dxfId="5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1" sqref="F1:BE1048576"/>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91</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93</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12</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96</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55" priority="1" operator="equal">
      <formula>"No Change"</formula>
    </cfRule>
    <cfRule type="cellIs" dxfId="54" priority="2" operator="equal">
      <formula>"Progression"</formula>
    </cfRule>
  </conditionalFormatting>
  <conditionalFormatting sqref="AU10:AU21">
    <cfRule type="expression" dxfId="53" priority="3">
      <formula>IFERROR(FIND("Ahead",AU10),0)&gt;0</formula>
    </cfRule>
    <cfRule type="expression" dxfId="52" priority="4">
      <formula>IFERROR(FIND("Overdue",AU10),0)&gt;0</formula>
    </cfRule>
    <cfRule type="cellIs" dxfId="51" priority="5" operator="equal">
      <formula>"Met Target"</formula>
    </cfRule>
    <cfRule type="cellIs" dxfId="50" priority="6" operator="equal">
      <formula>"Missing Target"</formula>
    </cfRule>
    <cfRule type="expression" dxfId="4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pane="topRight" activeCell="F1" sqref="F1:BE1048576"/>
      <selection pane="bottomLeft" activeCell="F1" sqref="F1:BE1048576"/>
      <selection pane="bottomRight" activeCell="F19" sqref="F19:M21"/>
    </sheetView>
  </sheetViews>
  <sheetFormatPr baseColWidth="10" defaultColWidth="9" defaultRowHeight="15"/>
  <cols>
    <col min="1" max="1" width="2.5" style="12" customWidth="1"/>
    <col min="2" max="2" width="11.33203125" style="12" customWidth="1"/>
    <col min="3" max="3" width="13.1640625" style="12" customWidth="1"/>
    <col min="4" max="4" width="20.5" style="12" customWidth="1"/>
    <col min="5" max="5" width="1.83203125" style="12" customWidth="1"/>
    <col min="6" max="57" width="7.5" style="12" customWidth="1"/>
    <col min="58" max="58" width="4.33203125" style="12" customWidth="1"/>
    <col min="59" max="59" width="3.6640625" style="12" customWidth="1"/>
    <col min="60" max="61" width="9" style="12" bestFit="1" customWidth="1"/>
    <col min="62" max="62" width="9" style="12" customWidth="1"/>
    <col min="63" max="63" width="19.5" style="12" customWidth="1"/>
    <col min="64" max="64" width="9.5" style="12" customWidth="1"/>
    <col min="65" max="65" width="29" style="12" customWidth="1"/>
    <col min="66" max="66" width="25.1640625" style="12" customWidth="1"/>
    <col min="67" max="69" width="5.5" style="12" customWidth="1"/>
    <col min="70" max="70" width="20.5" style="12" customWidth="1"/>
    <col min="71" max="71" width="13.1640625" style="15" customWidth="1"/>
    <col min="72" max="72" width="13.83203125" style="12" customWidth="1"/>
    <col min="73" max="16384" width="9" style="12"/>
  </cols>
  <sheetData>
    <row r="2" spans="2:71" ht="16" thickBot="1">
      <c r="BH2" s="13"/>
      <c r="BK2" s="14"/>
    </row>
    <row r="3" spans="2:71" ht="28.5" customHeight="1" thickBot="1">
      <c r="B3" s="144" t="s">
        <v>25</v>
      </c>
      <c r="C3" s="145"/>
      <c r="D3" s="145"/>
      <c r="E3" s="146"/>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6"/>
      <c r="AG3" s="90" t="s">
        <v>27</v>
      </c>
      <c r="AH3" s="90"/>
      <c r="AI3" s="90"/>
      <c r="AJ3" s="90"/>
      <c r="AK3" s="90"/>
      <c r="AL3" s="90"/>
      <c r="AM3" s="90"/>
      <c r="AN3" s="90"/>
      <c r="AO3" s="141" t="str">
        <f>F8</f>
        <v/>
      </c>
      <c r="AP3" s="141"/>
      <c r="AQ3" s="141"/>
      <c r="AR3" s="141"/>
      <c r="AS3" s="141"/>
      <c r="AT3" s="141"/>
      <c r="AU3" s="141"/>
      <c r="AV3" s="151">
        <f>IF(F7="",0,VLOOKUP(F7,Lookups!B4:H8,3))</f>
        <v>0</v>
      </c>
      <c r="AW3" s="152"/>
      <c r="AX3" s="153"/>
      <c r="AY3" s="16"/>
      <c r="AZ3" s="159">
        <f ca="1">NOW()</f>
        <v>45961.687117939815</v>
      </c>
      <c r="BA3" s="160"/>
      <c r="BB3" s="160"/>
      <c r="BC3" s="160"/>
      <c r="BD3" s="160"/>
      <c r="BE3" s="161"/>
      <c r="BH3" s="13"/>
      <c r="BI3" s="17"/>
      <c r="BJ3" s="17"/>
      <c r="BK3" s="17"/>
    </row>
    <row r="4" spans="2:71" ht="28.5" customHeight="1" thickBot="1">
      <c r="B4" s="147"/>
      <c r="C4" s="148"/>
      <c r="D4" s="148"/>
      <c r="E4" s="149"/>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6"/>
      <c r="AG4" s="90" t="s">
        <v>28</v>
      </c>
      <c r="AH4" s="90"/>
      <c r="AI4" s="90"/>
      <c r="AJ4" s="90"/>
      <c r="AK4" s="90"/>
      <c r="AL4" s="90"/>
      <c r="AM4" s="90"/>
      <c r="AN4" s="90"/>
      <c r="AO4" s="141" t="str">
        <f ca="1">VLOOKUP(COUNTIF(AR10:AT21,"&lt;="&amp;AZ3),Table3357[],2)</f>
        <v>Not Def</v>
      </c>
      <c r="AP4" s="141"/>
      <c r="AQ4" s="141"/>
      <c r="AR4" s="141"/>
      <c r="AS4" s="141"/>
      <c r="AT4" s="141"/>
      <c r="AU4" s="141"/>
      <c r="AV4" s="154">
        <f ca="1">IF(AO4="Not Def",0,VLOOKUP(AO4,Lookups!L4:M8,2))</f>
        <v>0</v>
      </c>
      <c r="AW4" s="154"/>
      <c r="AX4" s="154"/>
      <c r="AY4" s="16"/>
      <c r="AZ4" s="164" t="s">
        <v>29</v>
      </c>
      <c r="BA4" s="162"/>
      <c r="BB4" s="162"/>
      <c r="BC4" s="162" t="str">
        <f ca="1">VLOOKUP((YEAR(AZ3)&amp;"-"&amp;MONTH(AZ3)),Lookups!S3:U21,2)</f>
        <v>2025-Q4</v>
      </c>
      <c r="BD4" s="162"/>
      <c r="BE4" s="163"/>
      <c r="BF4" s="16"/>
      <c r="BG4" s="16"/>
      <c r="BH4" s="13"/>
      <c r="BI4" s="17"/>
      <c r="BJ4" s="17"/>
      <c r="BK4" s="17"/>
    </row>
    <row r="5" spans="2:71" ht="28.5" customHeight="1" thickBot="1">
      <c r="B5" s="144" t="s">
        <v>30</v>
      </c>
      <c r="C5" s="145"/>
      <c r="D5" s="145"/>
      <c r="E5" s="146"/>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8"/>
      <c r="AG5" s="90" t="s">
        <v>32</v>
      </c>
      <c r="AH5" s="90"/>
      <c r="AI5" s="90"/>
      <c r="AJ5" s="90"/>
      <c r="AK5" s="90"/>
      <c r="AL5" s="90"/>
      <c r="AM5" s="90"/>
      <c r="AN5" s="90"/>
      <c r="AO5" s="141" t="str">
        <f ca="1">VLOOKUP(COUNTIF(AR10:AT21,"&lt;"&amp;VLOOKUP(BC4,Lookups!W3:Y9,2)),Table3357[],2)</f>
        <v>Not Def</v>
      </c>
      <c r="AP5" s="141"/>
      <c r="AQ5" s="142" t="str">
        <f ca="1">IF(AV5=1,"No Change","Progression")</f>
        <v>Progression</v>
      </c>
      <c r="AR5" s="142"/>
      <c r="AS5" s="142"/>
      <c r="AT5" s="142"/>
      <c r="AU5" s="142"/>
      <c r="AV5" s="154">
        <f ca="1">IF(AO4="Not Def",0,IF(AO5=AO4,1,1.2))</f>
        <v>0</v>
      </c>
      <c r="AW5" s="154"/>
      <c r="AX5" s="154"/>
      <c r="AY5" s="18"/>
      <c r="AZ5" s="140"/>
      <c r="BA5" s="140"/>
      <c r="BB5" s="140"/>
      <c r="BC5" s="140"/>
      <c r="BD5" s="140"/>
      <c r="BE5" s="140"/>
      <c r="BH5" s="13"/>
      <c r="BI5" s="19"/>
      <c r="BJ5" s="17"/>
      <c r="BK5" s="17"/>
    </row>
    <row r="6" spans="2:71" ht="28.5" customHeight="1" thickBot="1">
      <c r="B6" s="147"/>
      <c r="C6" s="148"/>
      <c r="D6" s="148"/>
      <c r="E6" s="149"/>
      <c r="F6" s="143"/>
      <c r="G6" s="143"/>
      <c r="H6" s="143"/>
      <c r="I6" s="143"/>
      <c r="J6" s="143"/>
      <c r="K6" s="143"/>
      <c r="L6" s="143"/>
      <c r="M6" s="143"/>
      <c r="N6" s="143"/>
      <c r="O6" s="143"/>
      <c r="P6" s="143"/>
      <c r="Q6" s="143"/>
      <c r="R6" s="143"/>
      <c r="S6" s="143"/>
      <c r="T6" s="143"/>
      <c r="U6" s="143"/>
      <c r="V6" s="143"/>
      <c r="W6" s="143"/>
      <c r="X6" s="143"/>
      <c r="Y6" s="143"/>
      <c r="Z6" s="143"/>
      <c r="AA6" s="143"/>
      <c r="AB6" s="143"/>
      <c r="AC6" s="143"/>
      <c r="AD6" s="143"/>
      <c r="AE6" s="143"/>
      <c r="AF6" s="18"/>
      <c r="AG6" s="157" t="s">
        <v>33</v>
      </c>
      <c r="AH6" s="157"/>
      <c r="AI6" s="157"/>
      <c r="AJ6" s="157"/>
      <c r="AK6" s="157"/>
      <c r="AL6" s="157"/>
      <c r="AM6" s="157"/>
      <c r="AN6" s="157"/>
      <c r="AO6" s="157"/>
      <c r="AP6" s="157"/>
      <c r="AQ6" s="157"/>
      <c r="AR6" s="157"/>
      <c r="AS6" s="157"/>
      <c r="AT6" s="157"/>
      <c r="AU6" s="157"/>
      <c r="AV6" s="155">
        <f ca="1">AV3*AV4*AV5</f>
        <v>0</v>
      </c>
      <c r="AW6" s="155"/>
      <c r="AX6" s="155"/>
      <c r="AY6" s="18"/>
      <c r="AZ6" s="18"/>
      <c r="BA6" s="18"/>
      <c r="BB6" s="18"/>
      <c r="BC6" s="18"/>
      <c r="BD6" s="18"/>
      <c r="BH6" s="13"/>
      <c r="BI6" s="17"/>
      <c r="BJ6" s="17"/>
      <c r="BK6" s="17"/>
    </row>
    <row r="7" spans="2:71" ht="28.5" customHeight="1" thickBot="1">
      <c r="B7" s="97" t="s">
        <v>34</v>
      </c>
      <c r="C7" s="98"/>
      <c r="D7" s="98"/>
      <c r="E7" s="99"/>
      <c r="F7" s="94"/>
      <c r="G7" s="95"/>
      <c r="H7" s="95"/>
      <c r="I7" s="95"/>
      <c r="J7" s="95"/>
      <c r="K7" s="95"/>
      <c r="L7" s="95"/>
      <c r="M7" s="95"/>
      <c r="N7" s="95"/>
      <c r="O7" s="95"/>
      <c r="P7" s="95"/>
      <c r="Q7" s="95"/>
      <c r="R7" s="95"/>
      <c r="S7" s="95"/>
      <c r="T7" s="95"/>
      <c r="U7" s="95"/>
      <c r="V7" s="95"/>
      <c r="W7" s="95"/>
      <c r="X7" s="96"/>
      <c r="Y7" s="97" t="s">
        <v>9</v>
      </c>
      <c r="Z7" s="98"/>
      <c r="AA7" s="98"/>
      <c r="AB7" s="99"/>
      <c r="AC7" s="100"/>
      <c r="AD7" s="101"/>
      <c r="AE7" s="102"/>
      <c r="BH7" s="13"/>
      <c r="BI7" s="13"/>
      <c r="BJ7" s="17"/>
      <c r="BK7" s="17"/>
    </row>
    <row r="8" spans="2:71" ht="28.5" customHeight="1" thickBot="1">
      <c r="B8" s="97" t="s">
        <v>7</v>
      </c>
      <c r="C8" s="98"/>
      <c r="D8" s="98"/>
      <c r="E8" s="99"/>
      <c r="F8" s="136" t="str">
        <f>IF(F7="","",VLOOKUP(F7,Lookups!B4:H8,2))</f>
        <v/>
      </c>
      <c r="G8" s="137"/>
      <c r="H8" s="137"/>
      <c r="I8" s="137"/>
      <c r="J8" s="137"/>
      <c r="K8" s="137"/>
      <c r="L8" s="137"/>
      <c r="M8" s="137"/>
      <c r="N8" s="137"/>
      <c r="O8" s="137"/>
      <c r="P8" s="137"/>
      <c r="Q8" s="137"/>
      <c r="R8" s="137"/>
      <c r="S8" s="137"/>
      <c r="T8" s="137"/>
      <c r="U8" s="137"/>
      <c r="V8" s="137"/>
      <c r="W8" s="137"/>
      <c r="X8" s="137"/>
      <c r="Y8" s="137"/>
      <c r="Z8" s="137"/>
      <c r="AA8" s="137"/>
      <c r="AB8" s="137"/>
      <c r="AC8" s="137"/>
      <c r="AD8" s="137"/>
      <c r="AE8" s="138"/>
      <c r="BH8" s="20"/>
      <c r="BI8" s="17"/>
      <c r="BJ8" s="17"/>
      <c r="BK8" s="17"/>
    </row>
    <row r="9" spans="2:71" ht="28.5" customHeight="1" thickBot="1">
      <c r="B9" s="97" t="s">
        <v>37</v>
      </c>
      <c r="C9" s="98"/>
      <c r="D9" s="98"/>
      <c r="E9" s="99"/>
      <c r="F9" s="158" t="str">
        <f>IF(F7="","",VLOOKUP(F7,Lookups!B4:H8,4))</f>
        <v/>
      </c>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G9" s="90" t="s">
        <v>38</v>
      </c>
      <c r="AH9" s="90"/>
      <c r="AI9" s="90"/>
      <c r="AJ9" s="90" t="s">
        <v>39</v>
      </c>
      <c r="AK9" s="90"/>
      <c r="AL9" s="90"/>
      <c r="AM9" s="90"/>
      <c r="AN9" s="90"/>
      <c r="AO9" s="156" t="s">
        <v>40</v>
      </c>
      <c r="AP9" s="156"/>
      <c r="AQ9" s="156"/>
      <c r="AR9" s="156" t="s">
        <v>41</v>
      </c>
      <c r="AS9" s="156"/>
      <c r="AT9" s="156"/>
      <c r="AU9" s="90" t="s">
        <v>42</v>
      </c>
      <c r="AV9" s="90"/>
      <c r="AW9" s="90"/>
      <c r="AX9" s="90"/>
      <c r="AY9" s="90" t="s">
        <v>43</v>
      </c>
      <c r="AZ9" s="90"/>
      <c r="BA9" s="90"/>
      <c r="BB9" s="90"/>
      <c r="BC9" s="90"/>
      <c r="BD9" s="90"/>
      <c r="BE9" s="90"/>
      <c r="BL9" s="15"/>
      <c r="BS9" s="12"/>
    </row>
    <row r="10" spans="2:71" ht="28.5" customHeight="1" thickBot="1">
      <c r="AG10" s="127" t="s">
        <v>44</v>
      </c>
      <c r="AH10" s="127"/>
      <c r="AI10" s="127"/>
      <c r="AJ10" s="89" t="s">
        <v>45</v>
      </c>
      <c r="AK10" s="89"/>
      <c r="AL10" s="89"/>
      <c r="AM10" s="89"/>
      <c r="AN10" s="89"/>
      <c r="AO10" s="92"/>
      <c r="AP10" s="92"/>
      <c r="AQ10" s="92"/>
      <c r="AR10" s="92"/>
      <c r="AS10" s="92"/>
      <c r="AT10" s="92"/>
      <c r="AU10" s="93" t="str">
        <f>IF(AO10=$BK$3,"Missing Target",IF(AR10=$BK$3,IF($AZ$3&gt;AO10,INT($AZ$3-AO10)&amp;" Day(s) Overdue","Incomplete"),IF(AR10&gt;AO10,INT(AR10-AO10)&amp;" Day(s) Late",IF(AR10=AO10,"OK",INT(AO10-AR10)&amp;" Day(s) Ahead"))))</f>
        <v>Missing Target</v>
      </c>
      <c r="AV10" s="93"/>
      <c r="AW10" s="93"/>
      <c r="AX10" s="93"/>
      <c r="AY10" s="91"/>
      <c r="AZ10" s="91"/>
      <c r="BA10" s="91"/>
      <c r="BB10" s="91"/>
      <c r="BC10" s="91"/>
      <c r="BD10" s="91"/>
      <c r="BE10" s="91"/>
      <c r="BL10" s="15"/>
      <c r="BS10" s="12"/>
    </row>
    <row r="11" spans="2:71" ht="28.5" customHeight="1" thickBot="1">
      <c r="B11" s="150" t="s">
        <v>46</v>
      </c>
      <c r="C11" s="150"/>
      <c r="D11" s="150"/>
      <c r="E11" s="22"/>
      <c r="F11" s="139" t="s">
        <v>47</v>
      </c>
      <c r="G11" s="139"/>
      <c r="H11" s="139"/>
      <c r="I11" s="139"/>
      <c r="J11" s="139"/>
      <c r="K11" s="139"/>
      <c r="L11" s="139"/>
      <c r="M11" s="139"/>
      <c r="N11" s="139"/>
      <c r="O11" s="139"/>
      <c r="P11" s="139"/>
      <c r="Q11" s="139"/>
      <c r="R11" s="139"/>
      <c r="S11" s="139"/>
      <c r="T11" s="139"/>
      <c r="U11" s="139"/>
      <c r="V11" s="139"/>
      <c r="W11" s="139"/>
      <c r="X11" s="139"/>
      <c r="Y11" s="139"/>
      <c r="Z11" s="139"/>
      <c r="AA11" s="139"/>
      <c r="AB11" s="139"/>
      <c r="AC11" s="139"/>
      <c r="AD11" s="139"/>
      <c r="AE11" s="139"/>
      <c r="AG11" s="127"/>
      <c r="AH11" s="127"/>
      <c r="AI11" s="127"/>
      <c r="AJ11" s="89" t="s">
        <v>48</v>
      </c>
      <c r="AK11" s="89"/>
      <c r="AL11" s="89"/>
      <c r="AM11" s="89"/>
      <c r="AN11" s="89"/>
      <c r="AO11" s="92"/>
      <c r="AP11" s="92"/>
      <c r="AQ11" s="92"/>
      <c r="AR11" s="92"/>
      <c r="AS11" s="92"/>
      <c r="AT11" s="92"/>
      <c r="AU11" s="93" t="str">
        <f t="shared" ref="AU11:AU14" si="0">IF(AO11=$BK$3,"Missing Target",IF(AR11=$BK$3,IF($AZ$3&gt;AO11,INT($AZ$3-AO11)&amp;" Day(s) Overdue","Incomplete"),IF(AR11&gt;AO11,INT(AR11-AO11)&amp;" Day(s) Late",IF(AR11=AO11,"OK",INT(AO11-AR11)&amp;" Day(s) Ahead"))))</f>
        <v>Missing Target</v>
      </c>
      <c r="AV11" s="93"/>
      <c r="AW11" s="93"/>
      <c r="AX11" s="93"/>
      <c r="AY11" s="91"/>
      <c r="AZ11" s="91"/>
      <c r="BA11" s="91"/>
      <c r="BB11" s="91"/>
      <c r="BC11" s="91"/>
      <c r="BD11" s="91"/>
      <c r="BE11" s="91"/>
      <c r="BL11" s="15"/>
      <c r="BS11" s="12"/>
    </row>
    <row r="12" spans="2:71" ht="28.5" customHeight="1" thickBot="1">
      <c r="B12" s="124" t="s">
        <v>49</v>
      </c>
      <c r="C12" s="125"/>
      <c r="D12" s="126"/>
      <c r="F12" s="124" t="str">
        <f>IF(F7="","",VLOOKUP(F7,Lookups!B4:H8,5))</f>
        <v/>
      </c>
      <c r="G12" s="125"/>
      <c r="H12" s="125"/>
      <c r="I12" s="125"/>
      <c r="J12" s="125"/>
      <c r="K12" s="125"/>
      <c r="L12" s="125"/>
      <c r="M12" s="126"/>
      <c r="O12" s="124" t="str">
        <f>IF(F7="","",VLOOKUP(F7,Lookups!B4:H8,6))</f>
        <v/>
      </c>
      <c r="P12" s="125"/>
      <c r="Q12" s="125"/>
      <c r="R12" s="125"/>
      <c r="S12" s="125"/>
      <c r="T12" s="125"/>
      <c r="U12" s="125"/>
      <c r="V12" s="126"/>
      <c r="X12" s="124" t="str">
        <f>IF(F7="","",VLOOKUP(F7,Lookups!B4:H8,7))</f>
        <v/>
      </c>
      <c r="Y12" s="125"/>
      <c r="Z12" s="125"/>
      <c r="AA12" s="125"/>
      <c r="AB12" s="125"/>
      <c r="AC12" s="125"/>
      <c r="AD12" s="125"/>
      <c r="AE12" s="126"/>
      <c r="AG12" s="127"/>
      <c r="AH12" s="127"/>
      <c r="AI12" s="127"/>
      <c r="AJ12" s="89" t="s">
        <v>50</v>
      </c>
      <c r="AK12" s="89"/>
      <c r="AL12" s="89"/>
      <c r="AM12" s="89"/>
      <c r="AN12" s="89"/>
      <c r="AO12" s="92"/>
      <c r="AP12" s="92"/>
      <c r="AQ12" s="92"/>
      <c r="AR12" s="92"/>
      <c r="AS12" s="92"/>
      <c r="AT12" s="92"/>
      <c r="AU12" s="93" t="str">
        <f t="shared" si="0"/>
        <v>Missing Target</v>
      </c>
      <c r="AV12" s="93"/>
      <c r="AW12" s="93"/>
      <c r="AX12" s="93"/>
      <c r="AY12" s="91"/>
      <c r="AZ12" s="91"/>
      <c r="BA12" s="91"/>
      <c r="BB12" s="91"/>
      <c r="BC12" s="91"/>
      <c r="BD12" s="91"/>
      <c r="BE12" s="91"/>
      <c r="BL12" s="15"/>
      <c r="BS12" s="12"/>
    </row>
    <row r="13" spans="2:71" ht="28.5" customHeight="1" thickBot="1">
      <c r="B13" s="103"/>
      <c r="C13" s="104"/>
      <c r="D13" s="105"/>
      <c r="F13" s="24" t="s">
        <v>52</v>
      </c>
      <c r="G13" s="77"/>
      <c r="H13" s="78"/>
      <c r="I13" s="78"/>
      <c r="J13" s="78"/>
      <c r="K13" s="78"/>
      <c r="L13" s="78"/>
      <c r="M13" s="79"/>
      <c r="O13" s="24" t="s">
        <v>52</v>
      </c>
      <c r="P13" s="77"/>
      <c r="Q13" s="78"/>
      <c r="R13" s="78"/>
      <c r="S13" s="78"/>
      <c r="T13" s="78"/>
      <c r="U13" s="78"/>
      <c r="V13" s="79"/>
      <c r="X13" s="24" t="s">
        <v>52</v>
      </c>
      <c r="Y13" s="77"/>
      <c r="Z13" s="78"/>
      <c r="AA13" s="78"/>
      <c r="AB13" s="78"/>
      <c r="AC13" s="78"/>
      <c r="AD13" s="78"/>
      <c r="AE13" s="79"/>
      <c r="AG13" s="127" t="s">
        <v>56</v>
      </c>
      <c r="AH13" s="127"/>
      <c r="AI13" s="127"/>
      <c r="AJ13" s="89" t="s">
        <v>57</v>
      </c>
      <c r="AK13" s="89"/>
      <c r="AL13" s="89"/>
      <c r="AM13" s="89"/>
      <c r="AN13" s="89"/>
      <c r="AO13" s="92"/>
      <c r="AP13" s="92"/>
      <c r="AQ13" s="92"/>
      <c r="AR13" s="92"/>
      <c r="AS13" s="92"/>
      <c r="AT13" s="92"/>
      <c r="AU13" s="93" t="str">
        <f t="shared" si="0"/>
        <v>Missing Target</v>
      </c>
      <c r="AV13" s="93"/>
      <c r="AW13" s="93"/>
      <c r="AX13" s="93"/>
      <c r="AY13" s="91"/>
      <c r="AZ13" s="91"/>
      <c r="BA13" s="91"/>
      <c r="BB13" s="91"/>
      <c r="BC13" s="91"/>
      <c r="BD13" s="91"/>
      <c r="BE13" s="91"/>
      <c r="BL13" s="15"/>
      <c r="BS13" s="12"/>
    </row>
    <row r="14" spans="2:71" ht="28.5" customHeight="1" thickBot="1">
      <c r="B14" s="106"/>
      <c r="C14" s="107"/>
      <c r="D14" s="108"/>
      <c r="F14" s="112" t="s">
        <v>58</v>
      </c>
      <c r="G14" s="113"/>
      <c r="H14" s="113"/>
      <c r="I14" s="113"/>
      <c r="J14" s="113"/>
      <c r="K14" s="113"/>
      <c r="L14" s="113"/>
      <c r="M14" s="114"/>
      <c r="O14" s="112" t="s">
        <v>58</v>
      </c>
      <c r="P14" s="113"/>
      <c r="Q14" s="113"/>
      <c r="R14" s="113"/>
      <c r="S14" s="113"/>
      <c r="T14" s="113"/>
      <c r="U14" s="113"/>
      <c r="V14" s="114"/>
      <c r="X14" s="112" t="s">
        <v>58</v>
      </c>
      <c r="Y14" s="113"/>
      <c r="Z14" s="113"/>
      <c r="AA14" s="113"/>
      <c r="AB14" s="113"/>
      <c r="AC14" s="113"/>
      <c r="AD14" s="113"/>
      <c r="AE14" s="114"/>
      <c r="AG14" s="127"/>
      <c r="AH14" s="127"/>
      <c r="AI14" s="127"/>
      <c r="AJ14" s="89" t="s">
        <v>59</v>
      </c>
      <c r="AK14" s="89"/>
      <c r="AL14" s="89"/>
      <c r="AM14" s="89"/>
      <c r="AN14" s="89"/>
      <c r="AO14" s="92"/>
      <c r="AP14" s="92"/>
      <c r="AQ14" s="92"/>
      <c r="AR14" s="92"/>
      <c r="AS14" s="92"/>
      <c r="AT14" s="92"/>
      <c r="AU14" s="93" t="str">
        <f t="shared" si="0"/>
        <v>Missing Target</v>
      </c>
      <c r="AV14" s="93"/>
      <c r="AW14" s="93"/>
      <c r="AX14" s="93"/>
      <c r="AY14" s="91"/>
      <c r="AZ14" s="91"/>
      <c r="BA14" s="91"/>
      <c r="BB14" s="91"/>
      <c r="BC14" s="91"/>
      <c r="BD14" s="91"/>
      <c r="BE14" s="91"/>
      <c r="BL14" s="15"/>
      <c r="BS14" s="12"/>
    </row>
    <row r="15" spans="2:71" ht="28.5" customHeight="1" thickBot="1">
      <c r="B15" s="109"/>
      <c r="C15" s="110"/>
      <c r="D15" s="111"/>
      <c r="F15" s="115"/>
      <c r="G15" s="116"/>
      <c r="H15" s="116"/>
      <c r="I15" s="116"/>
      <c r="J15" s="116"/>
      <c r="K15" s="116"/>
      <c r="L15" s="116"/>
      <c r="M15" s="117"/>
      <c r="O15" s="115"/>
      <c r="P15" s="116"/>
      <c r="Q15" s="116"/>
      <c r="R15" s="116"/>
      <c r="S15" s="116"/>
      <c r="T15" s="116"/>
      <c r="U15" s="116"/>
      <c r="V15" s="117"/>
      <c r="X15" s="115"/>
      <c r="Y15" s="116"/>
      <c r="Z15" s="116"/>
      <c r="AA15" s="116"/>
      <c r="AB15" s="116"/>
      <c r="AC15" s="116"/>
      <c r="AD15" s="116"/>
      <c r="AE15" s="117"/>
      <c r="AG15" s="127"/>
      <c r="AH15" s="127"/>
      <c r="AI15" s="127"/>
      <c r="AJ15" s="89" t="s">
        <v>63</v>
      </c>
      <c r="AK15" s="89"/>
      <c r="AL15" s="89"/>
      <c r="AM15" s="89"/>
      <c r="AN15" s="89"/>
      <c r="AO15" s="92"/>
      <c r="AP15" s="92"/>
      <c r="AQ15" s="92"/>
      <c r="AR15" s="92"/>
      <c r="AS15" s="92"/>
      <c r="AT15" s="92"/>
      <c r="AU15" s="93" t="str">
        <f t="shared" ref="AU15:AU21" si="1">IF(AO15=$A$1,"Missing Target",IF(AR15=$A$1,IF($AZ$3&gt;AO15,INT($AZ$3-AO15)&amp;" Day(s) Overdue","Incomplete"),IF(AR15&gt;AO15,INT(AR15-AO15)&amp;" Day(s) Late",IF(AR15=AO15,"OK",INT(AO15-AR15)&amp;" Day(s) Ahead"))))</f>
        <v>Missing Target</v>
      </c>
      <c r="AV15" s="93"/>
      <c r="AW15" s="93"/>
      <c r="AX15" s="93"/>
      <c r="AY15" s="91"/>
      <c r="AZ15" s="91"/>
      <c r="BA15" s="91"/>
      <c r="BB15" s="91"/>
      <c r="BC15" s="91"/>
      <c r="BD15" s="91"/>
      <c r="BE15" s="91"/>
      <c r="BL15" s="15"/>
      <c r="BS15" s="12"/>
    </row>
    <row r="16" spans="2:71" ht="28.5" customHeight="1" thickBot="1">
      <c r="F16" s="118"/>
      <c r="G16" s="119"/>
      <c r="H16" s="119"/>
      <c r="I16" s="119"/>
      <c r="J16" s="119"/>
      <c r="K16" s="119"/>
      <c r="L16" s="119"/>
      <c r="M16" s="120"/>
      <c r="O16" s="118"/>
      <c r="P16" s="119"/>
      <c r="Q16" s="119"/>
      <c r="R16" s="119"/>
      <c r="S16" s="119"/>
      <c r="T16" s="119"/>
      <c r="U16" s="119"/>
      <c r="V16" s="120"/>
      <c r="X16" s="118"/>
      <c r="Y16" s="119"/>
      <c r="Z16" s="119"/>
      <c r="AA16" s="119"/>
      <c r="AB16" s="119"/>
      <c r="AC16" s="119"/>
      <c r="AD16" s="119"/>
      <c r="AE16" s="120"/>
      <c r="AG16" s="127" t="s">
        <v>64</v>
      </c>
      <c r="AH16" s="127"/>
      <c r="AI16" s="127"/>
      <c r="AJ16" s="89" t="s">
        <v>65</v>
      </c>
      <c r="AK16" s="89"/>
      <c r="AL16" s="89"/>
      <c r="AM16" s="89"/>
      <c r="AN16" s="89"/>
      <c r="AO16" s="92"/>
      <c r="AP16" s="92"/>
      <c r="AQ16" s="92"/>
      <c r="AR16" s="92"/>
      <c r="AS16" s="92"/>
      <c r="AT16" s="92"/>
      <c r="AU16" s="93" t="str">
        <f t="shared" si="1"/>
        <v>Missing Target</v>
      </c>
      <c r="AV16" s="93"/>
      <c r="AW16" s="93"/>
      <c r="AX16" s="93"/>
      <c r="AY16" s="91"/>
      <c r="AZ16" s="91"/>
      <c r="BA16" s="91"/>
      <c r="BB16" s="91"/>
      <c r="BC16" s="91"/>
      <c r="BD16" s="91"/>
      <c r="BE16" s="91"/>
      <c r="BL16" s="15"/>
      <c r="BS16" s="12"/>
    </row>
    <row r="17" spans="2:71" ht="28.5" customHeight="1" thickBot="1">
      <c r="B17" s="25" t="s">
        <v>2</v>
      </c>
      <c r="C17" s="167"/>
      <c r="D17" s="135"/>
      <c r="F17" s="121"/>
      <c r="G17" s="122"/>
      <c r="H17" s="122"/>
      <c r="I17" s="122"/>
      <c r="J17" s="122"/>
      <c r="K17" s="122"/>
      <c r="L17" s="122"/>
      <c r="M17" s="123"/>
      <c r="O17" s="121"/>
      <c r="P17" s="122"/>
      <c r="Q17" s="122"/>
      <c r="R17" s="122"/>
      <c r="S17" s="122"/>
      <c r="T17" s="122"/>
      <c r="U17" s="122"/>
      <c r="V17" s="123"/>
      <c r="X17" s="121"/>
      <c r="Y17" s="122"/>
      <c r="Z17" s="122"/>
      <c r="AA17" s="122"/>
      <c r="AB17" s="122"/>
      <c r="AC17" s="122"/>
      <c r="AD17" s="122"/>
      <c r="AE17" s="123"/>
      <c r="AG17" s="127"/>
      <c r="AH17" s="127"/>
      <c r="AI17" s="127"/>
      <c r="AJ17" s="89" t="s">
        <v>67</v>
      </c>
      <c r="AK17" s="89"/>
      <c r="AL17" s="89"/>
      <c r="AM17" s="89"/>
      <c r="AN17" s="89"/>
      <c r="AO17" s="92"/>
      <c r="AP17" s="92"/>
      <c r="AQ17" s="92"/>
      <c r="AR17" s="92"/>
      <c r="AS17" s="92"/>
      <c r="AT17" s="92"/>
      <c r="AU17" s="93" t="str">
        <f t="shared" si="1"/>
        <v>Missing Target</v>
      </c>
      <c r="AV17" s="93"/>
      <c r="AW17" s="93"/>
      <c r="AX17" s="93"/>
      <c r="AY17" s="91"/>
      <c r="AZ17" s="91"/>
      <c r="BA17" s="91"/>
      <c r="BB17" s="91"/>
      <c r="BC17" s="91"/>
      <c r="BD17" s="91"/>
      <c r="BE17" s="91"/>
      <c r="BL17" s="15"/>
      <c r="BS17" s="12"/>
    </row>
    <row r="18" spans="2:71" ht="28.5" customHeight="1" thickBot="1">
      <c r="B18" s="25" t="s">
        <v>68</v>
      </c>
      <c r="C18" s="80"/>
      <c r="D18" s="82"/>
      <c r="F18" s="112" t="s">
        <v>70</v>
      </c>
      <c r="G18" s="113"/>
      <c r="H18" s="113"/>
      <c r="I18" s="113"/>
      <c r="J18" s="113"/>
      <c r="K18" s="113"/>
      <c r="L18" s="113"/>
      <c r="M18" s="114"/>
      <c r="O18" s="112" t="s">
        <v>70</v>
      </c>
      <c r="P18" s="113"/>
      <c r="Q18" s="113"/>
      <c r="R18" s="113"/>
      <c r="S18" s="113"/>
      <c r="T18" s="113"/>
      <c r="U18" s="113"/>
      <c r="V18" s="114"/>
      <c r="X18" s="112" t="s">
        <v>70</v>
      </c>
      <c r="Y18" s="113"/>
      <c r="Z18" s="113"/>
      <c r="AA18" s="113"/>
      <c r="AB18" s="113"/>
      <c r="AC18" s="113"/>
      <c r="AD18" s="113"/>
      <c r="AE18" s="114"/>
      <c r="AG18" s="127"/>
      <c r="AH18" s="127"/>
      <c r="AI18" s="127"/>
      <c r="AJ18" s="89" t="s">
        <v>71</v>
      </c>
      <c r="AK18" s="89"/>
      <c r="AL18" s="89"/>
      <c r="AM18" s="89"/>
      <c r="AN18" s="89"/>
      <c r="AO18" s="92"/>
      <c r="AP18" s="92"/>
      <c r="AQ18" s="92"/>
      <c r="AR18" s="92"/>
      <c r="AS18" s="92"/>
      <c r="AT18" s="92"/>
      <c r="AU18" s="93" t="str">
        <f t="shared" si="1"/>
        <v>Missing Target</v>
      </c>
      <c r="AV18" s="93"/>
      <c r="AW18" s="93"/>
      <c r="AX18" s="93"/>
      <c r="AY18" s="91"/>
      <c r="AZ18" s="91"/>
      <c r="BA18" s="91"/>
      <c r="BB18" s="91"/>
      <c r="BC18" s="91"/>
      <c r="BD18" s="91"/>
      <c r="BE18" s="91"/>
      <c r="BL18" s="15"/>
      <c r="BS18" s="12"/>
    </row>
    <row r="19" spans="2:71" ht="28.5" customHeight="1" thickBot="1">
      <c r="B19" s="25" t="s">
        <v>72</v>
      </c>
      <c r="C19" s="80"/>
      <c r="D19" s="82"/>
      <c r="F19" s="115"/>
      <c r="G19" s="116"/>
      <c r="H19" s="116"/>
      <c r="I19" s="116"/>
      <c r="J19" s="116"/>
      <c r="K19" s="116"/>
      <c r="L19" s="116"/>
      <c r="M19" s="117"/>
      <c r="O19" s="115"/>
      <c r="P19" s="116"/>
      <c r="Q19" s="116"/>
      <c r="R19" s="116"/>
      <c r="S19" s="116"/>
      <c r="T19" s="116"/>
      <c r="U19" s="116"/>
      <c r="V19" s="117"/>
      <c r="X19" s="115"/>
      <c r="Y19" s="116"/>
      <c r="Z19" s="116"/>
      <c r="AA19" s="116"/>
      <c r="AB19" s="116"/>
      <c r="AC19" s="116"/>
      <c r="AD19" s="116"/>
      <c r="AE19" s="117"/>
      <c r="AF19" s="26"/>
      <c r="AG19" s="127" t="s">
        <v>77</v>
      </c>
      <c r="AH19" s="127"/>
      <c r="AI19" s="127"/>
      <c r="AJ19" s="89" t="s">
        <v>78</v>
      </c>
      <c r="AK19" s="89"/>
      <c r="AL19" s="89"/>
      <c r="AM19" s="89"/>
      <c r="AN19" s="89"/>
      <c r="AO19" s="92"/>
      <c r="AP19" s="92"/>
      <c r="AQ19" s="92"/>
      <c r="AR19" s="92"/>
      <c r="AS19" s="92"/>
      <c r="AT19" s="92"/>
      <c r="AU19" s="93" t="str">
        <f t="shared" si="1"/>
        <v>Missing Target</v>
      </c>
      <c r="AV19" s="93"/>
      <c r="AW19" s="93"/>
      <c r="AX19" s="93"/>
      <c r="AY19" s="91"/>
      <c r="AZ19" s="91"/>
      <c r="BA19" s="91"/>
      <c r="BB19" s="91"/>
      <c r="BC19" s="91"/>
      <c r="BD19" s="91"/>
      <c r="BE19" s="91"/>
      <c r="BL19" s="15"/>
      <c r="BS19" s="12"/>
    </row>
    <row r="20" spans="2:71" ht="28.5" customHeight="1" thickBot="1">
      <c r="B20" s="25" t="s">
        <v>79</v>
      </c>
      <c r="C20" s="80"/>
      <c r="D20" s="82"/>
      <c r="F20" s="118"/>
      <c r="G20" s="119"/>
      <c r="H20" s="119"/>
      <c r="I20" s="119"/>
      <c r="J20" s="119"/>
      <c r="K20" s="119"/>
      <c r="L20" s="119"/>
      <c r="M20" s="120"/>
      <c r="O20" s="118"/>
      <c r="P20" s="119"/>
      <c r="Q20" s="119"/>
      <c r="R20" s="119"/>
      <c r="S20" s="119"/>
      <c r="T20" s="119"/>
      <c r="U20" s="119"/>
      <c r="V20" s="120"/>
      <c r="X20" s="118"/>
      <c r="Y20" s="119"/>
      <c r="Z20" s="119"/>
      <c r="AA20" s="119"/>
      <c r="AB20" s="119"/>
      <c r="AC20" s="119"/>
      <c r="AD20" s="119"/>
      <c r="AE20" s="120"/>
      <c r="AF20" s="23"/>
      <c r="AG20" s="127"/>
      <c r="AH20" s="127"/>
      <c r="AI20" s="127"/>
      <c r="AJ20" s="89" t="s">
        <v>81</v>
      </c>
      <c r="AK20" s="89"/>
      <c r="AL20" s="89"/>
      <c r="AM20" s="89"/>
      <c r="AN20" s="89"/>
      <c r="AO20" s="92"/>
      <c r="AP20" s="92"/>
      <c r="AQ20" s="92"/>
      <c r="AR20" s="92"/>
      <c r="AS20" s="92"/>
      <c r="AT20" s="92"/>
      <c r="AU20" s="93" t="str">
        <f t="shared" si="1"/>
        <v>Missing Target</v>
      </c>
      <c r="AV20" s="93"/>
      <c r="AW20" s="93"/>
      <c r="AX20" s="93"/>
      <c r="AY20" s="91"/>
      <c r="AZ20" s="91"/>
      <c r="BA20" s="91"/>
      <c r="BB20" s="91"/>
      <c r="BC20" s="91"/>
      <c r="BD20" s="91"/>
      <c r="BE20" s="91"/>
      <c r="BL20" s="15"/>
      <c r="BS20" s="12"/>
    </row>
    <row r="21" spans="2:71" ht="28.5" customHeight="1" thickBot="1">
      <c r="B21" s="25" t="s">
        <v>82</v>
      </c>
      <c r="C21" s="80"/>
      <c r="D21" s="82"/>
      <c r="F21" s="121"/>
      <c r="G21" s="122"/>
      <c r="H21" s="122"/>
      <c r="I21" s="122"/>
      <c r="J21" s="122"/>
      <c r="K21" s="122"/>
      <c r="L21" s="122"/>
      <c r="M21" s="123"/>
      <c r="O21" s="121"/>
      <c r="P21" s="122"/>
      <c r="Q21" s="122"/>
      <c r="R21" s="122"/>
      <c r="S21" s="122"/>
      <c r="T21" s="122"/>
      <c r="U21" s="122"/>
      <c r="V21" s="123"/>
      <c r="X21" s="121"/>
      <c r="Y21" s="122"/>
      <c r="Z21" s="122"/>
      <c r="AA21" s="122"/>
      <c r="AB21" s="122"/>
      <c r="AC21" s="122"/>
      <c r="AD21" s="122"/>
      <c r="AE21" s="123"/>
      <c r="AF21" s="23"/>
      <c r="AG21" s="127"/>
      <c r="AH21" s="127"/>
      <c r="AI21" s="127"/>
      <c r="AJ21" s="89" t="s">
        <v>84</v>
      </c>
      <c r="AK21" s="89"/>
      <c r="AL21" s="89"/>
      <c r="AM21" s="89"/>
      <c r="AN21" s="89"/>
      <c r="AO21" s="92"/>
      <c r="AP21" s="92"/>
      <c r="AQ21" s="92"/>
      <c r="AR21" s="92"/>
      <c r="AS21" s="92"/>
      <c r="AT21" s="92"/>
      <c r="AU21" s="93" t="str">
        <f t="shared" si="1"/>
        <v>Missing Target</v>
      </c>
      <c r="AV21" s="93"/>
      <c r="AW21" s="93"/>
      <c r="AX21" s="93"/>
      <c r="AY21" s="91"/>
      <c r="AZ21" s="91"/>
      <c r="BA21" s="91"/>
      <c r="BB21" s="91"/>
      <c r="BC21" s="91"/>
      <c r="BD21" s="91"/>
      <c r="BE21" s="91"/>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75" customHeight="1">
      <c r="B23" s="131" t="s">
        <v>85</v>
      </c>
      <c r="C23" s="132"/>
      <c r="D23" s="132"/>
      <c r="E23" s="133"/>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75" customHeight="1">
      <c r="B24" s="128" t="s">
        <v>86</v>
      </c>
      <c r="C24" s="129"/>
      <c r="D24" s="129"/>
      <c r="E24" s="130"/>
      <c r="F24" s="30">
        <f ca="1">NOW()</f>
        <v>45961.687117939815</v>
      </c>
      <c r="G24" s="31">
        <f ca="1">F24+7</f>
        <v>45968.687117939815</v>
      </c>
      <c r="H24" s="31">
        <f t="shared" ref="H24:BE24" ca="1" si="4">G24+7</f>
        <v>45975.687117939815</v>
      </c>
      <c r="I24" s="31">
        <f t="shared" ca="1" si="4"/>
        <v>45982.687117939815</v>
      </c>
      <c r="J24" s="31">
        <f t="shared" ca="1" si="4"/>
        <v>45989.687117939815</v>
      </c>
      <c r="K24" s="31">
        <f t="shared" ca="1" si="4"/>
        <v>45996.687117939815</v>
      </c>
      <c r="L24" s="31">
        <f t="shared" ca="1" si="4"/>
        <v>46003.687117939815</v>
      </c>
      <c r="M24" s="31">
        <f t="shared" ca="1" si="4"/>
        <v>46010.687117939815</v>
      </c>
      <c r="N24" s="31">
        <f t="shared" ca="1" si="4"/>
        <v>46017.687117939815</v>
      </c>
      <c r="O24" s="31">
        <f t="shared" ca="1" si="4"/>
        <v>46024.687117939815</v>
      </c>
      <c r="P24" s="31">
        <f t="shared" ca="1" si="4"/>
        <v>46031.687117939815</v>
      </c>
      <c r="Q24" s="31">
        <f t="shared" ca="1" si="4"/>
        <v>46038.687117939815</v>
      </c>
      <c r="R24" s="31">
        <f t="shared" ca="1" si="4"/>
        <v>46045.687117939815</v>
      </c>
      <c r="S24" s="31">
        <f t="shared" ca="1" si="4"/>
        <v>46052.687117939815</v>
      </c>
      <c r="T24" s="31">
        <f t="shared" ca="1" si="4"/>
        <v>46059.687117939815</v>
      </c>
      <c r="U24" s="31">
        <f t="shared" ca="1" si="4"/>
        <v>46066.687117939815</v>
      </c>
      <c r="V24" s="31">
        <f t="shared" ca="1" si="4"/>
        <v>46073.687117939815</v>
      </c>
      <c r="W24" s="31">
        <f t="shared" ca="1" si="4"/>
        <v>46080.687117939815</v>
      </c>
      <c r="X24" s="31">
        <f t="shared" ca="1" si="4"/>
        <v>46087.687117939815</v>
      </c>
      <c r="Y24" s="31">
        <f t="shared" ca="1" si="4"/>
        <v>46094.687117939815</v>
      </c>
      <c r="Z24" s="31">
        <f t="shared" ca="1" si="4"/>
        <v>46101.687117939815</v>
      </c>
      <c r="AA24" s="31">
        <f t="shared" ca="1" si="4"/>
        <v>46108.687117939815</v>
      </c>
      <c r="AB24" s="31">
        <f t="shared" ca="1" si="4"/>
        <v>46115.687117939815</v>
      </c>
      <c r="AC24" s="31">
        <f t="shared" ca="1" si="4"/>
        <v>46122.687117939815</v>
      </c>
      <c r="AD24" s="31">
        <f t="shared" ca="1" si="4"/>
        <v>46129.687117939815</v>
      </c>
      <c r="AE24" s="31">
        <f t="shared" ca="1" si="4"/>
        <v>46136.687117939815</v>
      </c>
      <c r="AF24" s="31">
        <f t="shared" ca="1" si="4"/>
        <v>46143.687117939815</v>
      </c>
      <c r="AG24" s="31">
        <f t="shared" ca="1" si="4"/>
        <v>46150.687117939815</v>
      </c>
      <c r="AH24" s="31">
        <f t="shared" ca="1" si="4"/>
        <v>46157.687117939815</v>
      </c>
      <c r="AI24" s="31">
        <f t="shared" ca="1" si="4"/>
        <v>46164.687117939815</v>
      </c>
      <c r="AJ24" s="31">
        <f t="shared" ca="1" si="4"/>
        <v>46171.687117939815</v>
      </c>
      <c r="AK24" s="31">
        <f t="shared" ca="1" si="4"/>
        <v>46178.687117939815</v>
      </c>
      <c r="AL24" s="31">
        <f t="shared" ca="1" si="4"/>
        <v>46185.687117939815</v>
      </c>
      <c r="AM24" s="31">
        <f t="shared" ca="1" si="4"/>
        <v>46192.687117939815</v>
      </c>
      <c r="AN24" s="31">
        <f t="shared" ca="1" si="4"/>
        <v>46199.687117939815</v>
      </c>
      <c r="AO24" s="31">
        <f t="shared" ca="1" si="4"/>
        <v>46206.687117939815</v>
      </c>
      <c r="AP24" s="31">
        <f t="shared" ca="1" si="4"/>
        <v>46213.687117939815</v>
      </c>
      <c r="AQ24" s="31">
        <f t="shared" ca="1" si="4"/>
        <v>46220.687117939815</v>
      </c>
      <c r="AR24" s="31">
        <f t="shared" ca="1" si="4"/>
        <v>46227.687117939815</v>
      </c>
      <c r="AS24" s="31">
        <f t="shared" ca="1" si="4"/>
        <v>46234.687117939815</v>
      </c>
      <c r="AT24" s="31">
        <f t="shared" ca="1" si="4"/>
        <v>46241.687117939815</v>
      </c>
      <c r="AU24" s="31">
        <f t="shared" ca="1" si="4"/>
        <v>46248.687117939815</v>
      </c>
      <c r="AV24" s="31">
        <f t="shared" ca="1" si="4"/>
        <v>46255.687117939815</v>
      </c>
      <c r="AW24" s="31">
        <f t="shared" ca="1" si="4"/>
        <v>46262.687117939815</v>
      </c>
      <c r="AX24" s="31">
        <f t="shared" ca="1" si="4"/>
        <v>46269.687117939815</v>
      </c>
      <c r="AY24" s="31">
        <f t="shared" ca="1" si="4"/>
        <v>46276.687117939815</v>
      </c>
      <c r="AZ24" s="31">
        <f t="shared" ca="1" si="4"/>
        <v>46283.687117939815</v>
      </c>
      <c r="BA24" s="31">
        <f t="shared" ca="1" si="4"/>
        <v>46290.687117939815</v>
      </c>
      <c r="BB24" s="31">
        <f t="shared" ca="1" si="4"/>
        <v>46297.687117939815</v>
      </c>
      <c r="BC24" s="31">
        <f t="shared" ca="1" si="4"/>
        <v>46304.687117939815</v>
      </c>
      <c r="BD24" s="31">
        <f t="shared" ca="1" si="4"/>
        <v>46311.687117939815</v>
      </c>
      <c r="BE24" s="31">
        <f t="shared" ca="1" si="4"/>
        <v>46318.687117939815</v>
      </c>
      <c r="BJ24" s="21"/>
    </row>
    <row r="25" spans="2:71">
      <c r="B25" s="86" t="str">
        <f>G13&amp;" TARGET"</f>
        <v xml:space="preserve"> TARGET</v>
      </c>
      <c r="C25" s="87"/>
      <c r="D25" s="87"/>
      <c r="E25" s="88"/>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86" t="s">
        <v>87</v>
      </c>
      <c r="C26" s="87"/>
      <c r="D26" s="87"/>
      <c r="E26" s="88"/>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86" t="s">
        <v>88</v>
      </c>
      <c r="C27" s="87"/>
      <c r="D27" s="87"/>
      <c r="E27" s="88"/>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86" t="s">
        <v>89</v>
      </c>
      <c r="C28" s="87"/>
      <c r="D28" s="87"/>
      <c r="E28" s="88"/>
      <c r="F28" s="83"/>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5"/>
    </row>
    <row r="29" spans="2:71">
      <c r="B29" s="32"/>
      <c r="C29" s="32"/>
      <c r="D29" s="32"/>
      <c r="E29" s="32"/>
    </row>
    <row r="30" spans="2:71">
      <c r="B30" s="86" t="str">
        <f>P13&amp;" TARGET"</f>
        <v xml:space="preserve"> TARGET</v>
      </c>
      <c r="C30" s="87"/>
      <c r="D30" s="87"/>
      <c r="E30" s="88"/>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86" t="s">
        <v>87</v>
      </c>
      <c r="C31" s="87"/>
      <c r="D31" s="87"/>
      <c r="E31" s="88"/>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86" t="s">
        <v>88</v>
      </c>
      <c r="C32" s="87"/>
      <c r="D32" s="87"/>
      <c r="E32" s="88"/>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86" t="s">
        <v>89</v>
      </c>
      <c r="C33" s="87"/>
      <c r="D33" s="87"/>
      <c r="E33" s="88"/>
      <c r="F33" s="83"/>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5"/>
    </row>
    <row r="34" spans="2:62">
      <c r="B34" s="32"/>
      <c r="C34" s="32"/>
      <c r="D34" s="32"/>
      <c r="E34" s="32"/>
    </row>
    <row r="35" spans="2:62">
      <c r="B35" s="86" t="str">
        <f>Y13&amp;" TARGET"</f>
        <v xml:space="preserve"> TARGET</v>
      </c>
      <c r="C35" s="87"/>
      <c r="D35" s="87"/>
      <c r="E35" s="88"/>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86" t="s">
        <v>87</v>
      </c>
      <c r="C36" s="87"/>
      <c r="D36" s="87"/>
      <c r="E36" s="88"/>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86" t="s">
        <v>88</v>
      </c>
      <c r="C37" s="87"/>
      <c r="D37" s="87"/>
      <c r="E37" s="88"/>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86" t="s">
        <v>89</v>
      </c>
      <c r="C38" s="87"/>
      <c r="D38" s="87"/>
      <c r="E38" s="88"/>
      <c r="F38" s="83"/>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5"/>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90</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91</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92</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93</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11</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12</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94</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95</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96</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 ref="B9:E9"/>
    <mergeCell ref="F9:AE9"/>
    <mergeCell ref="AO9:AQ9"/>
    <mergeCell ref="AR9:AT9"/>
    <mergeCell ref="AV6:AX6"/>
    <mergeCell ref="B7:E7"/>
    <mergeCell ref="F7:X7"/>
    <mergeCell ref="Y7:AB7"/>
    <mergeCell ref="AC7:AE7"/>
    <mergeCell ref="B8:E8"/>
    <mergeCell ref="F8:AE8"/>
    <mergeCell ref="AR11:AT11"/>
    <mergeCell ref="AU11:AX11"/>
    <mergeCell ref="AU9:AX9"/>
    <mergeCell ref="AO10:AQ10"/>
    <mergeCell ref="AR10:AT10"/>
    <mergeCell ref="AU10:AX10"/>
    <mergeCell ref="AR12:AT12"/>
    <mergeCell ref="AU12:AX12"/>
    <mergeCell ref="AG9:AI9"/>
    <mergeCell ref="AJ9:AN9"/>
    <mergeCell ref="B12:D12"/>
    <mergeCell ref="F12:M12"/>
    <mergeCell ref="O12:V12"/>
    <mergeCell ref="X12:AE12"/>
    <mergeCell ref="AO12:AQ12"/>
    <mergeCell ref="B11:D11"/>
    <mergeCell ref="F11:AE11"/>
    <mergeCell ref="AO11:AQ11"/>
    <mergeCell ref="AG10:AI12"/>
    <mergeCell ref="AJ10:AN10"/>
    <mergeCell ref="AJ11:AN11"/>
    <mergeCell ref="AJ12:AN12"/>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AO13:AQ13"/>
    <mergeCell ref="AR13:AT13"/>
    <mergeCell ref="AU13:AX13"/>
    <mergeCell ref="F14:M14"/>
    <mergeCell ref="O14:V14"/>
    <mergeCell ref="X14:AE14"/>
    <mergeCell ref="AO14:AQ14"/>
    <mergeCell ref="AR14:AT14"/>
    <mergeCell ref="AU14:AX14"/>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s>
  <conditionalFormatting sqref="AQ5:AU5">
    <cfRule type="cellIs" dxfId="48" priority="1" operator="equal">
      <formula>"No Change"</formula>
    </cfRule>
    <cfRule type="cellIs" dxfId="47" priority="2" operator="equal">
      <formula>"Progression"</formula>
    </cfRule>
  </conditionalFormatting>
  <conditionalFormatting sqref="AU10:AU21">
    <cfRule type="expression" dxfId="46" priority="3">
      <formula>IFERROR(FIND("Ahead",AU10),0)&gt;0</formula>
    </cfRule>
    <cfRule type="expression" dxfId="45" priority="4">
      <formula>IFERROR(FIND("Overdue",AU10),0)&gt;0</formula>
    </cfRule>
    <cfRule type="cellIs" dxfId="44" priority="5" operator="equal">
      <formula>"Met Target"</formula>
    </cfRule>
    <cfRule type="cellIs" dxfId="43" priority="6" operator="equal">
      <formula>"Missing Target"</formula>
    </cfRule>
    <cfRule type="expression" dxfId="4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0"/>
  <sheetViews>
    <sheetView topLeftCell="F12" zoomScaleNormal="100" workbookViewId="0">
      <selection activeCell="J5" sqref="J5:J30"/>
    </sheetView>
  </sheetViews>
  <sheetFormatPr baseColWidth="10" defaultColWidth="9.33203125" defaultRowHeight="15"/>
  <cols>
    <col min="1" max="1" width="7" customWidth="1"/>
    <col min="2" max="2" width="94" bestFit="1" customWidth="1"/>
    <col min="3" max="3" width="23.83203125" bestFit="1" customWidth="1"/>
    <col min="4" max="4" width="18.33203125" bestFit="1" customWidth="1"/>
    <col min="5" max="5" width="56.83203125" customWidth="1"/>
    <col min="6" max="8" width="22.33203125" bestFit="1" customWidth="1"/>
    <col min="9" max="9" width="9" customWidth="1"/>
    <col min="10" max="10" width="38" bestFit="1" customWidth="1"/>
    <col min="11" max="11" width="6.33203125" customWidth="1"/>
    <col min="12" max="12" width="16.83203125" bestFit="1" customWidth="1"/>
    <col min="13" max="13" width="9.5" bestFit="1" customWidth="1"/>
    <col min="14" max="14" width="7" customWidth="1"/>
    <col min="15" max="15" width="25.6640625" bestFit="1" customWidth="1"/>
    <col min="16" max="16" width="12" bestFit="1" customWidth="1"/>
    <col min="17" max="17" width="10.5" bestFit="1" customWidth="1"/>
    <col min="18" max="18" width="12" bestFit="1" customWidth="1"/>
    <col min="19" max="19" width="11.6640625" bestFit="1" customWidth="1"/>
    <col min="20" max="20" width="10" customWidth="1"/>
    <col min="21" max="21" width="15" bestFit="1" customWidth="1"/>
    <col min="22" max="22" width="13" bestFit="1" customWidth="1"/>
    <col min="23" max="23" width="13" customWidth="1"/>
    <col min="24" max="24" width="9.6640625" bestFit="1" customWidth="1"/>
    <col min="25" max="25" width="10.83203125" bestFit="1" customWidth="1"/>
    <col min="27" max="27" width="25.6640625" bestFit="1" customWidth="1"/>
    <col min="29" max="29" width="13.5" bestFit="1" customWidth="1"/>
  </cols>
  <sheetData>
    <row r="3" spans="2:29">
      <c r="B3" t="s">
        <v>132</v>
      </c>
      <c r="C3" t="s">
        <v>133</v>
      </c>
      <c r="D3" t="s">
        <v>134</v>
      </c>
      <c r="E3" t="s">
        <v>37</v>
      </c>
      <c r="F3" t="s">
        <v>135</v>
      </c>
      <c r="G3" t="s">
        <v>136</v>
      </c>
      <c r="H3" t="s">
        <v>137</v>
      </c>
      <c r="J3" t="s">
        <v>138</v>
      </c>
      <c r="L3" t="s">
        <v>139</v>
      </c>
      <c r="M3" t="s">
        <v>140</v>
      </c>
      <c r="O3" t="s">
        <v>39</v>
      </c>
      <c r="P3" t="s">
        <v>141</v>
      </c>
      <c r="Q3" t="s">
        <v>142</v>
      </c>
      <c r="S3" s="7" t="s">
        <v>143</v>
      </c>
      <c r="T3" s="7" t="s">
        <v>144</v>
      </c>
      <c r="U3" s="7" t="s">
        <v>145</v>
      </c>
      <c r="W3" s="7" t="s">
        <v>144</v>
      </c>
      <c r="X3" s="7" t="s">
        <v>146</v>
      </c>
      <c r="Y3" s="7" t="s">
        <v>147</v>
      </c>
      <c r="AA3" s="7" t="s">
        <v>148</v>
      </c>
      <c r="AC3" s="7" t="s">
        <v>9</v>
      </c>
    </row>
    <row r="4" spans="2:29" ht="16">
      <c r="B4" s="5" t="s">
        <v>149</v>
      </c>
      <c r="C4" s="6" t="s">
        <v>150</v>
      </c>
      <c r="D4" s="5">
        <v>10</v>
      </c>
      <c r="E4" s="5" t="s">
        <v>151</v>
      </c>
      <c r="F4" s="6" t="s">
        <v>152</v>
      </c>
      <c r="G4" s="6" t="s">
        <v>153</v>
      </c>
      <c r="H4" s="6" t="s">
        <v>55</v>
      </c>
      <c r="J4" t="s">
        <v>154</v>
      </c>
      <c r="L4" t="s">
        <v>155</v>
      </c>
      <c r="M4" s="4">
        <v>0.4</v>
      </c>
      <c r="O4">
        <v>0</v>
      </c>
      <c r="P4" t="s">
        <v>156</v>
      </c>
      <c r="Q4">
        <v>0</v>
      </c>
      <c r="S4" s="8" t="s">
        <v>157</v>
      </c>
      <c r="T4" s="8" t="s">
        <v>158</v>
      </c>
      <c r="U4" s="8"/>
      <c r="W4" s="8" t="s">
        <v>158</v>
      </c>
      <c r="X4" s="10">
        <v>45839</v>
      </c>
      <c r="Y4" s="10">
        <v>45930</v>
      </c>
      <c r="AA4" s="8" t="s">
        <v>159</v>
      </c>
      <c r="AC4" s="8" t="s">
        <v>101</v>
      </c>
    </row>
    <row r="5" spans="2:29" ht="32">
      <c r="B5" s="5" t="s">
        <v>100</v>
      </c>
      <c r="C5" s="6" t="s">
        <v>160</v>
      </c>
      <c r="D5" s="5">
        <v>25</v>
      </c>
      <c r="E5" s="5" t="s">
        <v>161</v>
      </c>
      <c r="F5" s="6" t="s">
        <v>162</v>
      </c>
      <c r="G5" s="6" t="s">
        <v>163</v>
      </c>
      <c r="H5" s="6" t="s">
        <v>164</v>
      </c>
      <c r="J5" t="s">
        <v>165</v>
      </c>
      <c r="L5" t="s">
        <v>44</v>
      </c>
      <c r="M5" s="4">
        <v>0.1</v>
      </c>
      <c r="O5">
        <v>1</v>
      </c>
      <c r="P5" t="s">
        <v>44</v>
      </c>
      <c r="Q5">
        <v>0.1</v>
      </c>
      <c r="S5" s="9" t="s">
        <v>166</v>
      </c>
      <c r="T5" s="9" t="s">
        <v>158</v>
      </c>
      <c r="U5" s="9"/>
      <c r="W5" s="9" t="s">
        <v>167</v>
      </c>
      <c r="X5" s="11">
        <v>45931</v>
      </c>
      <c r="Y5" s="11">
        <v>0</v>
      </c>
      <c r="AA5" s="9" t="s">
        <v>168</v>
      </c>
      <c r="AC5" s="9" t="s">
        <v>36</v>
      </c>
    </row>
    <row r="6" spans="2:29" ht="32">
      <c r="B6" s="5" t="s">
        <v>35</v>
      </c>
      <c r="C6" s="6" t="s">
        <v>169</v>
      </c>
      <c r="D6" s="5">
        <v>50</v>
      </c>
      <c r="E6" s="5" t="s">
        <v>170</v>
      </c>
      <c r="F6" s="6" t="s">
        <v>171</v>
      </c>
      <c r="G6" s="6" t="s">
        <v>153</v>
      </c>
      <c r="H6" s="6" t="s">
        <v>55</v>
      </c>
      <c r="J6" t="s">
        <v>172</v>
      </c>
      <c r="L6" t="s">
        <v>77</v>
      </c>
      <c r="M6" s="4">
        <v>1</v>
      </c>
      <c r="O6">
        <v>2</v>
      </c>
      <c r="P6" t="s">
        <v>44</v>
      </c>
      <c r="Q6">
        <v>0.1</v>
      </c>
      <c r="S6" s="8" t="s">
        <v>173</v>
      </c>
      <c r="T6" s="8" t="s">
        <v>158</v>
      </c>
      <c r="U6" s="8"/>
      <c r="W6" s="8" t="s">
        <v>174</v>
      </c>
      <c r="X6" s="10">
        <v>46023</v>
      </c>
      <c r="Y6" s="10">
        <v>46112</v>
      </c>
      <c r="AA6" s="8" t="s">
        <v>175</v>
      </c>
      <c r="AC6" s="8" t="s">
        <v>131</v>
      </c>
    </row>
    <row r="7" spans="2:29" ht="32">
      <c r="B7" s="5" t="s">
        <v>128</v>
      </c>
      <c r="C7" s="6" t="s">
        <v>176</v>
      </c>
      <c r="D7" s="5">
        <v>100</v>
      </c>
      <c r="E7" s="5" t="s">
        <v>177</v>
      </c>
      <c r="F7" s="6" t="s">
        <v>178</v>
      </c>
      <c r="G7" s="6" t="s">
        <v>179</v>
      </c>
      <c r="H7" s="6" t="s">
        <v>180</v>
      </c>
      <c r="J7" t="s">
        <v>102</v>
      </c>
      <c r="L7" t="s">
        <v>181</v>
      </c>
      <c r="M7" s="4">
        <v>0</v>
      </c>
      <c r="O7">
        <v>3</v>
      </c>
      <c r="P7" t="s">
        <v>44</v>
      </c>
      <c r="Q7">
        <v>0.1</v>
      </c>
      <c r="S7" s="9" t="s">
        <v>182</v>
      </c>
      <c r="T7" s="9" t="s">
        <v>167</v>
      </c>
      <c r="U7" s="9" t="s">
        <v>158</v>
      </c>
      <c r="W7" s="9" t="s">
        <v>183</v>
      </c>
      <c r="X7" s="11">
        <v>46113</v>
      </c>
      <c r="Y7" s="11">
        <v>46203</v>
      </c>
      <c r="AA7" s="9" t="s">
        <v>184</v>
      </c>
      <c r="AC7" s="9" t="s">
        <v>185</v>
      </c>
    </row>
    <row r="8" spans="2:29" ht="32">
      <c r="B8" s="5" t="s">
        <v>106</v>
      </c>
      <c r="C8" s="6" t="s">
        <v>186</v>
      </c>
      <c r="D8" s="5">
        <v>200</v>
      </c>
      <c r="E8" s="5" t="s">
        <v>187</v>
      </c>
      <c r="F8" s="6" t="s">
        <v>188</v>
      </c>
      <c r="G8" s="6" t="s">
        <v>189</v>
      </c>
      <c r="H8" s="6" t="s">
        <v>180</v>
      </c>
      <c r="J8" t="s">
        <v>190</v>
      </c>
      <c r="L8" t="s">
        <v>64</v>
      </c>
      <c r="M8" s="4">
        <v>0.7</v>
      </c>
      <c r="O8">
        <v>4</v>
      </c>
      <c r="P8" t="s">
        <v>155</v>
      </c>
      <c r="Q8">
        <v>0.4</v>
      </c>
      <c r="S8" s="8" t="s">
        <v>191</v>
      </c>
      <c r="T8" s="8" t="s">
        <v>167</v>
      </c>
      <c r="U8" s="8" t="s">
        <v>158</v>
      </c>
      <c r="W8" s="8" t="s">
        <v>192</v>
      </c>
      <c r="X8" s="10">
        <v>46204</v>
      </c>
      <c r="Y8" s="10">
        <v>46295</v>
      </c>
      <c r="AA8" s="8" t="s">
        <v>193</v>
      </c>
      <c r="AC8" s="8" t="s">
        <v>194</v>
      </c>
    </row>
    <row r="9" spans="2:29">
      <c r="J9" t="s">
        <v>110</v>
      </c>
      <c r="O9">
        <v>5</v>
      </c>
      <c r="P9" t="s">
        <v>155</v>
      </c>
      <c r="Q9">
        <v>0.4</v>
      </c>
      <c r="S9" s="9" t="s">
        <v>195</v>
      </c>
      <c r="T9" s="9" t="s">
        <v>167</v>
      </c>
      <c r="U9" s="9" t="s">
        <v>158</v>
      </c>
      <c r="W9" s="9" t="s">
        <v>196</v>
      </c>
      <c r="X9" s="11">
        <v>46296</v>
      </c>
      <c r="Y9" s="11">
        <v>46387</v>
      </c>
      <c r="AA9" s="9" t="s">
        <v>197</v>
      </c>
      <c r="AC9" s="9" t="s">
        <v>198</v>
      </c>
    </row>
    <row r="10" spans="2:29">
      <c r="J10" t="s">
        <v>55</v>
      </c>
      <c r="O10">
        <v>6</v>
      </c>
      <c r="P10" t="s">
        <v>155</v>
      </c>
      <c r="Q10">
        <v>0.4</v>
      </c>
      <c r="S10" s="8" t="s">
        <v>199</v>
      </c>
      <c r="T10" s="8" t="s">
        <v>174</v>
      </c>
      <c r="U10" s="8" t="s">
        <v>167</v>
      </c>
    </row>
    <row r="11" spans="2:29">
      <c r="J11" t="s">
        <v>54</v>
      </c>
      <c r="O11">
        <v>7</v>
      </c>
      <c r="P11" t="s">
        <v>64</v>
      </c>
      <c r="Q11">
        <v>0.7</v>
      </c>
      <c r="S11" s="9" t="s">
        <v>200</v>
      </c>
      <c r="T11" s="9" t="s">
        <v>174</v>
      </c>
      <c r="U11" s="9" t="s">
        <v>167</v>
      </c>
    </row>
    <row r="12" spans="2:29">
      <c r="J12" t="s">
        <v>201</v>
      </c>
      <c r="O12">
        <v>8</v>
      </c>
      <c r="P12" t="s">
        <v>64</v>
      </c>
      <c r="Q12">
        <v>0.7</v>
      </c>
      <c r="S12" s="8" t="s">
        <v>202</v>
      </c>
      <c r="T12" s="8" t="s">
        <v>174</v>
      </c>
      <c r="U12" s="8" t="s">
        <v>167</v>
      </c>
    </row>
    <row r="13" spans="2:29">
      <c r="J13" t="s">
        <v>203</v>
      </c>
      <c r="O13">
        <v>9</v>
      </c>
      <c r="P13" t="s">
        <v>64</v>
      </c>
      <c r="Q13">
        <v>0.7</v>
      </c>
      <c r="S13" s="9" t="s">
        <v>204</v>
      </c>
      <c r="T13" s="9" t="s">
        <v>183</v>
      </c>
      <c r="U13" s="9" t="s">
        <v>174</v>
      </c>
    </row>
    <row r="14" spans="2:29">
      <c r="J14" t="s">
        <v>53</v>
      </c>
      <c r="O14">
        <v>10</v>
      </c>
      <c r="P14" t="s">
        <v>77</v>
      </c>
      <c r="Q14">
        <v>1</v>
      </c>
      <c r="S14" s="8" t="s">
        <v>205</v>
      </c>
      <c r="T14" s="8" t="s">
        <v>183</v>
      </c>
      <c r="U14" s="8" t="s">
        <v>174</v>
      </c>
    </row>
    <row r="15" spans="2:29">
      <c r="J15" t="s">
        <v>120</v>
      </c>
      <c r="O15">
        <v>11</v>
      </c>
      <c r="P15" t="s">
        <v>77</v>
      </c>
      <c r="Q15">
        <v>1</v>
      </c>
      <c r="S15" s="9" t="s">
        <v>206</v>
      </c>
      <c r="T15" s="9" t="s">
        <v>183</v>
      </c>
      <c r="U15" s="9" t="s">
        <v>174</v>
      </c>
    </row>
    <row r="16" spans="2:29">
      <c r="J16" t="s">
        <v>207</v>
      </c>
      <c r="O16">
        <v>12</v>
      </c>
      <c r="P16" t="s">
        <v>77</v>
      </c>
      <c r="Q16">
        <v>1</v>
      </c>
      <c r="S16" s="8" t="s">
        <v>208</v>
      </c>
      <c r="T16" s="8" t="s">
        <v>192</v>
      </c>
      <c r="U16" s="8" t="s">
        <v>183</v>
      </c>
    </row>
    <row r="17" spans="10:21">
      <c r="J17" t="s">
        <v>209</v>
      </c>
      <c r="S17" s="9" t="s">
        <v>210</v>
      </c>
      <c r="T17" s="9" t="s">
        <v>192</v>
      </c>
      <c r="U17" s="9" t="s">
        <v>183</v>
      </c>
    </row>
    <row r="18" spans="10:21">
      <c r="J18" t="s">
        <v>211</v>
      </c>
      <c r="S18" s="8" t="s">
        <v>212</v>
      </c>
      <c r="T18" s="8" t="s">
        <v>192</v>
      </c>
      <c r="U18" s="8" t="s">
        <v>183</v>
      </c>
    </row>
    <row r="19" spans="10:21">
      <c r="J19" t="s">
        <v>213</v>
      </c>
      <c r="S19" s="9" t="s">
        <v>214</v>
      </c>
      <c r="T19" s="9" t="s">
        <v>196</v>
      </c>
      <c r="U19" s="9" t="s">
        <v>192</v>
      </c>
    </row>
    <row r="20" spans="10:21">
      <c r="J20" t="s">
        <v>215</v>
      </c>
      <c r="S20" s="8" t="s">
        <v>216</v>
      </c>
      <c r="T20" s="8" t="s">
        <v>196</v>
      </c>
      <c r="U20" s="8" t="s">
        <v>192</v>
      </c>
    </row>
    <row r="21" spans="10:21">
      <c r="J21" t="s">
        <v>217</v>
      </c>
      <c r="S21" s="9" t="s">
        <v>218</v>
      </c>
      <c r="T21" s="9" t="s">
        <v>196</v>
      </c>
      <c r="U21" s="9" t="s">
        <v>192</v>
      </c>
    </row>
    <row r="22" spans="10:21">
      <c r="J22" t="s">
        <v>108</v>
      </c>
    </row>
    <row r="23" spans="10:21">
      <c r="J23" t="s">
        <v>219</v>
      </c>
    </row>
    <row r="24" spans="10:21">
      <c r="J24" t="s">
        <v>103</v>
      </c>
    </row>
    <row r="25" spans="10:21">
      <c r="J25" t="s">
        <v>220</v>
      </c>
    </row>
    <row r="26" spans="10:21">
      <c r="J26" t="s">
        <v>130</v>
      </c>
    </row>
    <row r="27" spans="10:21">
      <c r="J27" t="s">
        <v>109</v>
      </c>
    </row>
    <row r="28" spans="10:21">
      <c r="J28" t="s">
        <v>129</v>
      </c>
    </row>
    <row r="29" spans="10:21">
      <c r="J29" t="s">
        <v>97</v>
      </c>
    </row>
    <row r="30" spans="10:21">
      <c r="J30" t="s">
        <v>221</v>
      </c>
    </row>
  </sheetData>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baseColWidth="10" defaultColWidth="8.83203125" defaultRowHeight="39" customHeight="1"/>
  <cols>
    <col min="1" max="1" width="20.5" customWidth="1"/>
    <col min="2" max="2" width="18.33203125" customWidth="1"/>
    <col min="3" max="3" width="37.5" customWidth="1"/>
    <col min="4" max="4" width="38.6640625" customWidth="1"/>
    <col min="5" max="5" width="18.5" customWidth="1"/>
    <col min="9" max="9" width="25.83203125" bestFit="1" customWidth="1"/>
  </cols>
  <sheetData>
    <row r="1" spans="1:5" ht="39" customHeight="1">
      <c r="A1" s="1" t="s">
        <v>222</v>
      </c>
      <c r="B1" s="2" t="s">
        <v>223</v>
      </c>
      <c r="C1" s="2" t="s">
        <v>224</v>
      </c>
      <c r="D1" s="2" t="s">
        <v>225</v>
      </c>
      <c r="E1" s="2" t="s">
        <v>226</v>
      </c>
    </row>
    <row r="2" spans="1:5" ht="39" customHeight="1">
      <c r="A2" s="168" t="s">
        <v>159</v>
      </c>
      <c r="B2" s="3" t="s">
        <v>130</v>
      </c>
      <c r="C2" s="3" t="s">
        <v>227</v>
      </c>
      <c r="D2" s="3" t="s">
        <v>228</v>
      </c>
      <c r="E2" s="3" t="s">
        <v>229</v>
      </c>
    </row>
    <row r="3" spans="1:5" ht="39" customHeight="1">
      <c r="A3" s="169"/>
      <c r="B3" s="3" t="s">
        <v>55</v>
      </c>
      <c r="C3" s="3" t="s">
        <v>230</v>
      </c>
      <c r="D3" s="3" t="s">
        <v>231</v>
      </c>
      <c r="E3" s="3" t="s">
        <v>232</v>
      </c>
    </row>
    <row r="4" spans="1:5" ht="39" customHeight="1">
      <c r="A4" s="169"/>
      <c r="B4" s="3" t="s">
        <v>54</v>
      </c>
      <c r="C4" s="3" t="s">
        <v>233</v>
      </c>
      <c r="D4" s="3" t="s">
        <v>234</v>
      </c>
      <c r="E4" s="3" t="s">
        <v>235</v>
      </c>
    </row>
    <row r="5" spans="1:5" ht="39" customHeight="1">
      <c r="A5" s="169"/>
      <c r="B5" s="3" t="s">
        <v>97</v>
      </c>
      <c r="C5" s="3" t="s">
        <v>236</v>
      </c>
      <c r="D5" s="3" t="s">
        <v>237</v>
      </c>
      <c r="E5" s="3" t="s">
        <v>238</v>
      </c>
    </row>
    <row r="6" spans="1:5" ht="39" customHeight="1">
      <c r="A6" s="169"/>
      <c r="B6" s="3" t="s">
        <v>215</v>
      </c>
      <c r="C6" s="3" t="s">
        <v>239</v>
      </c>
      <c r="D6" s="3" t="s">
        <v>240</v>
      </c>
      <c r="E6" s="3" t="s">
        <v>229</v>
      </c>
    </row>
    <row r="7" spans="1:5" ht="39" customHeight="1">
      <c r="A7" s="170"/>
      <c r="B7" s="3" t="s">
        <v>110</v>
      </c>
      <c r="C7" s="3" t="s">
        <v>241</v>
      </c>
      <c r="D7" s="3" t="s">
        <v>242</v>
      </c>
      <c r="E7" s="3" t="s">
        <v>243</v>
      </c>
    </row>
    <row r="8" spans="1:5" ht="39" customHeight="1">
      <c r="A8" s="168" t="s">
        <v>184</v>
      </c>
      <c r="B8" s="3" t="s">
        <v>103</v>
      </c>
      <c r="C8" s="3" t="s">
        <v>244</v>
      </c>
      <c r="D8" s="3" t="s">
        <v>245</v>
      </c>
      <c r="E8" s="3" t="s">
        <v>238</v>
      </c>
    </row>
    <row r="9" spans="1:5" ht="39" customHeight="1">
      <c r="A9" s="169"/>
      <c r="B9" s="3" t="s">
        <v>102</v>
      </c>
      <c r="C9" s="3" t="s">
        <v>246</v>
      </c>
      <c r="D9" s="3" t="s">
        <v>247</v>
      </c>
      <c r="E9" s="3" t="s">
        <v>238</v>
      </c>
    </row>
    <row r="10" spans="1:5" ht="39" customHeight="1">
      <c r="A10" s="169"/>
      <c r="B10" s="3" t="s">
        <v>129</v>
      </c>
      <c r="C10" s="3" t="s">
        <v>248</v>
      </c>
      <c r="D10" s="3" t="s">
        <v>249</v>
      </c>
      <c r="E10" s="3" t="s">
        <v>238</v>
      </c>
    </row>
    <row r="11" spans="1:5" ht="39" customHeight="1">
      <c r="A11" s="169"/>
      <c r="B11" s="3" t="s">
        <v>207</v>
      </c>
      <c r="C11" s="3" t="s">
        <v>250</v>
      </c>
      <c r="D11" s="3" t="s">
        <v>251</v>
      </c>
      <c r="E11" s="3" t="s">
        <v>252</v>
      </c>
    </row>
    <row r="12" spans="1:5" ht="39" customHeight="1">
      <c r="A12" s="170"/>
      <c r="B12" s="3" t="s">
        <v>213</v>
      </c>
      <c r="C12" s="3" t="s">
        <v>253</v>
      </c>
      <c r="D12" s="3" t="s">
        <v>254</v>
      </c>
      <c r="E12" s="3" t="s">
        <v>238</v>
      </c>
    </row>
    <row r="13" spans="1:5" ht="39" customHeight="1">
      <c r="A13" s="168" t="s">
        <v>197</v>
      </c>
      <c r="B13" s="3" t="s">
        <v>53</v>
      </c>
      <c r="C13" s="3" t="s">
        <v>255</v>
      </c>
      <c r="D13" s="3" t="s">
        <v>256</v>
      </c>
      <c r="E13" s="3" t="s">
        <v>257</v>
      </c>
    </row>
    <row r="14" spans="1:5" ht="39" customHeight="1">
      <c r="A14" s="169"/>
      <c r="B14" s="3" t="s">
        <v>165</v>
      </c>
      <c r="C14" s="3" t="s">
        <v>258</v>
      </c>
      <c r="D14" s="3" t="s">
        <v>259</v>
      </c>
      <c r="E14" s="3" t="s">
        <v>260</v>
      </c>
    </row>
    <row r="15" spans="1:5" ht="39" customHeight="1">
      <c r="A15" s="170"/>
      <c r="B15" s="3" t="s">
        <v>120</v>
      </c>
      <c r="C15" s="3" t="s">
        <v>261</v>
      </c>
      <c r="D15" s="3" t="s">
        <v>262</v>
      </c>
      <c r="E15" s="3" t="s">
        <v>263</v>
      </c>
    </row>
    <row r="16" spans="1:5" ht="39" customHeight="1">
      <c r="A16" s="168" t="s">
        <v>168</v>
      </c>
      <c r="B16" s="3" t="s">
        <v>203</v>
      </c>
      <c r="C16" s="3" t="s">
        <v>264</v>
      </c>
      <c r="D16" s="3" t="s">
        <v>265</v>
      </c>
      <c r="E16" s="3" t="s">
        <v>266</v>
      </c>
    </row>
    <row r="17" spans="1:5" ht="39" customHeight="1">
      <c r="A17" s="169"/>
      <c r="B17" s="3" t="s">
        <v>201</v>
      </c>
      <c r="C17" s="3" t="s">
        <v>267</v>
      </c>
      <c r="D17" s="3" t="s">
        <v>268</v>
      </c>
      <c r="E17" s="3" t="s">
        <v>269</v>
      </c>
    </row>
    <row r="18" spans="1:5" ht="39" customHeight="1">
      <c r="A18" s="169"/>
      <c r="B18" s="3" t="s">
        <v>220</v>
      </c>
      <c r="C18" s="3" t="s">
        <v>270</v>
      </c>
      <c r="D18" s="3" t="s">
        <v>271</v>
      </c>
      <c r="E18" s="3" t="s">
        <v>272</v>
      </c>
    </row>
    <row r="19" spans="1:5" ht="39" customHeight="1">
      <c r="A19" s="170"/>
      <c r="B19" s="3" t="s">
        <v>217</v>
      </c>
      <c r="C19" s="3" t="s">
        <v>273</v>
      </c>
      <c r="D19" s="3" t="s">
        <v>274</v>
      </c>
      <c r="E19" s="3" t="s">
        <v>275</v>
      </c>
    </row>
    <row r="20" spans="1:5" ht="39" customHeight="1">
      <c r="A20" s="168" t="s">
        <v>175</v>
      </c>
      <c r="B20" s="3" t="s">
        <v>108</v>
      </c>
      <c r="C20" s="3" t="s">
        <v>276</v>
      </c>
      <c r="D20" s="3" t="s">
        <v>277</v>
      </c>
      <c r="E20" s="3" t="s">
        <v>278</v>
      </c>
    </row>
    <row r="21" spans="1:5" ht="39" customHeight="1">
      <c r="A21" s="169"/>
      <c r="B21" s="3" t="s">
        <v>221</v>
      </c>
      <c r="C21" s="3" t="s">
        <v>279</v>
      </c>
      <c r="D21" s="3" t="s">
        <v>280</v>
      </c>
      <c r="E21" s="3" t="s">
        <v>278</v>
      </c>
    </row>
    <row r="22" spans="1:5" ht="39" customHeight="1">
      <c r="A22" s="169"/>
      <c r="B22" s="3" t="s">
        <v>219</v>
      </c>
      <c r="C22" s="3" t="s">
        <v>281</v>
      </c>
      <c r="D22" s="3" t="s">
        <v>282</v>
      </c>
      <c r="E22" s="3" t="s">
        <v>283</v>
      </c>
    </row>
    <row r="23" spans="1:5" ht="39" customHeight="1">
      <c r="A23" s="170"/>
      <c r="B23" s="3" t="s">
        <v>109</v>
      </c>
      <c r="C23" s="3" t="s">
        <v>284</v>
      </c>
      <c r="D23" s="3" t="s">
        <v>285</v>
      </c>
      <c r="E23" s="3" t="s">
        <v>286</v>
      </c>
    </row>
    <row r="24" spans="1:5" ht="39" customHeight="1">
      <c r="A24" s="168" t="s">
        <v>193</v>
      </c>
      <c r="B24" s="3" t="s">
        <v>209</v>
      </c>
      <c r="C24" s="3" t="s">
        <v>287</v>
      </c>
      <c r="D24" s="3" t="s">
        <v>288</v>
      </c>
      <c r="E24" s="3" t="s">
        <v>289</v>
      </c>
    </row>
    <row r="25" spans="1:5" ht="39" customHeight="1">
      <c r="A25" s="169"/>
      <c r="B25" s="3" t="s">
        <v>172</v>
      </c>
      <c r="C25" s="3" t="s">
        <v>290</v>
      </c>
      <c r="D25" s="3" t="s">
        <v>291</v>
      </c>
      <c r="E25" s="3" t="s">
        <v>289</v>
      </c>
    </row>
    <row r="26" spans="1:5" ht="39" customHeight="1">
      <c r="A26" s="169"/>
      <c r="B26" s="3" t="s">
        <v>211</v>
      </c>
      <c r="C26" s="3" t="s">
        <v>292</v>
      </c>
      <c r="D26" s="3" t="s">
        <v>293</v>
      </c>
      <c r="E26" s="3" t="s">
        <v>294</v>
      </c>
    </row>
    <row r="27" spans="1:5" ht="39" customHeight="1">
      <c r="A27" s="170"/>
      <c r="B27" s="3" t="s">
        <v>190</v>
      </c>
      <c r="C27" s="3" t="s">
        <v>295</v>
      </c>
      <c r="D27" s="3" t="s">
        <v>296</v>
      </c>
      <c r="E27" s="3" t="s">
        <v>297</v>
      </c>
    </row>
  </sheetData>
  <mergeCells count="6">
    <mergeCell ref="A24:A27"/>
    <mergeCell ref="A2:A7"/>
    <mergeCell ref="A8:A12"/>
    <mergeCell ref="A13:A15"/>
    <mergeCell ref="A16:A19"/>
    <mergeCell ref="A20:A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Scorecard</vt:lpstr>
      <vt:lpstr>Sample</vt:lpstr>
      <vt:lpstr>P1</vt:lpstr>
      <vt:lpstr>P2</vt:lpstr>
      <vt:lpstr>P3</vt:lpstr>
      <vt:lpstr>P4</vt:lpstr>
      <vt:lpstr>P5</vt:lpstr>
      <vt:lpstr>P6</vt:lpstr>
      <vt:lpstr>P7</vt:lpstr>
      <vt:lpstr>P8</vt:lpstr>
      <vt:lpstr>P9</vt:lpstr>
      <vt:lpstr>P10</vt:lpstr>
      <vt:lpstr>Lookups</vt:lpstr>
      <vt:lpstr>KPI Library</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Ed Leisman</cp:lastModifiedBy>
  <cp:revision/>
  <dcterms:created xsi:type="dcterms:W3CDTF">2025-06-17T03:21:01Z</dcterms:created>
  <dcterms:modified xsi:type="dcterms:W3CDTF">2025-10-31T20:29:58Z</dcterms:modified>
  <cp:category/>
  <cp:contentStatus/>
</cp:coreProperties>
</file>