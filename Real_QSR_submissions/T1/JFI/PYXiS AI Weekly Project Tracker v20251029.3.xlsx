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jfisoftware-my.sharepoint.com/personal/jamie_collingwood_jonasfitness_com/Documents/Desktop/PYXSIS AI/QSR Related/"/>
    </mc:Choice>
  </mc:AlternateContent>
  <xr:revisionPtr revIDLastSave="0" documentId="8_{31E19FFB-C812-46AB-A522-E99FF920A134}" xr6:coauthVersionLast="47" xr6:coauthVersionMax="47" xr10:uidLastSave="{00000000-0000-0000-0000-000000000000}"/>
  <bookViews>
    <workbookView xWindow="28680" yWindow="-120" windowWidth="29040" windowHeight="15720" firstSheet="7" activeTab="1" xr2:uid="{00000000-000D-0000-FFFF-FFFF00000000}"/>
  </bookViews>
  <sheets>
    <sheet name="Scorecard" sheetId="9" r:id="rId1"/>
    <sheet name="P1" sheetId="13" r:id="rId2"/>
    <sheet name="P2" sheetId="30" r:id="rId3"/>
    <sheet name="P3" sheetId="31" r:id="rId4"/>
    <sheet name="P4" sheetId="32" r:id="rId5"/>
    <sheet name="P5" sheetId="33" r:id="rId6"/>
    <sheet name="P6" sheetId="34" r:id="rId7"/>
    <sheet name="P7" sheetId="35" r:id="rId8"/>
    <sheet name="P8" sheetId="36" r:id="rId9"/>
    <sheet name="P9" sheetId="38" r:id="rId10"/>
    <sheet name="P10" sheetId="39" r:id="rId11"/>
    <sheet name="Lookups" sheetId="4" r:id="rId12"/>
    <sheet name="KPI Library" sheetId="3" state="hidden" r:id="rId13"/>
  </sheets>
  <definedNames>
    <definedName name="_xlnm.Print_Area" localSheetId="1">'P1'!$B$3:$BJ$19</definedName>
    <definedName name="_xlnm.Print_Area" localSheetId="10">'P10'!$B$3:$BJ$19</definedName>
    <definedName name="_xlnm.Print_Area" localSheetId="2">'P2'!$B$3:$BJ$19</definedName>
    <definedName name="_xlnm.Print_Area" localSheetId="3">'P3'!$B$3:$BJ$19</definedName>
    <definedName name="_xlnm.Print_Area" localSheetId="4">'P4'!$B$3:$BJ$19</definedName>
    <definedName name="_xlnm.Print_Area" localSheetId="5">'P5'!$B$3:$BJ$19</definedName>
    <definedName name="_xlnm.Print_Area" localSheetId="6">'P6'!$B$3:$BJ$19</definedName>
    <definedName name="_xlnm.Print_Area" localSheetId="7">'P7'!$B$3:$BJ$19</definedName>
    <definedName name="_xlnm.Print_Area" localSheetId="8">'P8'!$B$3:$BJ$19</definedName>
    <definedName name="_xlnm.Print_Area" localSheetId="9">'P9'!$B$3:$BJ$19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5" i="36" l="1"/>
  <c r="AD25" i="36"/>
  <c r="AE25" i="36"/>
  <c r="AF25" i="36"/>
  <c r="AG25" i="36"/>
  <c r="AH25" i="36"/>
  <c r="AI25" i="36"/>
  <c r="AJ25" i="36"/>
  <c r="AK25" i="36"/>
  <c r="AL25" i="36"/>
  <c r="AM25" i="36"/>
  <c r="AN25" i="36"/>
  <c r="AO25" i="36"/>
  <c r="AP25" i="36"/>
  <c r="AQ25" i="36"/>
  <c r="AR25" i="36"/>
  <c r="AS25" i="36"/>
  <c r="AT25" i="36"/>
  <c r="AU25" i="36"/>
  <c r="AV25" i="36"/>
  <c r="AW25" i="36"/>
  <c r="AX25" i="36"/>
  <c r="AY25" i="36"/>
  <c r="AZ25" i="36"/>
  <c r="BA25" i="36"/>
  <c r="BB25" i="36"/>
  <c r="BC25" i="36"/>
  <c r="BD25" i="36"/>
  <c r="BE25" i="36"/>
  <c r="N25" i="38"/>
  <c r="O25" i="38"/>
  <c r="P25" i="38"/>
  <c r="Q25" i="38"/>
  <c r="R25" i="38"/>
  <c r="S25" i="38"/>
  <c r="T25" i="38"/>
  <c r="U25" i="38"/>
  <c r="V25" i="38"/>
  <c r="W25" i="38"/>
  <c r="X25" i="38"/>
  <c r="Y25" i="38"/>
  <c r="Z25" i="38"/>
  <c r="AA25" i="38"/>
  <c r="AB25" i="38"/>
  <c r="AC25" i="38"/>
  <c r="AD25" i="38"/>
  <c r="AE25" i="38"/>
  <c r="AF25" i="38"/>
  <c r="AG25" i="38"/>
  <c r="AH25" i="38"/>
  <c r="AI25" i="38"/>
  <c r="AJ25" i="38"/>
  <c r="AK25" i="38"/>
  <c r="AL25" i="38"/>
  <c r="AM25" i="38"/>
  <c r="AN25" i="38"/>
  <c r="AO25" i="38"/>
  <c r="AP25" i="38"/>
  <c r="AQ25" i="38"/>
  <c r="AR25" i="38"/>
  <c r="AS25" i="38"/>
  <c r="AT25" i="38"/>
  <c r="AU25" i="38"/>
  <c r="AV25" i="38"/>
  <c r="AW25" i="38"/>
  <c r="AX25" i="38"/>
  <c r="AY25" i="38"/>
  <c r="AZ25" i="38"/>
  <c r="BA25" i="38"/>
  <c r="BB25" i="38"/>
  <c r="BC25" i="38"/>
  <c r="BD25" i="38"/>
  <c r="BE25" i="38"/>
  <c r="F35" i="39"/>
  <c r="F30" i="39"/>
  <c r="F31" i="39"/>
  <c r="F26" i="39"/>
  <c r="F25" i="39"/>
  <c r="F37" i="30"/>
  <c r="G35" i="30"/>
  <c r="G37" i="30" s="1"/>
  <c r="F32" i="30"/>
  <c r="G30"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F27" i="30"/>
  <c r="G27" i="30"/>
  <c r="F37" i="31"/>
  <c r="G35" i="31"/>
  <c r="G37" i="31" s="1"/>
  <c r="F32" i="31"/>
  <c r="G30" i="31"/>
  <c r="H30" i="31" s="1"/>
  <c r="H32" i="31" s="1"/>
  <c r="F27" i="31"/>
  <c r="G25" i="31"/>
  <c r="H25" i="31" s="1"/>
  <c r="H27" i="31" s="1"/>
  <c r="F37" i="32"/>
  <c r="G35" i="32"/>
  <c r="H35" i="32" s="1"/>
  <c r="F32" i="32"/>
  <c r="G30"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7" i="32"/>
  <c r="G37" i="33"/>
  <c r="F37" i="33"/>
  <c r="G35" i="33"/>
  <c r="H35" i="33" s="1"/>
  <c r="F32" i="33"/>
  <c r="G30" i="33"/>
  <c r="H30" i="33" s="1"/>
  <c r="H32" i="33" s="1"/>
  <c r="F27" i="33"/>
  <c r="G25" i="33"/>
  <c r="G37" i="34"/>
  <c r="F37" i="34"/>
  <c r="G35" i="34"/>
  <c r="H35" i="34" s="1"/>
  <c r="F32" i="34"/>
  <c r="G30" i="34"/>
  <c r="G32" i="34" s="1"/>
  <c r="F27" i="34"/>
  <c r="G25" i="34"/>
  <c r="G27" i="34" s="1"/>
  <c r="F37" i="35"/>
  <c r="G35" i="35"/>
  <c r="F32" i="35"/>
  <c r="G30" i="35"/>
  <c r="G32" i="35" s="1"/>
  <c r="F27" i="35"/>
  <c r="G25" i="35"/>
  <c r="H25" i="35" s="1"/>
  <c r="I25" i="35" s="1"/>
  <c r="I27" i="35" s="1"/>
  <c r="F37" i="36"/>
  <c r="G35" i="36"/>
  <c r="G37" i="36" s="1"/>
  <c r="F32" i="36"/>
  <c r="G30" i="36"/>
  <c r="G32" i="36" s="1"/>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F27" i="39"/>
  <c r="G25" i="39"/>
  <c r="H25" i="39" s="1"/>
  <c r="H27" i="39" s="1"/>
  <c r="F37" i="13"/>
  <c r="G35" i="13"/>
  <c r="G37" i="13" s="1"/>
  <c r="F32" i="13"/>
  <c r="G30" i="13"/>
  <c r="H30" i="13" s="1"/>
  <c r="H32" i="13" s="1"/>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5" i="13"/>
  <c r="G27" i="13"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AV3" i="30"/>
  <c r="AV3" i="31"/>
  <c r="AV3" i="32"/>
  <c r="AV3" i="33"/>
  <c r="AV3" i="34"/>
  <c r="AV3" i="35"/>
  <c r="AV3" i="36"/>
  <c r="AV3" i="38"/>
  <c r="AV3" i="39"/>
  <c r="AV3" i="13"/>
  <c r="F9" i="30"/>
  <c r="F9" i="31"/>
  <c r="F9" i="32"/>
  <c r="F9" i="33"/>
  <c r="F9" i="34"/>
  <c r="F9" i="35"/>
  <c r="F9" i="36"/>
  <c r="F9" i="38"/>
  <c r="F9" i="39"/>
  <c r="F9" i="13"/>
  <c r="F8" i="30"/>
  <c r="F8" i="31"/>
  <c r="F8" i="32"/>
  <c r="F8" i="33"/>
  <c r="F8" i="34"/>
  <c r="F8" i="35"/>
  <c r="F8" i="36"/>
  <c r="F8" i="38"/>
  <c r="F8" i="39"/>
  <c r="F8" i="13"/>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H30" i="30" l="1"/>
  <c r="G32" i="30"/>
  <c r="I35" i="33"/>
  <c r="I37" i="33" s="1"/>
  <c r="H37" i="33"/>
  <c r="H37" i="34"/>
  <c r="I35" i="34"/>
  <c r="G37" i="32"/>
  <c r="H30" i="35"/>
  <c r="H32" i="35" s="1"/>
  <c r="I30" i="31"/>
  <c r="J30" i="31" s="1"/>
  <c r="J32" i="31" s="1"/>
  <c r="G32" i="13"/>
  <c r="H30" i="36"/>
  <c r="G32" i="31"/>
  <c r="G32" i="38"/>
  <c r="H32" i="38"/>
  <c r="G32" i="39"/>
  <c r="H32" i="39"/>
  <c r="J25" i="35"/>
  <c r="H25" i="38"/>
  <c r="G27" i="35"/>
  <c r="H27" i="35"/>
  <c r="I25" i="31"/>
  <c r="I27" i="31" s="1"/>
  <c r="I25" i="39"/>
  <c r="I27" i="39" s="1"/>
  <c r="G27" i="31"/>
  <c r="G32" i="32"/>
  <c r="H30" i="32"/>
  <c r="J25" i="39"/>
  <c r="J30" i="39"/>
  <c r="I32" i="39"/>
  <c r="J30" i="38"/>
  <c r="I32" i="38"/>
  <c r="H25" i="36"/>
  <c r="G27" i="36"/>
  <c r="J35" i="33"/>
  <c r="I30" i="30"/>
  <c r="H32" i="30"/>
  <c r="G27" i="39"/>
  <c r="I30" i="33"/>
  <c r="H35" i="30"/>
  <c r="H35" i="39"/>
  <c r="H35" i="38"/>
  <c r="I30" i="13"/>
  <c r="G32" i="33"/>
  <c r="H25" i="13"/>
  <c r="H30" i="34"/>
  <c r="H35" i="36"/>
  <c r="H25" i="34"/>
  <c r="H35" i="31"/>
  <c r="H35" i="35"/>
  <c r="G37" i="35"/>
  <c r="I37" i="34"/>
  <c r="J35" i="34"/>
  <c r="G27" i="33"/>
  <c r="H25" i="33"/>
  <c r="I35" i="32"/>
  <c r="H37" i="32"/>
  <c r="H35" i="13"/>
  <c r="G24" i="13"/>
  <c r="H24" i="13" s="1"/>
  <c r="I24" i="13" s="1"/>
  <c r="J24" i="13" s="1"/>
  <c r="K24" i="13" s="1"/>
  <c r="L24" i="13" s="1"/>
  <c r="M24" i="13" s="1"/>
  <c r="G24" i="31"/>
  <c r="H24" i="31" s="1"/>
  <c r="I24" i="31" s="1"/>
  <c r="J24" i="31" s="1"/>
  <c r="K24" i="31" s="1"/>
  <c r="L24" i="31" s="1"/>
  <c r="M24" i="31" s="1"/>
  <c r="N24" i="31" s="1"/>
  <c r="O24" i="31" s="1"/>
  <c r="P24" i="31" s="1"/>
  <c r="Q24" i="31" s="1"/>
  <c r="G24" i="32"/>
  <c r="H24" i="32" s="1"/>
  <c r="I24" i="32" s="1"/>
  <c r="J24" i="32" s="1"/>
  <c r="K24" i="32" s="1"/>
  <c r="L24" i="32" s="1"/>
  <c r="M24" i="32" s="1"/>
  <c r="G24" i="33"/>
  <c r="H24" i="33" s="1"/>
  <c r="G24" i="34"/>
  <c r="H24" i="34" s="1"/>
  <c r="I24" i="34" s="1"/>
  <c r="J24" i="34" s="1"/>
  <c r="K24" i="34" s="1"/>
  <c r="L24" i="34" s="1"/>
  <c r="M24" i="34" s="1"/>
  <c r="G24" i="35"/>
  <c r="H24" i="35" s="1"/>
  <c r="G24" i="36"/>
  <c r="G24" i="38"/>
  <c r="G24" i="39"/>
  <c r="H24" i="39" s="1"/>
  <c r="G24" i="30"/>
  <c r="F14" i="9"/>
  <c r="F13" i="9"/>
  <c r="C13" i="9" s="1"/>
  <c r="F12" i="9"/>
  <c r="F11" i="9"/>
  <c r="F10" i="9"/>
  <c r="L10" i="9" s="1"/>
  <c r="F9" i="9"/>
  <c r="L9"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15" i="38"/>
  <c r="AU14" i="38"/>
  <c r="AU13"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14" i="35"/>
  <c r="AU13" i="35"/>
  <c r="AU12" i="35"/>
  <c r="N45" i="35"/>
  <c r="AU11" i="35"/>
  <c r="AU10" i="35"/>
  <c r="AZ3" i="35"/>
  <c r="AU21" i="35" s="1"/>
  <c r="O11"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15" i="34"/>
  <c r="AU14" i="34"/>
  <c r="AU13" i="34"/>
  <c r="AU12" i="34"/>
  <c r="AG44" i="34"/>
  <c r="AU11" i="34"/>
  <c r="AU10" i="34"/>
  <c r="AZ3" i="34"/>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U21" i="33"/>
  <c r="AU20" i="33"/>
  <c r="AU19" i="33"/>
  <c r="AU18" i="33"/>
  <c r="AU17" i="33"/>
  <c r="AU16" i="33"/>
  <c r="AU15" i="33"/>
  <c r="AU14" i="33"/>
  <c r="AE45" i="33"/>
  <c r="AU11" i="33"/>
  <c r="AU10" i="33"/>
  <c r="AZ3" i="33"/>
  <c r="F8" i="9"/>
  <c r="F7" i="9"/>
  <c r="J7" i="9" s="1"/>
  <c r="F6" i="9"/>
  <c r="C6"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AU18" i="32"/>
  <c r="AU17" i="32"/>
  <c r="AU16" i="32"/>
  <c r="AU15" i="32"/>
  <c r="AU14" i="32"/>
  <c r="AU13" i="32"/>
  <c r="AU12" i="32"/>
  <c r="L44" i="32"/>
  <c r="AU11" i="32"/>
  <c r="AU10" i="32"/>
  <c r="AZ3" i="32"/>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19" i="31"/>
  <c r="AU18" i="31"/>
  <c r="AU17" i="31"/>
  <c r="AU16" i="31"/>
  <c r="AU15" i="31"/>
  <c r="AU14" i="31"/>
  <c r="AU13" i="31"/>
  <c r="AU12" i="31"/>
  <c r="AU11" i="31"/>
  <c r="AU10" i="31"/>
  <c r="AO3" i="31"/>
  <c r="AZ3" i="3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19" i="30"/>
  <c r="AU18" i="30"/>
  <c r="AU17" i="30"/>
  <c r="AU16" i="30"/>
  <c r="AU15" i="30"/>
  <c r="AU14" i="30"/>
  <c r="AU13" i="30"/>
  <c r="AU12" i="30"/>
  <c r="AU11" i="30"/>
  <c r="AU10" i="30"/>
  <c r="AZ3" i="30"/>
  <c r="F5" i="9"/>
  <c r="L5" i="9" s="1"/>
  <c r="AI41" i="13"/>
  <c r="O5"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AU19" i="35" l="1"/>
  <c r="AU20" i="35"/>
  <c r="AU17" i="35"/>
  <c r="AU18" i="35"/>
  <c r="AU15" i="35"/>
  <c r="AU16" i="35"/>
  <c r="AU19" i="36"/>
  <c r="AU21" i="36"/>
  <c r="AU20" i="36"/>
  <c r="AU17" i="36"/>
  <c r="AU18" i="36"/>
  <c r="AU15" i="36"/>
  <c r="AU16" i="36"/>
  <c r="AU12" i="38"/>
  <c r="AU21" i="38"/>
  <c r="AU20" i="38"/>
  <c r="AU19" i="38"/>
  <c r="AU18" i="38"/>
  <c r="AU17" i="38"/>
  <c r="AU16" i="38"/>
  <c r="AU19" i="39"/>
  <c r="AU21" i="39"/>
  <c r="AU20" i="39"/>
  <c r="AU16" i="39"/>
  <c r="AU18" i="39"/>
  <c r="AU17" i="39"/>
  <c r="AU15" i="39"/>
  <c r="AU14" i="39"/>
  <c r="AU12" i="39"/>
  <c r="AU13" i="39"/>
  <c r="AU21" i="30"/>
  <c r="AU20" i="30"/>
  <c r="D11" i="9"/>
  <c r="D9" i="9"/>
  <c r="D8" i="9"/>
  <c r="AU12" i="33"/>
  <c r="AU13" i="33"/>
  <c r="AU20" i="31"/>
  <c r="AU21" i="31"/>
  <c r="AU13" i="36"/>
  <c r="AU14" i="36"/>
  <c r="AU20" i="34"/>
  <c r="AU21" i="34"/>
  <c r="AU18" i="34"/>
  <c r="AU19" i="34"/>
  <c r="AU16" i="34"/>
  <c r="AU17" i="34"/>
  <c r="AU21" i="32"/>
  <c r="AU20" i="32"/>
  <c r="AU19" i="32"/>
  <c r="K30" i="31"/>
  <c r="L30" i="31" s="1"/>
  <c r="I30" i="35"/>
  <c r="I32" i="35" s="1"/>
  <c r="I32" i="31"/>
  <c r="H32" i="36"/>
  <c r="I30" i="36"/>
  <c r="J25" i="31"/>
  <c r="J27" i="31" s="1"/>
  <c r="H27" i="38"/>
  <c r="I25" i="38"/>
  <c r="J27" i="35"/>
  <c r="K25" i="35"/>
  <c r="H37" i="36"/>
  <c r="I35" i="36"/>
  <c r="J35" i="32"/>
  <c r="I37" i="32"/>
  <c r="I25" i="36"/>
  <c r="H27" i="36"/>
  <c r="I32" i="13"/>
  <c r="J30" i="13"/>
  <c r="H37" i="35"/>
  <c r="I35" i="35"/>
  <c r="I32" i="30"/>
  <c r="J30" i="30"/>
  <c r="J37" i="33"/>
  <c r="K35" i="33"/>
  <c r="H32" i="34"/>
  <c r="I30" i="34"/>
  <c r="J37" i="34"/>
  <c r="K35" i="34"/>
  <c r="H37" i="38"/>
  <c r="I35" i="38"/>
  <c r="H37" i="39"/>
  <c r="I35" i="39"/>
  <c r="H37" i="30"/>
  <c r="I35" i="30"/>
  <c r="K30" i="39"/>
  <c r="J32" i="39"/>
  <c r="J30" i="33"/>
  <c r="I32" i="33"/>
  <c r="I35" i="31"/>
  <c r="H37" i="31"/>
  <c r="I30" i="32"/>
  <c r="H32" i="32"/>
  <c r="H27" i="32"/>
  <c r="I35" i="13"/>
  <c r="H37" i="13"/>
  <c r="H27" i="13"/>
  <c r="I25" i="13"/>
  <c r="H27" i="33"/>
  <c r="I25" i="33"/>
  <c r="K30" i="38"/>
  <c r="J32" i="38"/>
  <c r="H27" i="30"/>
  <c r="J27" i="39"/>
  <c r="K25" i="39"/>
  <c r="H27" i="34"/>
  <c r="I25" i="34"/>
  <c r="AN42" i="33"/>
  <c r="O42" i="33"/>
  <c r="BC44" i="33"/>
  <c r="BD44" i="33"/>
  <c r="BE44" i="33"/>
  <c r="AO42" i="33"/>
  <c r="V45" i="33"/>
  <c r="O12" i="9"/>
  <c r="AL45" i="36"/>
  <c r="AF45" i="38"/>
  <c r="AV45" i="39"/>
  <c r="AN41" i="39"/>
  <c r="AL42" i="39"/>
  <c r="V42" i="36"/>
  <c r="AQ42" i="39"/>
  <c r="W42" i="36"/>
  <c r="BA42" i="39"/>
  <c r="AR42" i="36"/>
  <c r="V45" i="38"/>
  <c r="AT45" i="39"/>
  <c r="AM45" i="36"/>
  <c r="O14" i="9"/>
  <c r="AS45" i="36"/>
  <c r="L42" i="33"/>
  <c r="AD45" i="34"/>
  <c r="AU41" i="34"/>
  <c r="AR45" i="34"/>
  <c r="F44" i="36"/>
  <c r="I42" i="33"/>
  <c r="AF45" i="33"/>
  <c r="BE41" i="34"/>
  <c r="M44" i="36"/>
  <c r="AO3" i="39"/>
  <c r="D7" i="9"/>
  <c r="J42" i="33"/>
  <c r="AH45" i="33"/>
  <c r="AJ42" i="34"/>
  <c r="N44" i="36"/>
  <c r="V45" i="39"/>
  <c r="AK41" i="34"/>
  <c r="AL41" i="34"/>
  <c r="AT41" i="34"/>
  <c r="O44" i="36"/>
  <c r="AO42" i="34"/>
  <c r="AD44" i="36"/>
  <c r="AC42" i="33"/>
  <c r="AP42" i="34"/>
  <c r="AG44" i="36"/>
  <c r="AK45" i="32"/>
  <c r="AF45" i="34"/>
  <c r="AZ42" i="34"/>
  <c r="H42" i="36"/>
  <c r="BB44" i="36"/>
  <c r="AE42" i="38"/>
  <c r="I42" i="36"/>
  <c r="W45" i="36"/>
  <c r="AN42" i="38"/>
  <c r="AA45" i="34"/>
  <c r="AM42" i="34"/>
  <c r="AT44" i="36"/>
  <c r="AD44" i="34"/>
  <c r="AV44" i="36"/>
  <c r="AQ42" i="33"/>
  <c r="AH44" i="34"/>
  <c r="AQ44" i="33"/>
  <c r="AT44" i="34"/>
  <c r="BB44" i="33"/>
  <c r="T45" i="34"/>
  <c r="N42" i="36"/>
  <c r="AK45" i="36"/>
  <c r="W41" i="39"/>
  <c r="O6" i="9"/>
  <c r="AS42" i="32"/>
  <c r="Q44" i="35"/>
  <c r="BD45" i="35"/>
  <c r="AV42" i="32"/>
  <c r="AG44" i="35"/>
  <c r="AH44" i="35"/>
  <c r="G41" i="35"/>
  <c r="AZ45" i="35"/>
  <c r="AB45" i="35"/>
  <c r="BD44" i="35"/>
  <c r="AE44" i="35"/>
  <c r="F44" i="35"/>
  <c r="AK42" i="35"/>
  <c r="L42" i="35"/>
  <c r="AW45" i="35"/>
  <c r="Y45" i="35"/>
  <c r="BC44" i="35"/>
  <c r="AD44" i="35"/>
  <c r="BE42" i="35"/>
  <c r="AJ42" i="35"/>
  <c r="J42" i="35"/>
  <c r="AV45" i="35"/>
  <c r="W45" i="35"/>
  <c r="BB44" i="35"/>
  <c r="AB44" i="35"/>
  <c r="BD42" i="35"/>
  <c r="AE42" i="35"/>
  <c r="I42" i="35"/>
  <c r="R45" i="35"/>
  <c r="AU45" i="35"/>
  <c r="V45" i="35"/>
  <c r="AZ44" i="35"/>
  <c r="AA44" i="35"/>
  <c r="BC42" i="35"/>
  <c r="AB42" i="35"/>
  <c r="H42" i="35"/>
  <c r="AT44" i="35"/>
  <c r="AY42" i="35"/>
  <c r="Z42" i="35"/>
  <c r="AP45" i="35"/>
  <c r="AS44" i="35"/>
  <c r="AV42" i="35"/>
  <c r="Y42" i="35"/>
  <c r="I41" i="35"/>
  <c r="AT45" i="35"/>
  <c r="U45" i="35"/>
  <c r="AU44" i="35"/>
  <c r="Z44" i="35"/>
  <c r="BB42" i="35"/>
  <c r="AA42" i="35"/>
  <c r="F42" i="35"/>
  <c r="AR45" i="35"/>
  <c r="T45" i="35"/>
  <c r="X44" i="35"/>
  <c r="U44" i="35"/>
  <c r="AM45" i="35"/>
  <c r="P45" i="35"/>
  <c r="AR44" i="35"/>
  <c r="R44" i="35"/>
  <c r="AS42" i="35"/>
  <c r="X42" i="35"/>
  <c r="H41" i="35"/>
  <c r="AJ45" i="35"/>
  <c r="K45" i="35"/>
  <c r="AO44" i="35"/>
  <c r="P44" i="35"/>
  <c r="AQ42" i="35"/>
  <c r="V42" i="35"/>
  <c r="AG45" i="35"/>
  <c r="H45" i="35"/>
  <c r="AI44" i="35"/>
  <c r="M44" i="35"/>
  <c r="AO42" i="35"/>
  <c r="P42" i="35"/>
  <c r="AM42" i="35"/>
  <c r="AD45" i="32"/>
  <c r="AE45" i="32"/>
  <c r="AP42" i="32"/>
  <c r="F45" i="32"/>
  <c r="AE42" i="32"/>
  <c r="AZ44" i="32"/>
  <c r="I42" i="32"/>
  <c r="Z44" i="32"/>
  <c r="BE44" i="32"/>
  <c r="N42" i="32"/>
  <c r="K42" i="32"/>
  <c r="AQ44" i="32"/>
  <c r="AX41" i="32"/>
  <c r="BC44" i="32"/>
  <c r="L42" i="32"/>
  <c r="U44" i="32"/>
  <c r="AI41" i="32"/>
  <c r="S41" i="32"/>
  <c r="BD45" i="32"/>
  <c r="AP42" i="35"/>
  <c r="AD45" i="35"/>
  <c r="AA41" i="32"/>
  <c r="AR42" i="35"/>
  <c r="AF45" i="35"/>
  <c r="AD41" i="32"/>
  <c r="J44" i="35"/>
  <c r="AI45" i="35"/>
  <c r="AJ41" i="32"/>
  <c r="L44" i="35"/>
  <c r="AK45" i="35"/>
  <c r="AL42" i="32"/>
  <c r="N44" i="35"/>
  <c r="M42" i="35"/>
  <c r="AL44" i="35"/>
  <c r="X44" i="32"/>
  <c r="O42" i="35"/>
  <c r="AQ44" i="35"/>
  <c r="V45" i="32"/>
  <c r="Q42" i="35"/>
  <c r="BE44" i="35"/>
  <c r="BA45" i="35"/>
  <c r="T44" i="32"/>
  <c r="AF45" i="32"/>
  <c r="W42" i="35"/>
  <c r="G45" i="35"/>
  <c r="AJ45" i="32"/>
  <c r="AX45" i="34"/>
  <c r="S45" i="34"/>
  <c r="W44" i="34"/>
  <c r="AA42" i="34"/>
  <c r="AJ41" i="34"/>
  <c r="R45" i="34"/>
  <c r="T44" i="34"/>
  <c r="W42" i="34"/>
  <c r="AC41" i="34"/>
  <c r="M45" i="34"/>
  <c r="S44" i="34"/>
  <c r="V42" i="34"/>
  <c r="AA41" i="34"/>
  <c r="AZ45" i="34"/>
  <c r="AY45" i="34"/>
  <c r="I42" i="34"/>
  <c r="L41" i="34"/>
  <c r="K45" i="34"/>
  <c r="Q44" i="34"/>
  <c r="S42" i="34"/>
  <c r="X41" i="34"/>
  <c r="BD44" i="34"/>
  <c r="BC42" i="34"/>
  <c r="J42" i="34"/>
  <c r="BB42" i="34"/>
  <c r="AS45" i="34"/>
  <c r="AU44" i="34"/>
  <c r="BA42" i="34"/>
  <c r="H42" i="34"/>
  <c r="K41" i="34"/>
  <c r="BA45" i="34"/>
  <c r="BE44" i="34"/>
  <c r="BD42" i="34"/>
  <c r="Q42" i="34"/>
  <c r="W41" i="34"/>
  <c r="T41" i="34"/>
  <c r="BC44" i="34"/>
  <c r="AK45" i="34"/>
  <c r="AO44" i="34"/>
  <c r="AY42" i="34"/>
  <c r="AZ41" i="34"/>
  <c r="I41" i="34"/>
  <c r="AI44" i="34"/>
  <c r="AL42" i="35"/>
  <c r="J45" i="35"/>
  <c r="AP42" i="38"/>
  <c r="AP42" i="39"/>
  <c r="AK45" i="39"/>
  <c r="D13" i="9"/>
  <c r="V41" i="39"/>
  <c r="AZ42" i="39"/>
  <c r="AU45" i="39"/>
  <c r="Q42" i="36"/>
  <c r="AU44" i="36"/>
  <c r="U45" i="38"/>
  <c r="AL41" i="39"/>
  <c r="AX45" i="39"/>
  <c r="AF41" i="33"/>
  <c r="M44" i="33"/>
  <c r="AK45" i="33"/>
  <c r="AD42" i="36"/>
  <c r="F45" i="36"/>
  <c r="AT41" i="39"/>
  <c r="T41" i="33"/>
  <c r="AR42" i="33"/>
  <c r="AI45" i="33"/>
  <c r="AO41" i="39"/>
  <c r="AG41" i="33"/>
  <c r="Q44" i="33"/>
  <c r="AZ45" i="33"/>
  <c r="AO3" i="35"/>
  <c r="AQ42" i="36"/>
  <c r="U45" i="36"/>
  <c r="BA41" i="39"/>
  <c r="AH41" i="33"/>
  <c r="R44" i="33"/>
  <c r="AL41" i="38"/>
  <c r="BB41" i="39"/>
  <c r="AI41" i="33"/>
  <c r="AA44" i="33"/>
  <c r="BC42" i="36"/>
  <c r="AH45" i="36"/>
  <c r="AO41" i="38"/>
  <c r="V42" i="39"/>
  <c r="O8" i="9"/>
  <c r="AX41" i="33"/>
  <c r="AB44" i="33"/>
  <c r="AV41" i="38"/>
  <c r="AC42" i="39"/>
  <c r="AJ42" i="39"/>
  <c r="T45" i="39"/>
  <c r="AF41" i="30"/>
  <c r="AL42" i="30"/>
  <c r="BD45" i="30"/>
  <c r="AQ45" i="30"/>
  <c r="W45" i="30"/>
  <c r="F45" i="30"/>
  <c r="BD42" i="30"/>
  <c r="AM42" i="30"/>
  <c r="V42" i="30"/>
  <c r="BB41" i="30"/>
  <c r="AK41" i="30"/>
  <c r="T41" i="30"/>
  <c r="AY45" i="30"/>
  <c r="AH45" i="30"/>
  <c r="Q45" i="30"/>
  <c r="AX42" i="30"/>
  <c r="AD42" i="30"/>
  <c r="M42" i="30"/>
  <c r="AV41" i="30"/>
  <c r="AE41" i="30"/>
  <c r="K41" i="30"/>
  <c r="AG45" i="30"/>
  <c r="AC42" i="30"/>
  <c r="AU41" i="30"/>
  <c r="J41" i="30"/>
  <c r="AX45" i="30"/>
  <c r="P45" i="30"/>
  <c r="AW42" i="30"/>
  <c r="L42" i="30"/>
  <c r="AA41" i="30"/>
  <c r="AW45" i="30"/>
  <c r="AC45" i="30"/>
  <c r="AO42" i="30"/>
  <c r="Q42" i="30"/>
  <c r="AW41" i="30"/>
  <c r="X41" i="30"/>
  <c r="AV45" i="30"/>
  <c r="Y45" i="30"/>
  <c r="AN42" i="30"/>
  <c r="P42" i="30"/>
  <c r="AT41" i="30"/>
  <c r="W41" i="30"/>
  <c r="AK45" i="30"/>
  <c r="O45" i="30"/>
  <c r="AZ42" i="30"/>
  <c r="AA42" i="30"/>
  <c r="G42" i="30"/>
  <c r="AI41" i="30"/>
  <c r="L41" i="30"/>
  <c r="AJ45" i="30"/>
  <c r="H45" i="30"/>
  <c r="BB42" i="30"/>
  <c r="Y42" i="30"/>
  <c r="AX41" i="30"/>
  <c r="S41" i="30"/>
  <c r="AI45" i="30"/>
  <c r="G45" i="30"/>
  <c r="BA42" i="30"/>
  <c r="X42" i="30"/>
  <c r="AS41" i="30"/>
  <c r="R41" i="30"/>
  <c r="AF45" i="30"/>
  <c r="AY42" i="30"/>
  <c r="W42" i="30"/>
  <c r="AO41" i="30"/>
  <c r="Q41" i="30"/>
  <c r="AE45" i="30"/>
  <c r="AS42" i="30"/>
  <c r="U42" i="30"/>
  <c r="AN41" i="30"/>
  <c r="M41" i="30"/>
  <c r="AD45" i="30"/>
  <c r="AR42" i="30"/>
  <c r="O42" i="30"/>
  <c r="AM41" i="30"/>
  <c r="I41" i="30"/>
  <c r="BE45" i="30"/>
  <c r="X45" i="30"/>
  <c r="AQ42" i="30"/>
  <c r="N42" i="30"/>
  <c r="AL41" i="30"/>
  <c r="H41" i="30"/>
  <c r="BA45" i="30"/>
  <c r="V45" i="30"/>
  <c r="AP42" i="30"/>
  <c r="K42" i="30"/>
  <c r="AJ41" i="30"/>
  <c r="G41" i="30"/>
  <c r="AZ45" i="30"/>
  <c r="U45" i="30"/>
  <c r="AS45" i="30"/>
  <c r="R45" i="30"/>
  <c r="G44" i="30"/>
  <c r="AI42" i="30"/>
  <c r="BC41" i="30"/>
  <c r="Z41" i="30"/>
  <c r="AR45" i="30"/>
  <c r="K45" i="30"/>
  <c r="F44" i="30"/>
  <c r="AE42" i="30"/>
  <c r="BA41" i="30"/>
  <c r="Y41" i="30"/>
  <c r="AM45" i="30"/>
  <c r="J45" i="30"/>
  <c r="BE42" i="30"/>
  <c r="AB42" i="30"/>
  <c r="AZ41" i="30"/>
  <c r="V41" i="30"/>
  <c r="AL45" i="30"/>
  <c r="I45" i="30"/>
  <c r="BC42" i="30"/>
  <c r="Z42" i="30"/>
  <c r="AY41" i="30"/>
  <c r="U41" i="30"/>
  <c r="F41" i="30"/>
  <c r="S45" i="30"/>
  <c r="T45" i="30"/>
  <c r="AG41" i="30"/>
  <c r="AT45" i="30"/>
  <c r="O10" i="9"/>
  <c r="AH41" i="30"/>
  <c r="AU45" i="30"/>
  <c r="H42" i="30"/>
  <c r="I42" i="30"/>
  <c r="J42" i="30"/>
  <c r="AJ42" i="30"/>
  <c r="AK42" i="30"/>
  <c r="AO3" i="30"/>
  <c r="AA41" i="38"/>
  <c r="Q42" i="38"/>
  <c r="I45" i="38"/>
  <c r="X41" i="32"/>
  <c r="BB41" i="32"/>
  <c r="AH42" i="32"/>
  <c r="M44" i="32"/>
  <c r="AR44" i="32"/>
  <c r="X45" i="32"/>
  <c r="U41" i="33"/>
  <c r="BA41" i="33"/>
  <c r="AD42" i="33"/>
  <c r="N44" i="33"/>
  <c r="AR44" i="33"/>
  <c r="W45" i="33"/>
  <c r="BA45" i="33"/>
  <c r="AF41" i="38"/>
  <c r="V42" i="38"/>
  <c r="R45" i="38"/>
  <c r="Y41" i="32"/>
  <c r="BC41" i="32"/>
  <c r="AJ42" i="32"/>
  <c r="N44" i="32"/>
  <c r="AV44" i="32"/>
  <c r="AB45" i="32"/>
  <c r="V41" i="33"/>
  <c r="BC41" i="33"/>
  <c r="AK42" i="33"/>
  <c r="O44" i="33"/>
  <c r="AS44" i="33"/>
  <c r="X45" i="33"/>
  <c r="L42" i="36"/>
  <c r="BA42" i="36"/>
  <c r="AP44" i="36"/>
  <c r="AE45" i="36"/>
  <c r="AG41" i="38"/>
  <c r="AB42" i="38"/>
  <c r="S45" i="38"/>
  <c r="AA41" i="39"/>
  <c r="AD42" i="39"/>
  <c r="Y45" i="39"/>
  <c r="Z41" i="32"/>
  <c r="H42" i="32"/>
  <c r="AK42" i="32"/>
  <c r="S44" i="32"/>
  <c r="AW44" i="32"/>
  <c r="W41" i="33"/>
  <c r="H42" i="33"/>
  <c r="AM42" i="33"/>
  <c r="P44" i="33"/>
  <c r="AW44" i="33"/>
  <c r="M41" i="34"/>
  <c r="BA41" i="34"/>
  <c r="AN42" i="34"/>
  <c r="V44" i="34"/>
  <c r="J45" i="34"/>
  <c r="AO3" i="36"/>
  <c r="M42" i="36"/>
  <c r="BB42" i="36"/>
  <c r="AS44" i="36"/>
  <c r="AH41" i="38"/>
  <c r="AD42" i="38"/>
  <c r="AH41" i="39"/>
  <c r="AE42" i="39"/>
  <c r="AE48" i="39" s="1"/>
  <c r="AR45" i="31"/>
  <c r="Y42" i="31"/>
  <c r="AX45" i="31"/>
  <c r="BD41" i="31"/>
  <c r="AO3" i="34"/>
  <c r="BE41" i="31"/>
  <c r="BE45" i="38"/>
  <c r="BA45" i="38"/>
  <c r="AI45" i="38"/>
  <c r="Q45" i="38"/>
  <c r="G44" i="38"/>
  <c r="AO42" i="38"/>
  <c r="W42" i="38"/>
  <c r="BA41" i="38"/>
  <c r="AI41" i="38"/>
  <c r="M41" i="38"/>
  <c r="AS45" i="38"/>
  <c r="W45" i="38"/>
  <c r="AY42" i="38"/>
  <c r="AC42" i="38"/>
  <c r="K42" i="38"/>
  <c r="AW45" i="38"/>
  <c r="Y45" i="38"/>
  <c r="AM42" i="38"/>
  <c r="O42" i="38"/>
  <c r="AU41" i="38"/>
  <c r="X41" i="38"/>
  <c r="AV45" i="38"/>
  <c r="X45" i="38"/>
  <c r="F44" i="38"/>
  <c r="AL42" i="38"/>
  <c r="N42" i="38"/>
  <c r="AT41" i="38"/>
  <c r="W41" i="38"/>
  <c r="AL45" i="38"/>
  <c r="K45" i="38"/>
  <c r="AK42" i="38"/>
  <c r="J42" i="38"/>
  <c r="AK41" i="38"/>
  <c r="K41" i="38"/>
  <c r="AK45" i="38"/>
  <c r="J45" i="38"/>
  <c r="AJ42" i="38"/>
  <c r="I42" i="38"/>
  <c r="AJ41" i="38"/>
  <c r="J41" i="38"/>
  <c r="AE45" i="38"/>
  <c r="BA42" i="38"/>
  <c r="BA48" i="38" s="1"/>
  <c r="BA51" i="38" s="1"/>
  <c r="Z42" i="38"/>
  <c r="AY41" i="38"/>
  <c r="Z41" i="38"/>
  <c r="AZ45" i="38"/>
  <c r="AD45" i="38"/>
  <c r="AZ42" i="38"/>
  <c r="Y42" i="38"/>
  <c r="AX41" i="38"/>
  <c r="Y41" i="38"/>
  <c r="AH45" i="38"/>
  <c r="AA42" i="38"/>
  <c r="AN41" i="38"/>
  <c r="H41" i="38"/>
  <c r="AG45" i="38"/>
  <c r="BE42" i="38"/>
  <c r="X42" i="38"/>
  <c r="AM41" i="38"/>
  <c r="G41" i="38"/>
  <c r="AX45" i="38"/>
  <c r="P45" i="38"/>
  <c r="AQ42" i="38"/>
  <c r="BC41" i="38"/>
  <c r="U41" i="38"/>
  <c r="F41" i="38"/>
  <c r="AW41" i="38"/>
  <c r="AR42" i="38"/>
  <c r="AJ45" i="38"/>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BB41" i="33"/>
  <c r="AJ41" i="33"/>
  <c r="R41" i="33"/>
  <c r="AV45" i="33"/>
  <c r="AD45" i="33"/>
  <c r="H45" i="33"/>
  <c r="AP44" i="33"/>
  <c r="T44" i="33"/>
  <c r="BB42" i="33"/>
  <c r="AJ42" i="33"/>
  <c r="N42" i="33"/>
  <c r="AV41" i="33"/>
  <c r="Z41" i="33"/>
  <c r="H41" i="33"/>
  <c r="Y45" i="33"/>
  <c r="AU45" i="33"/>
  <c r="G45" i="33"/>
  <c r="AO44" i="33"/>
  <c r="S44" i="33"/>
  <c r="BA42" i="33"/>
  <c r="AE42" i="33"/>
  <c r="AE48" i="33" s="1"/>
  <c r="M42" i="33"/>
  <c r="AU41" i="33"/>
  <c r="Y41" i="33"/>
  <c r="G41" i="33"/>
  <c r="AT45" i="33"/>
  <c r="U45" i="33"/>
  <c r="AU44" i="33"/>
  <c r="Z44" i="33"/>
  <c r="AY42" i="33"/>
  <c r="Z42" i="33"/>
  <c r="AZ41" i="33"/>
  <c r="AA41" i="33"/>
  <c r="AS45" i="33"/>
  <c r="T45" i="33"/>
  <c r="AT44" i="33"/>
  <c r="U44" i="33"/>
  <c r="AX42" i="33"/>
  <c r="Y42" i="33"/>
  <c r="AY41" i="33"/>
  <c r="X41" i="33"/>
  <c r="AG45" i="33"/>
  <c r="F45" i="33"/>
  <c r="AG44" i="33"/>
  <c r="G44" i="33"/>
  <c r="AL42" i="33"/>
  <c r="K42" i="33"/>
  <c r="AL41" i="33"/>
  <c r="L41" i="33"/>
  <c r="F41" i="33"/>
  <c r="AK41" i="33"/>
  <c r="P42" i="33"/>
  <c r="AS42" i="33"/>
  <c r="AC44" i="33"/>
  <c r="I45" i="33"/>
  <c r="AL45" i="33"/>
  <c r="I41" i="38"/>
  <c r="AZ41" i="38"/>
  <c r="AS42" i="38"/>
  <c r="AM45" i="38"/>
  <c r="Z42" i="31"/>
  <c r="H41" i="32"/>
  <c r="AM41" i="32"/>
  <c r="W42" i="32"/>
  <c r="AZ42" i="32"/>
  <c r="AF44" i="32"/>
  <c r="I45" i="32"/>
  <c r="AS45" i="32"/>
  <c r="I41" i="33"/>
  <c r="AM41" i="33"/>
  <c r="Q42" i="33"/>
  <c r="AZ42" i="33"/>
  <c r="AE44" i="33"/>
  <c r="J45" i="33"/>
  <c r="AM45" i="33"/>
  <c r="BE45" i="36"/>
  <c r="AR45" i="36"/>
  <c r="V45" i="36"/>
  <c r="BD44" i="36"/>
  <c r="AH44" i="36"/>
  <c r="P44" i="36"/>
  <c r="AX42" i="36"/>
  <c r="AB42" i="36"/>
  <c r="J42" i="36"/>
  <c r="AW45" i="36"/>
  <c r="AD45" i="36"/>
  <c r="G45" i="36"/>
  <c r="AN44" i="36"/>
  <c r="Q44" i="36"/>
  <c r="AS42" i="36"/>
  <c r="Z42" i="36"/>
  <c r="AJ45" i="36"/>
  <c r="P45" i="36"/>
  <c r="AR44" i="36"/>
  <c r="T44" i="36"/>
  <c r="AZ42" i="36"/>
  <c r="AA42" i="36"/>
  <c r="AI45" i="36"/>
  <c r="K45" i="36"/>
  <c r="AQ44" i="36"/>
  <c r="S44" i="36"/>
  <c r="AY42" i="36"/>
  <c r="Y42" i="36"/>
  <c r="AX45" i="36"/>
  <c r="Y45" i="36"/>
  <c r="BE44" i="36"/>
  <c r="AF44" i="36"/>
  <c r="L44" i="36"/>
  <c r="AN42" i="36"/>
  <c r="P42" i="36"/>
  <c r="AV45" i="36"/>
  <c r="X45" i="36"/>
  <c r="BC44" i="36"/>
  <c r="AE44" i="36"/>
  <c r="G44" i="36"/>
  <c r="AM42" i="36"/>
  <c r="O42" i="36"/>
  <c r="AY45" i="36"/>
  <c r="S45" i="36"/>
  <c r="AO44" i="36"/>
  <c r="BE42" i="36"/>
  <c r="AC42" i="36"/>
  <c r="AU45" i="36"/>
  <c r="R45" i="36"/>
  <c r="AI44" i="36"/>
  <c r="BD42" i="36"/>
  <c r="X42" i="36"/>
  <c r="AG45" i="36"/>
  <c r="AW44" i="36"/>
  <c r="U44" i="36"/>
  <c r="AO42" i="36"/>
  <c r="K42" i="36"/>
  <c r="F41" i="36"/>
  <c r="AE42" i="36"/>
  <c r="R44" i="36"/>
  <c r="H45" i="36"/>
  <c r="AT45" i="36"/>
  <c r="L41" i="38"/>
  <c r="BB41" i="38"/>
  <c r="AX42" i="38"/>
  <c r="AR45" i="38"/>
  <c r="J41" i="32"/>
  <c r="AN41" i="32"/>
  <c r="X42" i="32"/>
  <c r="BA42" i="32"/>
  <c r="AG44" i="32"/>
  <c r="J45" i="32"/>
  <c r="AT45" i="32"/>
  <c r="J41" i="33"/>
  <c r="AN41" i="33"/>
  <c r="V42" i="33"/>
  <c r="V48" i="33" s="1"/>
  <c r="BC42" i="33"/>
  <c r="AF44" i="33"/>
  <c r="K45" i="33"/>
  <c r="AR45" i="33"/>
  <c r="G41" i="36"/>
  <c r="AJ42" i="36"/>
  <c r="Z44" i="36"/>
  <c r="I45" i="36"/>
  <c r="AZ45" i="36"/>
  <c r="R41" i="38"/>
  <c r="H42" i="38"/>
  <c r="BB42" i="38"/>
  <c r="AT45" i="38"/>
  <c r="BE45" i="39"/>
  <c r="AM45" i="39"/>
  <c r="U45" i="39"/>
  <c r="AS42" i="39"/>
  <c r="AA42" i="39"/>
  <c r="I42" i="39"/>
  <c r="AM41" i="39"/>
  <c r="U41" i="39"/>
  <c r="AL45" i="39"/>
  <c r="S45" i="39"/>
  <c r="F44" i="39"/>
  <c r="AM42" i="39"/>
  <c r="P42" i="39"/>
  <c r="AW41" i="39"/>
  <c r="Z41" i="39"/>
  <c r="G41" i="39"/>
  <c r="AW45" i="39"/>
  <c r="AD45" i="39"/>
  <c r="G45" i="39"/>
  <c r="AX42" i="39"/>
  <c r="Z42" i="39"/>
  <c r="BC41" i="39"/>
  <c r="AJ41" i="39"/>
  <c r="M41" i="39"/>
  <c r="AS45" i="39"/>
  <c r="R45" i="39"/>
  <c r="AY42" i="39"/>
  <c r="X42" i="39"/>
  <c r="AY41" i="39"/>
  <c r="Y41" i="39"/>
  <c r="AR45" i="39"/>
  <c r="Q45" i="39"/>
  <c r="AR42" i="39"/>
  <c r="W42" i="39"/>
  <c r="AX41" i="39"/>
  <c r="X41" i="39"/>
  <c r="AI45" i="39"/>
  <c r="H45" i="39"/>
  <c r="BC42" i="39"/>
  <c r="AB42" i="39"/>
  <c r="AV41" i="39"/>
  <c r="T41" i="39"/>
  <c r="AH45" i="39"/>
  <c r="F45" i="39"/>
  <c r="BB42" i="39"/>
  <c r="Y42" i="39"/>
  <c r="AU41" i="39"/>
  <c r="S41" i="39"/>
  <c r="AZ45" i="39"/>
  <c r="X45" i="39"/>
  <c r="AO42" i="39"/>
  <c r="M42" i="39"/>
  <c r="AK41" i="39"/>
  <c r="I41" i="39"/>
  <c r="AY45" i="39"/>
  <c r="W45" i="39"/>
  <c r="AN42" i="39"/>
  <c r="L42" i="39"/>
  <c r="AI41" i="39"/>
  <c r="H41" i="39"/>
  <c r="AJ45" i="39"/>
  <c r="G44" i="39"/>
  <c r="Q42" i="39"/>
  <c r="AG41" i="39"/>
  <c r="AG45" i="39"/>
  <c r="BE42" i="39"/>
  <c r="O42" i="39"/>
  <c r="AF41" i="39"/>
  <c r="AF45" i="39"/>
  <c r="BA45" i="39"/>
  <c r="K45" i="39"/>
  <c r="AK42" i="39"/>
  <c r="AZ41" i="39"/>
  <c r="J41" i="39"/>
  <c r="F41" i="39"/>
  <c r="H42" i="39"/>
  <c r="BD42" i="39"/>
  <c r="K41" i="32"/>
  <c r="AR41" i="32"/>
  <c r="Y42" i="32"/>
  <c r="BD42" i="32"/>
  <c r="AH44" i="32"/>
  <c r="R45" i="32"/>
  <c r="AU45" i="32"/>
  <c r="L8" i="9"/>
  <c r="K41" i="33"/>
  <c r="AO41" i="33"/>
  <c r="W42" i="33"/>
  <c r="W48" i="33" s="1"/>
  <c r="BD42" i="33"/>
  <c r="AH44" i="33"/>
  <c r="P45" i="33"/>
  <c r="AW45" i="33"/>
  <c r="H41" i="36"/>
  <c r="AK42" i="36"/>
  <c r="AA44" i="36"/>
  <c r="J45" i="36"/>
  <c r="BA45" i="36"/>
  <c r="S41" i="38"/>
  <c r="L42" i="38"/>
  <c r="BC42" i="38"/>
  <c r="F45" i="38"/>
  <c r="AU45" i="38"/>
  <c r="K41" i="39"/>
  <c r="J42" i="39"/>
  <c r="I45" i="39"/>
  <c r="O9" i="9"/>
  <c r="O7" i="9"/>
  <c r="P41" i="32"/>
  <c r="AV41" i="32"/>
  <c r="Z42" i="32"/>
  <c r="BE42" i="32"/>
  <c r="AL44" i="32"/>
  <c r="S45" i="32"/>
  <c r="AV45" i="32"/>
  <c r="M41" i="33"/>
  <c r="AT41" i="33"/>
  <c r="AA42" i="33"/>
  <c r="BE42" i="33"/>
  <c r="AI44" i="33"/>
  <c r="Q45" i="33"/>
  <c r="AX45" i="33"/>
  <c r="AI45" i="34"/>
  <c r="AH45" i="34"/>
  <c r="L45" i="34"/>
  <c r="AN44" i="34"/>
  <c r="R44" i="34"/>
  <c r="AX42" i="34"/>
  <c r="X42" i="34"/>
  <c r="BB41" i="34"/>
  <c r="AB41" i="34"/>
  <c r="H41" i="34"/>
  <c r="AW45" i="34"/>
  <c r="Z45" i="34"/>
  <c r="BB44" i="34"/>
  <c r="AF44" i="34"/>
  <c r="F44" i="34"/>
  <c r="AL42" i="34"/>
  <c r="P42" i="34"/>
  <c r="AP41" i="34"/>
  <c r="V41" i="34"/>
  <c r="AV45" i="34"/>
  <c r="U45" i="34"/>
  <c r="AY44" i="34"/>
  <c r="AE44" i="34"/>
  <c r="BE42" i="34"/>
  <c r="AK42" i="34"/>
  <c r="K42" i="34"/>
  <c r="AO41" i="34"/>
  <c r="U41" i="34"/>
  <c r="AU45" i="34"/>
  <c r="Q45" i="34"/>
  <c r="AK44" i="34"/>
  <c r="N44" i="34"/>
  <c r="AG42" i="34"/>
  <c r="BD41" i="34"/>
  <c r="Z41" i="34"/>
  <c r="AT45" i="34"/>
  <c r="P45" i="34"/>
  <c r="AJ44" i="34"/>
  <c r="G44" i="34"/>
  <c r="AF42" i="34"/>
  <c r="BC41" i="34"/>
  <c r="Y41" i="34"/>
  <c r="AE45" i="34"/>
  <c r="AX44" i="34"/>
  <c r="U44" i="34"/>
  <c r="AQ42" i="34"/>
  <c r="R42" i="34"/>
  <c r="AM41" i="34"/>
  <c r="J41" i="34"/>
  <c r="F41" i="34"/>
  <c r="AN41" i="34"/>
  <c r="Y42" i="34"/>
  <c r="O44" i="34"/>
  <c r="AV44" i="34"/>
  <c r="AG45" i="34"/>
  <c r="I41" i="36"/>
  <c r="AL42" i="36"/>
  <c r="AB44" i="36"/>
  <c r="Q45" i="36"/>
  <c r="T41" i="38"/>
  <c r="M42" i="38"/>
  <c r="BD42" i="38"/>
  <c r="G45" i="38"/>
  <c r="AY45" i="38"/>
  <c r="L41" i="39"/>
  <c r="K42" i="39"/>
  <c r="J45" i="39"/>
  <c r="R41" i="32"/>
  <c r="AW41" i="32"/>
  <c r="AB42" i="32"/>
  <c r="J44" i="32"/>
  <c r="AN44" i="32"/>
  <c r="T45" i="32"/>
  <c r="AY45" i="32"/>
  <c r="S41" i="33"/>
  <c r="AW41" i="33"/>
  <c r="AB42" i="33"/>
  <c r="F44" i="33"/>
  <c r="AN44" i="33"/>
  <c r="S45" i="33"/>
  <c r="AY45" i="33"/>
  <c r="G41" i="34"/>
  <c r="AQ41" i="34"/>
  <c r="Z42" i="34"/>
  <c r="P44" i="34"/>
  <c r="AW44" i="34"/>
  <c r="AJ45" i="34"/>
  <c r="AP42" i="36"/>
  <c r="AC44" i="36"/>
  <c r="T45" i="36"/>
  <c r="O13" i="9"/>
  <c r="V41" i="38"/>
  <c r="P42" i="38"/>
  <c r="H45" i="38"/>
  <c r="R41" i="39"/>
  <c r="N42" i="39"/>
  <c r="P45" i="39"/>
  <c r="AO3" i="38"/>
  <c r="K11" i="9"/>
  <c r="AO3" i="32"/>
  <c r="L6" i="9"/>
  <c r="D6" i="9"/>
  <c r="K12" i="9"/>
  <c r="D12" i="9"/>
  <c r="BE45" i="35"/>
  <c r="AY45" i="35"/>
  <c r="AH45" i="35"/>
  <c r="Q45" i="35"/>
  <c r="AW44" i="35"/>
  <c r="AF44" i="35"/>
  <c r="O44" i="35"/>
  <c r="AX42" i="35"/>
  <c r="AD42" i="35"/>
  <c r="AS45" i="35"/>
  <c r="X45" i="35"/>
  <c r="F45" i="35"/>
  <c r="AN44" i="35"/>
  <c r="S44" i="35"/>
  <c r="BA42" i="35"/>
  <c r="AH42" i="35"/>
  <c r="N42" i="35"/>
  <c r="N48" i="35" s="1"/>
  <c r="F41" i="35"/>
  <c r="K42" i="35"/>
  <c r="AC42" i="35"/>
  <c r="AZ42" i="35"/>
  <c r="T44" i="35"/>
  <c r="AP44" i="35"/>
  <c r="I45" i="35"/>
  <c r="AE45" i="35"/>
  <c r="AX45" i="35"/>
  <c r="AO3" i="33"/>
  <c r="T42" i="35"/>
  <c r="AN42" i="35"/>
  <c r="G44" i="35"/>
  <c r="AC44" i="35"/>
  <c r="AV44" i="35"/>
  <c r="S45" i="35"/>
  <c r="AL45" i="35"/>
  <c r="C14" i="9"/>
  <c r="D14" i="9"/>
  <c r="AN45" i="13"/>
  <c r="AJ41" i="13"/>
  <c r="C5" i="9"/>
  <c r="J5" i="9"/>
  <c r="K5" i="9"/>
  <c r="G50" i="34"/>
  <c r="I5" i="9"/>
  <c r="BC41" i="13"/>
  <c r="D5" i="9"/>
  <c r="E5" i="9"/>
  <c r="I14" i="9"/>
  <c r="J14" i="9"/>
  <c r="K14" i="9"/>
  <c r="L14" i="9"/>
  <c r="I13" i="9"/>
  <c r="J13" i="9"/>
  <c r="K13" i="9"/>
  <c r="L13" i="9"/>
  <c r="E12" i="9"/>
  <c r="C12" i="9"/>
  <c r="I12" i="9"/>
  <c r="J12" i="9"/>
  <c r="L12" i="9"/>
  <c r="L11" i="9"/>
  <c r="I11" i="9"/>
  <c r="J11" i="9"/>
  <c r="I10" i="9"/>
  <c r="J10" i="9"/>
  <c r="D10" i="9"/>
  <c r="K10" i="9"/>
  <c r="I9" i="9"/>
  <c r="J9" i="9"/>
  <c r="K9" i="9"/>
  <c r="F50" i="39"/>
  <c r="I24" i="39"/>
  <c r="J24" i="39" s="1"/>
  <c r="K24" i="39" s="1"/>
  <c r="L24" i="39" s="1"/>
  <c r="M24" i="39" s="1"/>
  <c r="G50" i="39"/>
  <c r="F50" i="38"/>
  <c r="N41" i="39"/>
  <c r="AB41" i="39"/>
  <c r="AP41" i="39"/>
  <c r="BD41" i="39"/>
  <c r="R42" i="39"/>
  <c r="AF42" i="39"/>
  <c r="AT42" i="39"/>
  <c r="H44" i="39"/>
  <c r="L45" i="39"/>
  <c r="Z45" i="39"/>
  <c r="AN45" i="39"/>
  <c r="BB45" i="39"/>
  <c r="AO4" i="39"/>
  <c r="H14" i="9" s="1"/>
  <c r="O41" i="39"/>
  <c r="AC41" i="39"/>
  <c r="AQ41" i="39"/>
  <c r="BE41" i="39"/>
  <c r="S42" i="39"/>
  <c r="AG42" i="39"/>
  <c r="AU42" i="39"/>
  <c r="I44" i="39"/>
  <c r="M45" i="39"/>
  <c r="AA45" i="39"/>
  <c r="AO45" i="39"/>
  <c r="BC45" i="39"/>
  <c r="P41" i="39"/>
  <c r="AD41" i="39"/>
  <c r="AR41" i="39"/>
  <c r="F42" i="39"/>
  <c r="T42" i="39"/>
  <c r="AH42" i="39"/>
  <c r="AV42" i="39"/>
  <c r="N45" i="39"/>
  <c r="AB45" i="39"/>
  <c r="AP45" i="39"/>
  <c r="BD45" i="39"/>
  <c r="G50" i="38"/>
  <c r="BC4" i="39"/>
  <c r="AO5" i="39" s="1"/>
  <c r="G14" i="9" s="1"/>
  <c r="Q41" i="39"/>
  <c r="AE41" i="39"/>
  <c r="AS41" i="39"/>
  <c r="G42" i="39"/>
  <c r="U42" i="39"/>
  <c r="AI42" i="39"/>
  <c r="AW42" i="39"/>
  <c r="O45" i="39"/>
  <c r="AC45" i="39"/>
  <c r="AQ45" i="39"/>
  <c r="H24" i="38"/>
  <c r="AO4" i="38"/>
  <c r="H13" i="9" s="1"/>
  <c r="O41" i="38"/>
  <c r="AC41" i="38"/>
  <c r="AQ41" i="38"/>
  <c r="BE41" i="38"/>
  <c r="S42" i="38"/>
  <c r="AG42" i="38"/>
  <c r="AU42" i="38"/>
  <c r="I44" i="38"/>
  <c r="M45" i="38"/>
  <c r="AA45" i="38"/>
  <c r="AO45" i="38"/>
  <c r="BC45" i="38"/>
  <c r="P41" i="38"/>
  <c r="AD41" i="38"/>
  <c r="AR41" i="38"/>
  <c r="F42" i="38"/>
  <c r="T42" i="38"/>
  <c r="T48" i="38" s="1"/>
  <c r="T51" i="38" s="1"/>
  <c r="AH42" i="38"/>
  <c r="AV42" i="38"/>
  <c r="N45" i="38"/>
  <c r="AB45" i="38"/>
  <c r="AP45" i="38"/>
  <c r="BD45" i="38"/>
  <c r="N41" i="38"/>
  <c r="AB41" i="38"/>
  <c r="AP41" i="38"/>
  <c r="BD41" i="38"/>
  <c r="R42" i="38"/>
  <c r="AF42" i="38"/>
  <c r="AT42" i="38"/>
  <c r="H44" i="38"/>
  <c r="L45" i="38"/>
  <c r="Z45" i="38"/>
  <c r="AN45" i="38"/>
  <c r="BB45" i="38"/>
  <c r="BC4" i="38"/>
  <c r="AO5" i="38" s="1"/>
  <c r="G13" i="9" s="1"/>
  <c r="Q41" i="38"/>
  <c r="AE41" i="38"/>
  <c r="AS41" i="38"/>
  <c r="G42" i="38"/>
  <c r="U42" i="38"/>
  <c r="AI42" i="38"/>
  <c r="AW42" i="38"/>
  <c r="O45" i="38"/>
  <c r="AC45" i="38"/>
  <c r="AQ45" i="38"/>
  <c r="G50" i="36"/>
  <c r="H24" i="36"/>
  <c r="R42" i="36"/>
  <c r="AF42" i="36"/>
  <c r="AF48" i="36" s="1"/>
  <c r="AT42" i="36"/>
  <c r="H44" i="36"/>
  <c r="V44" i="36"/>
  <c r="AJ44" i="36"/>
  <c r="AX44" i="36"/>
  <c r="L45" i="36"/>
  <c r="Z45" i="36"/>
  <c r="AN45" i="36"/>
  <c r="BB45" i="36"/>
  <c r="F42" i="36"/>
  <c r="T42" i="36"/>
  <c r="AH42" i="36"/>
  <c r="AV42" i="36"/>
  <c r="J44" i="36"/>
  <c r="X44" i="36"/>
  <c r="AL44" i="36"/>
  <c r="AZ44" i="36"/>
  <c r="N45" i="36"/>
  <c r="AB45" i="36"/>
  <c r="AP45" i="36"/>
  <c r="BD45" i="36"/>
  <c r="AO4" i="36"/>
  <c r="H12" i="9" s="1"/>
  <c r="S42" i="36"/>
  <c r="AG42" i="36"/>
  <c r="AU42" i="36"/>
  <c r="I44" i="36"/>
  <c r="W44" i="36"/>
  <c r="AK44" i="36"/>
  <c r="AY44" i="36"/>
  <c r="M45" i="36"/>
  <c r="AA45" i="36"/>
  <c r="AO45" i="36"/>
  <c r="BC45" i="36"/>
  <c r="BC4" i="36"/>
  <c r="AO5" i="36" s="1"/>
  <c r="G12" i="9" s="1"/>
  <c r="G42" i="36"/>
  <c r="U42" i="36"/>
  <c r="AI42" i="36"/>
  <c r="AW42" i="36"/>
  <c r="K44" i="36"/>
  <c r="Y44" i="36"/>
  <c r="AM44" i="36"/>
  <c r="BA44" i="36"/>
  <c r="O45" i="36"/>
  <c r="AC45" i="36"/>
  <c r="AQ45" i="36"/>
  <c r="F50" i="35"/>
  <c r="G50" i="35"/>
  <c r="H50" i="35"/>
  <c r="I24" i="35"/>
  <c r="J24" i="35" s="1"/>
  <c r="K24" i="35" s="1"/>
  <c r="R42" i="35"/>
  <c r="AF42" i="35"/>
  <c r="AT42" i="35"/>
  <c r="H44" i="35"/>
  <c r="V44" i="35"/>
  <c r="AJ44" i="35"/>
  <c r="AX44" i="35"/>
  <c r="L45" i="35"/>
  <c r="Z45" i="35"/>
  <c r="AN45" i="35"/>
  <c r="BB45" i="35"/>
  <c r="AO4" i="35"/>
  <c r="H11" i="9" s="1"/>
  <c r="S42" i="35"/>
  <c r="AG42" i="35"/>
  <c r="AU42" i="35"/>
  <c r="I44" i="35"/>
  <c r="W44" i="35"/>
  <c r="AK44" i="35"/>
  <c r="AY44" i="35"/>
  <c r="M45" i="35"/>
  <c r="AA45" i="35"/>
  <c r="AO45" i="35"/>
  <c r="BC45" i="35"/>
  <c r="BC4" i="35"/>
  <c r="AO5" i="35" s="1"/>
  <c r="G11" i="9" s="1"/>
  <c r="G42" i="35"/>
  <c r="U42" i="35"/>
  <c r="AI42" i="35"/>
  <c r="AW42" i="35"/>
  <c r="K44" i="35"/>
  <c r="Y44" i="35"/>
  <c r="AM44" i="35"/>
  <c r="BA44" i="35"/>
  <c r="O45" i="35"/>
  <c r="AC45" i="35"/>
  <c r="AQ45" i="35"/>
  <c r="F50" i="34"/>
  <c r="N24" i="34"/>
  <c r="BE45" i="34"/>
  <c r="AQ45" i="34"/>
  <c r="AC45" i="34"/>
  <c r="O45" i="34"/>
  <c r="BA44" i="34"/>
  <c r="AM44" i="34"/>
  <c r="Y44" i="34"/>
  <c r="K44" i="34"/>
  <c r="AW42" i="34"/>
  <c r="AI42" i="34"/>
  <c r="U42" i="34"/>
  <c r="G42" i="34"/>
  <c r="AS41" i="34"/>
  <c r="AE41" i="34"/>
  <c r="Q41" i="34"/>
  <c r="BD45" i="34"/>
  <c r="AP45" i="34"/>
  <c r="AB45" i="34"/>
  <c r="N45" i="34"/>
  <c r="AZ44" i="34"/>
  <c r="AL44" i="34"/>
  <c r="X44" i="34"/>
  <c r="J44" i="34"/>
  <c r="AV42" i="34"/>
  <c r="AH42" i="34"/>
  <c r="T42" i="34"/>
  <c r="F42" i="34"/>
  <c r="AR41" i="34"/>
  <c r="AD41" i="34"/>
  <c r="P41" i="34"/>
  <c r="N41" i="34"/>
  <c r="AF41" i="34"/>
  <c r="AV41" i="34"/>
  <c r="L42" i="34"/>
  <c r="AB42" i="34"/>
  <c r="AR42" i="34"/>
  <c r="H44" i="34"/>
  <c r="Z44" i="34"/>
  <c r="AP44" i="34"/>
  <c r="F45" i="34"/>
  <c r="V45" i="34"/>
  <c r="AL45" i="34"/>
  <c r="BB45" i="34"/>
  <c r="O41" i="34"/>
  <c r="AG41" i="34"/>
  <c r="AG47" i="34" s="1"/>
  <c r="AW41" i="34"/>
  <c r="M42" i="34"/>
  <c r="AC42" i="34"/>
  <c r="AS42" i="34"/>
  <c r="I44" i="34"/>
  <c r="AA44" i="34"/>
  <c r="AQ44" i="34"/>
  <c r="G45" i="34"/>
  <c r="W45" i="34"/>
  <c r="AM45" i="34"/>
  <c r="BC45" i="34"/>
  <c r="L50" i="34"/>
  <c r="BC4" i="34"/>
  <c r="AO5" i="34" s="1"/>
  <c r="G10" i="9" s="1"/>
  <c r="R41" i="34"/>
  <c r="AH41" i="34"/>
  <c r="AX41" i="34"/>
  <c r="N42" i="34"/>
  <c r="AD42" i="34"/>
  <c r="AT42" i="34"/>
  <c r="L44" i="34"/>
  <c r="AB44" i="34"/>
  <c r="AR44" i="34"/>
  <c r="H45" i="34"/>
  <c r="X45" i="34"/>
  <c r="AN45" i="34"/>
  <c r="AO4" i="34"/>
  <c r="H10" i="9" s="1"/>
  <c r="S41" i="34"/>
  <c r="AI41" i="34"/>
  <c r="AY41" i="34"/>
  <c r="O42" i="34"/>
  <c r="AE42" i="34"/>
  <c r="AU42" i="34"/>
  <c r="M44" i="34"/>
  <c r="AC44" i="34"/>
  <c r="AS44" i="34"/>
  <c r="I45" i="34"/>
  <c r="Y45" i="34"/>
  <c r="AO45" i="34"/>
  <c r="G50" i="33"/>
  <c r="I24" i="33"/>
  <c r="J24" i="33" s="1"/>
  <c r="K24" i="33" s="1"/>
  <c r="L24" i="33" s="1"/>
  <c r="M24" i="33" s="1"/>
  <c r="AO4" i="33"/>
  <c r="H9" i="9" s="1"/>
  <c r="AC41" i="33"/>
  <c r="BE41" i="33"/>
  <c r="AG42" i="33"/>
  <c r="AU42" i="33"/>
  <c r="W44" i="33"/>
  <c r="AK44" i="33"/>
  <c r="AY44" i="33"/>
  <c r="AA45" i="33"/>
  <c r="AO45" i="33"/>
  <c r="BC45" i="33"/>
  <c r="P41" i="33"/>
  <c r="AD41" i="33"/>
  <c r="AR41" i="33"/>
  <c r="F42" i="33"/>
  <c r="T42" i="33"/>
  <c r="AH42" i="33"/>
  <c r="AV42" i="33"/>
  <c r="J44" i="33"/>
  <c r="X44" i="33"/>
  <c r="AL44" i="33"/>
  <c r="AZ44" i="33"/>
  <c r="N45" i="33"/>
  <c r="AB45" i="33"/>
  <c r="AP45" i="33"/>
  <c r="BD45" i="33"/>
  <c r="N41" i="33"/>
  <c r="AB41" i="33"/>
  <c r="AP41" i="33"/>
  <c r="BD41" i="33"/>
  <c r="R42" i="33"/>
  <c r="AF42" i="33"/>
  <c r="AT42" i="33"/>
  <c r="H44" i="33"/>
  <c r="V44" i="33"/>
  <c r="AJ44" i="33"/>
  <c r="AX44" i="33"/>
  <c r="L45" i="33"/>
  <c r="Z45" i="33"/>
  <c r="AN45" i="33"/>
  <c r="BB45" i="33"/>
  <c r="O41" i="33"/>
  <c r="AQ41" i="33"/>
  <c r="S42" i="33"/>
  <c r="I44" i="33"/>
  <c r="M45" i="33"/>
  <c r="BC4" i="33"/>
  <c r="AO5" i="33" s="1"/>
  <c r="G9" i="9" s="1"/>
  <c r="Q41" i="33"/>
  <c r="AE41" i="33"/>
  <c r="AS41" i="33"/>
  <c r="G42" i="33"/>
  <c r="U42" i="33"/>
  <c r="U48" i="33" s="1"/>
  <c r="AI42" i="33"/>
  <c r="AW42" i="33"/>
  <c r="K44" i="33"/>
  <c r="Y44" i="33"/>
  <c r="AM44" i="33"/>
  <c r="BA44" i="33"/>
  <c r="O45" i="33"/>
  <c r="AC45" i="33"/>
  <c r="AQ45" i="33"/>
  <c r="C9" i="9"/>
  <c r="C8" i="9"/>
  <c r="I8" i="9"/>
  <c r="J8" i="9"/>
  <c r="K8" i="9"/>
  <c r="I7" i="9"/>
  <c r="K7" i="9"/>
  <c r="L7" i="9"/>
  <c r="C7" i="9"/>
  <c r="I6" i="9"/>
  <c r="J6" i="9"/>
  <c r="K6" i="9"/>
  <c r="C10" i="9"/>
  <c r="E9" i="9"/>
  <c r="E11" i="9"/>
  <c r="C11" i="9"/>
  <c r="E10" i="9"/>
  <c r="E8" i="9"/>
  <c r="E14" i="9"/>
  <c r="E7" i="9"/>
  <c r="E13" i="9"/>
  <c r="E6"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H8" i="9" s="1"/>
  <c r="O41" i="32"/>
  <c r="AC41" i="32"/>
  <c r="AQ41" i="32"/>
  <c r="BE41" i="32"/>
  <c r="S42" i="32"/>
  <c r="AG42" i="32"/>
  <c r="AU42" i="32"/>
  <c r="I44" i="32"/>
  <c r="W44" i="32"/>
  <c r="AK44" i="32"/>
  <c r="AY44" i="32"/>
  <c r="M45" i="32"/>
  <c r="AA45" i="32"/>
  <c r="AO45" i="32"/>
  <c r="BC45" i="32"/>
  <c r="J50" i="32"/>
  <c r="BC4" i="32"/>
  <c r="AO5" i="32" s="1"/>
  <c r="G8" i="9" s="1"/>
  <c r="Q41" i="32"/>
  <c r="AE41" i="32"/>
  <c r="AS41" i="32"/>
  <c r="G42" i="32"/>
  <c r="U42" i="32"/>
  <c r="AI42" i="32"/>
  <c r="AW42" i="32"/>
  <c r="K44" i="32"/>
  <c r="Y44" i="32"/>
  <c r="AM44" i="32"/>
  <c r="BA44" i="32"/>
  <c r="O45" i="32"/>
  <c r="AC45" i="32"/>
  <c r="AQ45" i="32"/>
  <c r="L50" i="32"/>
  <c r="R24" i="31"/>
  <c r="I41" i="31"/>
  <c r="AA42" i="31"/>
  <c r="W41" i="31"/>
  <c r="AB42" i="31"/>
  <c r="AC41" i="31"/>
  <c r="AU42" i="31"/>
  <c r="S45" i="31"/>
  <c r="AF41" i="31"/>
  <c r="AX42" i="31"/>
  <c r="T45" i="31"/>
  <c r="AG41" i="31"/>
  <c r="AY42" i="31"/>
  <c r="U45" i="31"/>
  <c r="AH41" i="31"/>
  <c r="BC42" i="31"/>
  <c r="V45" i="31"/>
  <c r="AY41" i="31"/>
  <c r="BD42" i="31"/>
  <c r="BE45" i="31"/>
  <c r="AQ45" i="31"/>
  <c r="AC45" i="31"/>
  <c r="O45" i="31"/>
  <c r="AW42" i="31"/>
  <c r="AI42" i="31"/>
  <c r="U42" i="31"/>
  <c r="G42" i="31"/>
  <c r="AS41" i="31"/>
  <c r="AE41" i="31"/>
  <c r="Q41" i="31"/>
  <c r="BD45" i="31"/>
  <c r="AP45" i="31"/>
  <c r="AB45" i="31"/>
  <c r="N45" i="31"/>
  <c r="AV42" i="31"/>
  <c r="AH42" i="31"/>
  <c r="T42" i="31"/>
  <c r="F42" i="31"/>
  <c r="AR41" i="31"/>
  <c r="AD41" i="31"/>
  <c r="P41" i="31"/>
  <c r="AZ45" i="31"/>
  <c r="AL45" i="31"/>
  <c r="X45" i="31"/>
  <c r="J45" i="31"/>
  <c r="F44" i="31"/>
  <c r="AR42" i="31"/>
  <c r="AD42" i="31"/>
  <c r="P42" i="31"/>
  <c r="BB41" i="31"/>
  <c r="AN41" i="31"/>
  <c r="Z41" i="31"/>
  <c r="L41" i="31"/>
  <c r="AY45" i="31"/>
  <c r="AK45" i="31"/>
  <c r="W45" i="31"/>
  <c r="I45" i="31"/>
  <c r="BE42" i="31"/>
  <c r="AQ42" i="31"/>
  <c r="AC42" i="31"/>
  <c r="O42" i="31"/>
  <c r="BA41" i="31"/>
  <c r="AM41" i="31"/>
  <c r="Y41" i="31"/>
  <c r="K41" i="31"/>
  <c r="AV45" i="31"/>
  <c r="AD45" i="31"/>
  <c r="H45" i="31"/>
  <c r="BB42" i="31"/>
  <c r="AJ42" i="31"/>
  <c r="N42" i="31"/>
  <c r="AV41" i="31"/>
  <c r="AB41" i="31"/>
  <c r="H41" i="31"/>
  <c r="AU45" i="31"/>
  <c r="AA45" i="31"/>
  <c r="G45" i="31"/>
  <c r="BA42" i="31"/>
  <c r="AG42" i="31"/>
  <c r="M42" i="31"/>
  <c r="AU41" i="31"/>
  <c r="AA41" i="31"/>
  <c r="G41" i="31"/>
  <c r="AT45" i="31"/>
  <c r="Z45" i="31"/>
  <c r="F45" i="31"/>
  <c r="AZ42" i="31"/>
  <c r="AF42" i="31"/>
  <c r="L42" i="31"/>
  <c r="AT41" i="31"/>
  <c r="X41" i="31"/>
  <c r="F41" i="31"/>
  <c r="AO45" i="31"/>
  <c r="R45" i="31"/>
  <c r="AT42" i="31"/>
  <c r="W42" i="31"/>
  <c r="AX41" i="31"/>
  <c r="V41" i="31"/>
  <c r="AN45" i="31"/>
  <c r="Q45" i="31"/>
  <c r="AS42" i="31"/>
  <c r="V42" i="31"/>
  <c r="AW41" i="31"/>
  <c r="U41" i="31"/>
  <c r="AM45" i="31"/>
  <c r="P45" i="31"/>
  <c r="AP42" i="31"/>
  <c r="S42" i="31"/>
  <c r="AQ41" i="31"/>
  <c r="T41" i="31"/>
  <c r="AJ45" i="31"/>
  <c r="M45" i="31"/>
  <c r="AO42" i="31"/>
  <c r="AO48" i="31" s="1"/>
  <c r="R42" i="31"/>
  <c r="AP41" i="31"/>
  <c r="S41" i="31"/>
  <c r="AI45" i="31"/>
  <c r="L45" i="31"/>
  <c r="AN42" i="31"/>
  <c r="AN48" i="31" s="1"/>
  <c r="Q42" i="31"/>
  <c r="Q48" i="31" s="1"/>
  <c r="AO41" i="31"/>
  <c r="R41" i="31"/>
  <c r="AG45" i="31"/>
  <c r="I44" i="31"/>
  <c r="AL42" i="31"/>
  <c r="J42" i="31"/>
  <c r="AK41" i="31"/>
  <c r="N41" i="31"/>
  <c r="BC45" i="31"/>
  <c r="AF45" i="31"/>
  <c r="H44" i="31"/>
  <c r="AK42" i="31"/>
  <c r="I42" i="31"/>
  <c r="AJ41" i="31"/>
  <c r="M41" i="31"/>
  <c r="BB45" i="31"/>
  <c r="AE45" i="31"/>
  <c r="G44" i="31"/>
  <c r="AE42" i="31"/>
  <c r="H42" i="31"/>
  <c r="AI41" i="31"/>
  <c r="BA45" i="31"/>
  <c r="Y45" i="31"/>
  <c r="J41" i="31"/>
  <c r="AH45" i="31"/>
  <c r="K45" i="31"/>
  <c r="AM42" i="31"/>
  <c r="K42" i="31"/>
  <c r="AL41" i="31"/>
  <c r="O41" i="31"/>
  <c r="AZ41" i="31"/>
  <c r="AS45" i="31"/>
  <c r="BC41" i="31"/>
  <c r="AW45" i="31"/>
  <c r="BC4" i="31"/>
  <c r="AO5" i="31" s="1"/>
  <c r="G7" i="9" s="1"/>
  <c r="AO4" i="31"/>
  <c r="H7" i="9" s="1"/>
  <c r="BC4" i="30"/>
  <c r="AO5" i="30" s="1"/>
  <c r="G6" i="9" s="1"/>
  <c r="H24" i="30"/>
  <c r="I24" i="30" s="1"/>
  <c r="J24" i="30" s="1"/>
  <c r="K24" i="30" s="1"/>
  <c r="L24" i="30" s="1"/>
  <c r="N41" i="30"/>
  <c r="AB41" i="30"/>
  <c r="AP41" i="30"/>
  <c r="R42" i="30"/>
  <c r="AF42" i="30"/>
  <c r="AT42" i="30"/>
  <c r="H44" i="30"/>
  <c r="L45" i="30"/>
  <c r="Z45" i="30"/>
  <c r="AN45" i="30"/>
  <c r="BB45" i="30"/>
  <c r="AO4" i="30"/>
  <c r="H6" i="9" s="1"/>
  <c r="O41" i="30"/>
  <c r="AC41" i="30"/>
  <c r="AQ41" i="30"/>
  <c r="BE41" i="30"/>
  <c r="S42" i="30"/>
  <c r="AG42" i="30"/>
  <c r="AU42" i="30"/>
  <c r="I44" i="30"/>
  <c r="M45" i="30"/>
  <c r="AA45" i="30"/>
  <c r="AO45" i="30"/>
  <c r="AO48" i="30" s="1"/>
  <c r="AO51" i="30" s="1"/>
  <c r="BC45" i="30"/>
  <c r="BD41" i="30"/>
  <c r="P41" i="30"/>
  <c r="AD41" i="30"/>
  <c r="AR41" i="30"/>
  <c r="F42" i="30"/>
  <c r="T42" i="30"/>
  <c r="AH42" i="30"/>
  <c r="AV42" i="30"/>
  <c r="N45" i="30"/>
  <c r="AB45" i="30"/>
  <c r="AP45" i="30"/>
  <c r="AH41" i="13"/>
  <c r="BD41" i="13"/>
  <c r="Q45" i="13"/>
  <c r="BE41" i="13"/>
  <c r="R45" i="13"/>
  <c r="H42" i="13"/>
  <c r="U45" i="13"/>
  <c r="K42" i="13"/>
  <c r="V45" i="13"/>
  <c r="AD42" i="13"/>
  <c r="AD45" i="13"/>
  <c r="AL42" i="13"/>
  <c r="AW45" i="13"/>
  <c r="AM42" i="13"/>
  <c r="AX45" i="13"/>
  <c r="AN42" i="13"/>
  <c r="BA45" i="13"/>
  <c r="W41" i="13"/>
  <c r="AQ42" i="13"/>
  <c r="BB45" i="13"/>
  <c r="X41" i="13"/>
  <c r="BC45" i="13"/>
  <c r="N24" i="13"/>
  <c r="AU11" i="13"/>
  <c r="F41" i="13"/>
  <c r="R42" i="13"/>
  <c r="AS42" i="13"/>
  <c r="AF45" i="13"/>
  <c r="BC4" i="13"/>
  <c r="O41" i="13"/>
  <c r="AN41" i="13"/>
  <c r="V42" i="13"/>
  <c r="AU42" i="13"/>
  <c r="AH45" i="13"/>
  <c r="R41" i="13"/>
  <c r="AO41" i="13"/>
  <c r="W42" i="13"/>
  <c r="AX42" i="13"/>
  <c r="J45" i="13"/>
  <c r="AK45" i="13"/>
  <c r="S41" i="13"/>
  <c r="AP41" i="13"/>
  <c r="X42" i="13"/>
  <c r="BD42" i="13"/>
  <c r="K45" i="13"/>
  <c r="AL45" i="13"/>
  <c r="T41" i="13"/>
  <c r="AZ41" i="13"/>
  <c r="AA42" i="13"/>
  <c r="G44" i="13"/>
  <c r="L45" i="13"/>
  <c r="AM45" i="13"/>
  <c r="U41" i="13"/>
  <c r="BA41" i="13"/>
  <c r="AB42" i="13"/>
  <c r="H44" i="13"/>
  <c r="M45" i="13"/>
  <c r="AU12" i="13"/>
  <c r="BE45" i="13"/>
  <c r="AQ45" i="13"/>
  <c r="AC45" i="13"/>
  <c r="O45" i="13"/>
  <c r="AW42" i="13"/>
  <c r="AI42" i="13"/>
  <c r="U42" i="13"/>
  <c r="G42" i="13"/>
  <c r="AS41" i="13"/>
  <c r="AE41" i="13"/>
  <c r="Q41" i="13"/>
  <c r="BD45" i="13"/>
  <c r="AP45" i="13"/>
  <c r="AB45" i="13"/>
  <c r="N45" i="13"/>
  <c r="AV42" i="13"/>
  <c r="AH42" i="13"/>
  <c r="T42" i="13"/>
  <c r="F42" i="13"/>
  <c r="AR41" i="13"/>
  <c r="AD41" i="13"/>
  <c r="P41" i="13"/>
  <c r="AZ45" i="13"/>
  <c r="AJ45" i="13"/>
  <c r="T45" i="13"/>
  <c r="F44" i="13"/>
  <c r="AP42" i="13"/>
  <c r="Z42" i="13"/>
  <c r="J42" i="13"/>
  <c r="AT41" i="13"/>
  <c r="AB41" i="13"/>
  <c r="L41" i="13"/>
  <c r="AY45" i="13"/>
  <c r="AI45" i="13"/>
  <c r="S45" i="13"/>
  <c r="BE42" i="13"/>
  <c r="AO42" i="13"/>
  <c r="Y42" i="13"/>
  <c r="I42" i="13"/>
  <c r="AQ41" i="13"/>
  <c r="AA41" i="13"/>
  <c r="K41" i="13"/>
  <c r="AU45" i="13"/>
  <c r="AA45" i="13"/>
  <c r="I45" i="13"/>
  <c r="BC42" i="13"/>
  <c r="AK42" i="13"/>
  <c r="Q42" i="13"/>
  <c r="AY41" i="13"/>
  <c r="AG41" i="13"/>
  <c r="M41" i="13"/>
  <c r="AT45" i="13"/>
  <c r="Z45" i="13"/>
  <c r="H45" i="13"/>
  <c r="BB42" i="13"/>
  <c r="AJ42" i="13"/>
  <c r="P42" i="13"/>
  <c r="AX41" i="13"/>
  <c r="AF41" i="13"/>
  <c r="J41" i="13"/>
  <c r="AS45" i="13"/>
  <c r="Y45" i="13"/>
  <c r="G45" i="13"/>
  <c r="BA42" i="13"/>
  <c r="AG42" i="13"/>
  <c r="O42" i="13"/>
  <c r="AW41" i="13"/>
  <c r="AC41" i="13"/>
  <c r="I41" i="13"/>
  <c r="AR45" i="13"/>
  <c r="X45" i="13"/>
  <c r="F45" i="13"/>
  <c r="AZ42" i="13"/>
  <c r="AF42" i="13"/>
  <c r="N42" i="13"/>
  <c r="AV41" i="13"/>
  <c r="Z41" i="13"/>
  <c r="H41" i="13"/>
  <c r="AO45" i="13"/>
  <c r="W45" i="13"/>
  <c r="AY42" i="13"/>
  <c r="AE42" i="13"/>
  <c r="M42" i="13"/>
  <c r="AU41" i="13"/>
  <c r="Y41" i="13"/>
  <c r="G41" i="13"/>
  <c r="AK41" i="13"/>
  <c r="L42" i="13"/>
  <c r="AR42" i="13"/>
  <c r="AE45" i="13"/>
  <c r="AL41" i="13"/>
  <c r="N41" i="13"/>
  <c r="AM41" i="13"/>
  <c r="S42" i="13"/>
  <c r="AT42" i="13"/>
  <c r="AG45" i="13"/>
  <c r="V41" i="13"/>
  <c r="BB41" i="13"/>
  <c r="AC42" i="13"/>
  <c r="I44" i="13"/>
  <c r="P45" i="13"/>
  <c r="AV45" i="13"/>
  <c r="J30" i="35" l="1"/>
  <c r="J32" i="35" s="1"/>
  <c r="K32" i="31"/>
  <c r="I32" i="36"/>
  <c r="J30" i="36"/>
  <c r="K25" i="31"/>
  <c r="I27" i="38"/>
  <c r="J25" i="38"/>
  <c r="K27" i="35"/>
  <c r="L25" i="35"/>
  <c r="K37" i="34"/>
  <c r="L35" i="34"/>
  <c r="J35" i="31"/>
  <c r="J44" i="31" s="1"/>
  <c r="I37" i="31"/>
  <c r="J32" i="13"/>
  <c r="K30" i="13"/>
  <c r="AO48" i="33"/>
  <c r="J25" i="36"/>
  <c r="I27" i="36"/>
  <c r="I27" i="34"/>
  <c r="J25" i="34"/>
  <c r="I37" i="39"/>
  <c r="J35" i="39"/>
  <c r="J44" i="39" s="1"/>
  <c r="I37" i="36"/>
  <c r="J35" i="36"/>
  <c r="J41" i="36" s="1"/>
  <c r="J35" i="13"/>
  <c r="J44" i="13" s="1"/>
  <c r="I37" i="13"/>
  <c r="I27" i="30"/>
  <c r="I37" i="35"/>
  <c r="J35" i="35"/>
  <c r="J41" i="35" s="1"/>
  <c r="I32" i="34"/>
  <c r="J30" i="34"/>
  <c r="J35" i="30"/>
  <c r="J44" i="30" s="1"/>
  <c r="I37" i="30"/>
  <c r="L25" i="39"/>
  <c r="K27" i="39"/>
  <c r="I27" i="32"/>
  <c r="I37" i="38"/>
  <c r="J35" i="38"/>
  <c r="J44" i="38" s="1"/>
  <c r="I32" i="32"/>
  <c r="J30" i="32"/>
  <c r="K27" i="31"/>
  <c r="L25" i="31"/>
  <c r="M25" i="31" s="1"/>
  <c r="N25" i="31" s="1"/>
  <c r="K32" i="38"/>
  <c r="L30" i="38"/>
  <c r="I27" i="33"/>
  <c r="J25" i="33"/>
  <c r="K30" i="33"/>
  <c r="J32" i="33"/>
  <c r="AS48" i="35"/>
  <c r="J25" i="13"/>
  <c r="I27" i="13"/>
  <c r="K37" i="33"/>
  <c r="L35" i="33"/>
  <c r="K32" i="39"/>
  <c r="L30" i="39"/>
  <c r="K30" i="30"/>
  <c r="J32" i="30"/>
  <c r="K35" i="32"/>
  <c r="J37" i="32"/>
  <c r="AT48" i="33"/>
  <c r="L32" i="31"/>
  <c r="M30" i="31"/>
  <c r="AF48" i="32"/>
  <c r="AF51" i="32" s="1"/>
  <c r="V48" i="38"/>
  <c r="V51" i="38" s="1"/>
  <c r="Y48" i="31"/>
  <c r="AO48" i="36"/>
  <c r="J48" i="33"/>
  <c r="AN48" i="33"/>
  <c r="AK48" i="30"/>
  <c r="AK51" i="30" s="1"/>
  <c r="K47" i="32"/>
  <c r="K50" i="32" s="1"/>
  <c r="L48" i="32"/>
  <c r="AK48" i="35"/>
  <c r="AS48" i="30"/>
  <c r="AS51" i="30" s="1"/>
  <c r="AP48" i="33"/>
  <c r="V48" i="34"/>
  <c r="H48" i="36"/>
  <c r="H51" i="36" s="1"/>
  <c r="AI47" i="32"/>
  <c r="F48" i="34"/>
  <c r="F51" i="34" s="1"/>
  <c r="AY47" i="33"/>
  <c r="AF48" i="33"/>
  <c r="AG48" i="33"/>
  <c r="AE48" i="32"/>
  <c r="AE51" i="32" s="1"/>
  <c r="AQ48" i="33"/>
  <c r="O48" i="33"/>
  <c r="AQ48" i="39"/>
  <c r="AX48" i="38"/>
  <c r="AX51" i="38" s="1"/>
  <c r="AR48" i="32"/>
  <c r="AR51" i="32" s="1"/>
  <c r="AO47" i="32"/>
  <c r="H48" i="30"/>
  <c r="H51" i="30" s="1"/>
  <c r="BA48" i="34"/>
  <c r="AO48" i="35"/>
  <c r="Z48" i="35"/>
  <c r="AT48" i="39"/>
  <c r="W48" i="32"/>
  <c r="W51" i="32" s="1"/>
  <c r="AJ48" i="38"/>
  <c r="AJ51" i="38" s="1"/>
  <c r="AZ48" i="33"/>
  <c r="AY48" i="39"/>
  <c r="AR48" i="31"/>
  <c r="AX47" i="32"/>
  <c r="F47" i="36"/>
  <c r="F50" i="36" s="1"/>
  <c r="AE48" i="38"/>
  <c r="AE51" i="38" s="1"/>
  <c r="AF47" i="32"/>
  <c r="AK48" i="32"/>
  <c r="AK51" i="32" s="1"/>
  <c r="T47" i="32"/>
  <c r="AT47" i="34"/>
  <c r="T47" i="34"/>
  <c r="Q47" i="34"/>
  <c r="O48" i="35"/>
  <c r="Q48" i="35"/>
  <c r="V48" i="36"/>
  <c r="W48" i="38"/>
  <c r="W51" i="38" s="1"/>
  <c r="W47" i="34"/>
  <c r="H48" i="35"/>
  <c r="H51" i="35" s="1"/>
  <c r="BD47" i="33"/>
  <c r="AQ48" i="32"/>
  <c r="AQ51" i="32" s="1"/>
  <c r="AC48" i="36"/>
  <c r="S48" i="34"/>
  <c r="AS48" i="32"/>
  <c r="AS51" i="32" s="1"/>
  <c r="AS48" i="36"/>
  <c r="BE47" i="33"/>
  <c r="AG48" i="36"/>
  <c r="AF48" i="34"/>
  <c r="K48" i="34"/>
  <c r="AK48" i="39"/>
  <c r="AM48" i="36"/>
  <c r="N48" i="32"/>
  <c r="N51" i="32" s="1"/>
  <c r="M48" i="34"/>
  <c r="I48" i="36"/>
  <c r="I51" i="36" s="1"/>
  <c r="AQ47" i="33"/>
  <c r="AT48" i="36"/>
  <c r="AA48" i="38"/>
  <c r="AA51" i="38" s="1"/>
  <c r="BA48" i="35"/>
  <c r="AK48" i="36"/>
  <c r="H48" i="32"/>
  <c r="H51" i="32" s="1"/>
  <c r="K48" i="38"/>
  <c r="AM47" i="32"/>
  <c r="AY48" i="38"/>
  <c r="AY51" i="38" s="1"/>
  <c r="BA48" i="39"/>
  <c r="AJ48" i="36"/>
  <c r="P48" i="36"/>
  <c r="W48" i="36"/>
  <c r="AU47" i="32"/>
  <c r="AD47" i="34"/>
  <c r="BB47" i="33"/>
  <c r="AI48" i="33"/>
  <c r="AN48" i="34"/>
  <c r="AR48" i="39"/>
  <c r="AH48" i="31"/>
  <c r="AB48" i="33"/>
  <c r="AM48" i="34"/>
  <c r="AF48" i="38"/>
  <c r="AF51" i="38" s="1"/>
  <c r="AV48" i="38"/>
  <c r="AV51" i="38" s="1"/>
  <c r="I48" i="33"/>
  <c r="I51" i="33" s="1"/>
  <c r="W48" i="35"/>
  <c r="Y48" i="34"/>
  <c r="T48" i="34"/>
  <c r="AH48" i="38"/>
  <c r="AH51" i="38" s="1"/>
  <c r="AF47" i="33"/>
  <c r="BC47" i="33"/>
  <c r="V48" i="39"/>
  <c r="L48" i="33"/>
  <c r="AZ48" i="39"/>
  <c r="M47" i="32"/>
  <c r="X48" i="34"/>
  <c r="AJ47" i="33"/>
  <c r="AL48" i="35"/>
  <c r="AX48" i="31"/>
  <c r="AJ48" i="34"/>
  <c r="AV48" i="32"/>
  <c r="AV51" i="32" s="1"/>
  <c r="V48" i="32"/>
  <c r="V51" i="32" s="1"/>
  <c r="J48" i="38"/>
  <c r="J51" i="38" s="1"/>
  <c r="AR48" i="35"/>
  <c r="K48" i="32"/>
  <c r="P48" i="35"/>
  <c r="J48" i="35"/>
  <c r="J51" i="35" s="1"/>
  <c r="AZ48" i="31"/>
  <c r="AL47" i="34"/>
  <c r="Y47" i="34"/>
  <c r="BB48" i="35"/>
  <c r="L48" i="36"/>
  <c r="T48" i="35"/>
  <c r="AD48" i="35"/>
  <c r="R48" i="34"/>
  <c r="AG48" i="34"/>
  <c r="J48" i="39"/>
  <c r="J51" i="39" s="1"/>
  <c r="F47" i="39"/>
  <c r="AZ48" i="34"/>
  <c r="AJ48" i="35"/>
  <c r="AZ48" i="35"/>
  <c r="BC48" i="34"/>
  <c r="AE48" i="36"/>
  <c r="BC48" i="39"/>
  <c r="AA48" i="34"/>
  <c r="L47" i="34"/>
  <c r="BC48" i="35"/>
  <c r="AB48" i="39"/>
  <c r="M47" i="33"/>
  <c r="AG47" i="33"/>
  <c r="AT47" i="32"/>
  <c r="AC48" i="33"/>
  <c r="AV48" i="33"/>
  <c r="K48" i="35"/>
  <c r="K51" i="35" s="1"/>
  <c r="BD47" i="34"/>
  <c r="V48" i="35"/>
  <c r="L48" i="30"/>
  <c r="BA47" i="33"/>
  <c r="S48" i="33"/>
  <c r="AC47" i="33"/>
  <c r="L48" i="34"/>
  <c r="I47" i="36"/>
  <c r="AW48" i="39"/>
  <c r="Q48" i="36"/>
  <c r="BE48" i="39"/>
  <c r="BE48" i="36"/>
  <c r="AM48" i="32"/>
  <c r="AM51" i="32" s="1"/>
  <c r="J47" i="35"/>
  <c r="AA48" i="36"/>
  <c r="Q48" i="33"/>
  <c r="AV48" i="30"/>
  <c r="AV51" i="30" s="1"/>
  <c r="AM47" i="33"/>
  <c r="AV47" i="34"/>
  <c r="Z48" i="34"/>
  <c r="AH47" i="34"/>
  <c r="AL48" i="36"/>
  <c r="Q48" i="34"/>
  <c r="Y48" i="33"/>
  <c r="AK47" i="34"/>
  <c r="Y47" i="32"/>
  <c r="AI47" i="34"/>
  <c r="AP48" i="34"/>
  <c r="AB48" i="38"/>
  <c r="AB51" i="38" s="1"/>
  <c r="AV48" i="39"/>
  <c r="P48" i="38"/>
  <c r="P51" i="38" s="1"/>
  <c r="AL48" i="39"/>
  <c r="AR48" i="36"/>
  <c r="V48" i="30"/>
  <c r="V51" i="30" s="1"/>
  <c r="P48" i="30"/>
  <c r="P51" i="30" s="1"/>
  <c r="AJ47" i="32"/>
  <c r="AJ48" i="30"/>
  <c r="AJ51" i="30" s="1"/>
  <c r="AJ48" i="39"/>
  <c r="AA47" i="33"/>
  <c r="AP48" i="32"/>
  <c r="AP51" i="32" s="1"/>
  <c r="AR48" i="38"/>
  <c r="AR51" i="38" s="1"/>
  <c r="F47" i="38"/>
  <c r="BA48" i="36"/>
  <c r="J48" i="30"/>
  <c r="J51" i="30" s="1"/>
  <c r="U48" i="30"/>
  <c r="U51" i="30" s="1"/>
  <c r="AX48" i="30"/>
  <c r="AX51" i="30" s="1"/>
  <c r="AX47" i="33"/>
  <c r="AA48" i="33"/>
  <c r="AX48" i="34"/>
  <c r="BD48" i="32"/>
  <c r="BD51" i="32" s="1"/>
  <c r="X48" i="32"/>
  <c r="X51" i="32" s="1"/>
  <c r="J48" i="32"/>
  <c r="J51" i="32" s="1"/>
  <c r="AJ48" i="32"/>
  <c r="AJ51" i="32" s="1"/>
  <c r="AH47" i="33"/>
  <c r="T47" i="33"/>
  <c r="AU47" i="34"/>
  <c r="AU48" i="32"/>
  <c r="AU51" i="32" s="1"/>
  <c r="AU48" i="39"/>
  <c r="V47" i="34"/>
  <c r="P48" i="39"/>
  <c r="AL48" i="33"/>
  <c r="AK48" i="38"/>
  <c r="AK51" i="38" s="1"/>
  <c r="AY48" i="34"/>
  <c r="AG48" i="32"/>
  <c r="AG51" i="32" s="1"/>
  <c r="AO48" i="34"/>
  <c r="BD48" i="34"/>
  <c r="L48" i="35"/>
  <c r="N48" i="36"/>
  <c r="Z48" i="36"/>
  <c r="AT48" i="38"/>
  <c r="AT51" i="38" s="1"/>
  <c r="J47" i="38"/>
  <c r="AM48" i="39"/>
  <c r="AY48" i="36"/>
  <c r="AS48" i="38"/>
  <c r="AS51" i="38" s="1"/>
  <c r="R47" i="33"/>
  <c r="J48" i="34"/>
  <c r="AI48" i="30"/>
  <c r="AI51" i="30" s="1"/>
  <c r="I48" i="32"/>
  <c r="I51" i="32" s="1"/>
  <c r="Q48" i="30"/>
  <c r="Q51" i="30" s="1"/>
  <c r="AE47" i="34"/>
  <c r="I47" i="30"/>
  <c r="AS47" i="34"/>
  <c r="S47" i="32"/>
  <c r="BA48" i="33"/>
  <c r="I48" i="34"/>
  <c r="I51" i="34" s="1"/>
  <c r="AW47" i="32"/>
  <c r="AH48" i="30"/>
  <c r="AH51" i="30" s="1"/>
  <c r="AQ47" i="32"/>
  <c r="AU48" i="35"/>
  <c r="AV47" i="32"/>
  <c r="AZ47" i="32"/>
  <c r="X48" i="33"/>
  <c r="AH48" i="33"/>
  <c r="H47" i="35"/>
  <c r="AY48" i="35"/>
  <c r="P47" i="32"/>
  <c r="AX48" i="39"/>
  <c r="AM48" i="30"/>
  <c r="AM51" i="30" s="1"/>
  <c r="I48" i="35"/>
  <c r="I51" i="35" s="1"/>
  <c r="AW48" i="30"/>
  <c r="AW51" i="30" s="1"/>
  <c r="S48" i="30"/>
  <c r="S51" i="30" s="1"/>
  <c r="AB47" i="32"/>
  <c r="AQ48" i="30"/>
  <c r="AQ51" i="30" s="1"/>
  <c r="X48" i="30"/>
  <c r="X51" i="30" s="1"/>
  <c r="G48" i="30"/>
  <c r="G51" i="30" s="1"/>
  <c r="AB48" i="35"/>
  <c r="N47" i="32"/>
  <c r="AB47" i="33"/>
  <c r="AR47" i="33"/>
  <c r="T48" i="36"/>
  <c r="AN48" i="38"/>
  <c r="AN51" i="38" s="1"/>
  <c r="AA48" i="39"/>
  <c r="AK48" i="34"/>
  <c r="AI47" i="33"/>
  <c r="AX48" i="33"/>
  <c r="AV47" i="33"/>
  <c r="F48" i="32"/>
  <c r="F51" i="32" s="1"/>
  <c r="AL48" i="32"/>
  <c r="AL51" i="32" s="1"/>
  <c r="X47" i="32"/>
  <c r="AE48" i="30"/>
  <c r="AE51" i="30" s="1"/>
  <c r="BA48" i="30"/>
  <c r="BA51" i="30" s="1"/>
  <c r="BE47" i="34"/>
  <c r="AV48" i="35"/>
  <c r="BA48" i="32"/>
  <c r="BA51" i="32" s="1"/>
  <c r="J47" i="30"/>
  <c r="AR48" i="33"/>
  <c r="H48" i="34"/>
  <c r="H51" i="34" s="1"/>
  <c r="I47" i="33"/>
  <c r="AC47" i="34"/>
  <c r="G48" i="35"/>
  <c r="G51" i="35" s="1"/>
  <c r="AG48" i="35"/>
  <c r="H47" i="30"/>
  <c r="AB47" i="34"/>
  <c r="AT48" i="35"/>
  <c r="AQ48" i="38"/>
  <c r="AQ51" i="38" s="1"/>
  <c r="AN48" i="36"/>
  <c r="AW47" i="33"/>
  <c r="AF48" i="35"/>
  <c r="AN48" i="32"/>
  <c r="AN51" i="32" s="1"/>
  <c r="K47" i="33"/>
  <c r="N47" i="33"/>
  <c r="AD47" i="33"/>
  <c r="AD48" i="34"/>
  <c r="I47" i="34"/>
  <c r="I50" i="34" s="1"/>
  <c r="AR48" i="34"/>
  <c r="K47" i="34"/>
  <c r="K50" i="34" s="1"/>
  <c r="AQ48" i="35"/>
  <c r="AQ48" i="36"/>
  <c r="Z48" i="38"/>
  <c r="Z51" i="38" s="1"/>
  <c r="M48" i="39"/>
  <c r="AP48" i="36"/>
  <c r="AJ47" i="34"/>
  <c r="AU47" i="33"/>
  <c r="AD48" i="32"/>
  <c r="AD51" i="32" s="1"/>
  <c r="U47" i="32"/>
  <c r="I48" i="38"/>
  <c r="I51" i="38" s="1"/>
  <c r="AD47" i="32"/>
  <c r="Y48" i="35"/>
  <c r="AH48" i="36"/>
  <c r="AO48" i="39"/>
  <c r="AD48" i="36"/>
  <c r="T48" i="32"/>
  <c r="T51" i="32" s="1"/>
  <c r="AZ48" i="38"/>
  <c r="AZ51" i="38" s="1"/>
  <c r="J48" i="31"/>
  <c r="J51" i="31" s="1"/>
  <c r="O47" i="34"/>
  <c r="M48" i="38"/>
  <c r="AZ48" i="36"/>
  <c r="AJ48" i="33"/>
  <c r="AD48" i="38"/>
  <c r="AD51" i="38" s="1"/>
  <c r="T48" i="30"/>
  <c r="T51" i="30" s="1"/>
  <c r="AW48" i="32"/>
  <c r="AW51" i="32" s="1"/>
  <c r="Y47" i="33"/>
  <c r="F48" i="33"/>
  <c r="F51" i="33" s="1"/>
  <c r="BB48" i="34"/>
  <c r="BE48" i="34"/>
  <c r="R48" i="35"/>
  <c r="O48" i="36"/>
  <c r="BC48" i="36"/>
  <c r="F48" i="36"/>
  <c r="F51" i="36" s="1"/>
  <c r="AI48" i="38"/>
  <c r="AI51" i="38" s="1"/>
  <c r="H47" i="38"/>
  <c r="F47" i="35"/>
  <c r="S47" i="33"/>
  <c r="F47" i="34"/>
  <c r="BB47" i="34"/>
  <c r="AT47" i="33"/>
  <c r="X48" i="39"/>
  <c r="G47" i="39"/>
  <c r="AS48" i="39"/>
  <c r="AG47" i="32"/>
  <c r="L47" i="33"/>
  <c r="AA47" i="32"/>
  <c r="BE48" i="38"/>
  <c r="BE51" i="38" s="1"/>
  <c r="AD48" i="39"/>
  <c r="AK48" i="33"/>
  <c r="Y48" i="38"/>
  <c r="Y51" i="38" s="1"/>
  <c r="G48" i="39"/>
  <c r="G51" i="39" s="1"/>
  <c r="W48" i="34"/>
  <c r="J47" i="31"/>
  <c r="J50" i="31" s="1"/>
  <c r="AA48" i="35"/>
  <c r="AX48" i="35"/>
  <c r="H48" i="38"/>
  <c r="H51" i="38" s="1"/>
  <c r="Y48" i="39"/>
  <c r="W48" i="39"/>
  <c r="AC48" i="38"/>
  <c r="AC51" i="38" s="1"/>
  <c r="BD48" i="35"/>
  <c r="BA48" i="31"/>
  <c r="O48" i="34"/>
  <c r="M48" i="35"/>
  <c r="AN48" i="35"/>
  <c r="T48" i="39"/>
  <c r="AE48" i="35"/>
  <c r="AB48" i="32"/>
  <c r="AB51" i="32" s="1"/>
  <c r="U47" i="34"/>
  <c r="P48" i="34"/>
  <c r="BE48" i="32"/>
  <c r="BE51" i="32" s="1"/>
  <c r="K48" i="36"/>
  <c r="AY48" i="33"/>
  <c r="F47" i="30"/>
  <c r="F50" i="30" s="1"/>
  <c r="U48" i="38"/>
  <c r="U51" i="38" s="1"/>
  <c r="K48" i="39"/>
  <c r="K51" i="39" s="1"/>
  <c r="J48" i="36"/>
  <c r="J51" i="36" s="1"/>
  <c r="Y48" i="32"/>
  <c r="Y51" i="32" s="1"/>
  <c r="X48" i="36"/>
  <c r="AB48" i="30"/>
  <c r="AB51" i="30" s="1"/>
  <c r="AT48" i="32"/>
  <c r="AT51" i="32" s="1"/>
  <c r="AA47" i="34"/>
  <c r="G47" i="30"/>
  <c r="G50" i="30" s="1"/>
  <c r="U48" i="36"/>
  <c r="Z47" i="32"/>
  <c r="BC47" i="32"/>
  <c r="AC48" i="32"/>
  <c r="AC51" i="32" s="1"/>
  <c r="H47" i="33"/>
  <c r="H50" i="33" s="1"/>
  <c r="AL47" i="33"/>
  <c r="S47" i="34"/>
  <c r="AS48" i="34"/>
  <c r="AB48" i="34"/>
  <c r="AW48" i="35"/>
  <c r="G48" i="36"/>
  <c r="G51" i="36" s="1"/>
  <c r="AF48" i="39"/>
  <c r="AR48" i="30"/>
  <c r="AR51" i="30" s="1"/>
  <c r="K48" i="30"/>
  <c r="AC48" i="30"/>
  <c r="AC51" i="30" s="1"/>
  <c r="Z48" i="39"/>
  <c r="BB48" i="30"/>
  <c r="BB51" i="30" s="1"/>
  <c r="Q47" i="33"/>
  <c r="M48" i="30"/>
  <c r="X47" i="33"/>
  <c r="W47" i="33"/>
  <c r="AZ47" i="34"/>
  <c r="AM47" i="34"/>
  <c r="BD48" i="39"/>
  <c r="F48" i="35"/>
  <c r="F51" i="35" s="1"/>
  <c r="BC47" i="34"/>
  <c r="AO47" i="34"/>
  <c r="G47" i="32"/>
  <c r="AP48" i="30"/>
  <c r="AP51" i="30" s="1"/>
  <c r="AL48" i="38"/>
  <c r="AL51" i="38" s="1"/>
  <c r="J47" i="39"/>
  <c r="S48" i="32"/>
  <c r="S51" i="32" s="1"/>
  <c r="H47" i="34"/>
  <c r="H50" i="34" s="1"/>
  <c r="AW48" i="34"/>
  <c r="BE48" i="35"/>
  <c r="AM48" i="35"/>
  <c r="N48" i="30"/>
  <c r="N51" i="30" s="1"/>
  <c r="BE47" i="32"/>
  <c r="X47" i="34"/>
  <c r="AC48" i="39"/>
  <c r="G47" i="34"/>
  <c r="AN48" i="30"/>
  <c r="AN51" i="30" s="1"/>
  <c r="O48" i="32"/>
  <c r="O51" i="32" s="1"/>
  <c r="BD47" i="32"/>
  <c r="M48" i="32"/>
  <c r="AI48" i="35"/>
  <c r="I47" i="35"/>
  <c r="Z48" i="30"/>
  <c r="Z51" i="30" s="1"/>
  <c r="BA47" i="32"/>
  <c r="O47" i="32"/>
  <c r="AP47" i="32"/>
  <c r="J47" i="33"/>
  <c r="AU48" i="33"/>
  <c r="R47" i="34"/>
  <c r="U48" i="35"/>
  <c r="S48" i="36"/>
  <c r="J47" i="36"/>
  <c r="L48" i="38"/>
  <c r="AP48" i="38"/>
  <c r="AP51" i="38" s="1"/>
  <c r="AP48" i="39"/>
  <c r="G47" i="35"/>
  <c r="X48" i="35"/>
  <c r="W48" i="30"/>
  <c r="W51" i="30" s="1"/>
  <c r="Y48" i="30"/>
  <c r="Y51" i="30" s="1"/>
  <c r="AP48" i="35"/>
  <c r="R48" i="32"/>
  <c r="R51" i="32" s="1"/>
  <c r="G48" i="38"/>
  <c r="G51" i="38" s="1"/>
  <c r="AH48" i="32"/>
  <c r="AH51" i="32" s="1"/>
  <c r="M48" i="33"/>
  <c r="AM48" i="33"/>
  <c r="BB47" i="32"/>
  <c r="Z48" i="31"/>
  <c r="R48" i="39"/>
  <c r="AH48" i="35"/>
  <c r="G47" i="36"/>
  <c r="AC48" i="31"/>
  <c r="F48" i="31"/>
  <c r="F51" i="31" s="1"/>
  <c r="AB48" i="31"/>
  <c r="R48" i="33"/>
  <c r="AX48" i="36"/>
  <c r="BB48" i="36"/>
  <c r="AP47" i="33"/>
  <c r="BB48" i="33"/>
  <c r="AT48" i="34"/>
  <c r="AP47" i="34"/>
  <c r="AH48" i="34"/>
  <c r="AU48" i="36"/>
  <c r="BD48" i="38"/>
  <c r="BD51" i="38" s="1"/>
  <c r="AN48" i="39"/>
  <c r="AY47" i="34"/>
  <c r="AQ47" i="34"/>
  <c r="AV48" i="34"/>
  <c r="AZ48" i="30"/>
  <c r="AZ51" i="30" s="1"/>
  <c r="BC48" i="30"/>
  <c r="BC51" i="30" s="1"/>
  <c r="J47" i="34"/>
  <c r="J50" i="34" s="1"/>
  <c r="BC48" i="38"/>
  <c r="BC51" i="38" s="1"/>
  <c r="L48" i="39"/>
  <c r="L48" i="31"/>
  <c r="L51" i="31" s="1"/>
  <c r="V47" i="32"/>
  <c r="AX47" i="34"/>
  <c r="AV48" i="36"/>
  <c r="H47" i="36"/>
  <c r="N48" i="38"/>
  <c r="N51" i="38" s="1"/>
  <c r="AO48" i="38"/>
  <c r="AO51" i="38" s="1"/>
  <c r="AS48" i="33"/>
  <c r="U47" i="33"/>
  <c r="AK47" i="33"/>
  <c r="AC47" i="32"/>
  <c r="R48" i="38"/>
  <c r="R51" i="38" s="1"/>
  <c r="AN47" i="32"/>
  <c r="AR47" i="32"/>
  <c r="J47" i="32"/>
  <c r="Y48" i="36"/>
  <c r="H48" i="33"/>
  <c r="H51" i="33" s="1"/>
  <c r="K48" i="33"/>
  <c r="AH47" i="32"/>
  <c r="O47" i="33"/>
  <c r="T48" i="33"/>
  <c r="N48" i="39"/>
  <c r="R47" i="32"/>
  <c r="AE48" i="34"/>
  <c r="BB48" i="39"/>
  <c r="AW48" i="33"/>
  <c r="U48" i="34"/>
  <c r="AI48" i="39"/>
  <c r="Z47" i="34"/>
  <c r="AI48" i="34"/>
  <c r="U48" i="39"/>
  <c r="AA48" i="30"/>
  <c r="AA51" i="30" s="1"/>
  <c r="X48" i="31"/>
  <c r="H47" i="32"/>
  <c r="H50" i="32" s="1"/>
  <c r="AW48" i="38"/>
  <c r="AW51" i="38" s="1"/>
  <c r="P48" i="33"/>
  <c r="G47" i="38"/>
  <c r="AM48" i="38"/>
  <c r="AM51" i="38" s="1"/>
  <c r="BA47" i="34"/>
  <c r="O48" i="30"/>
  <c r="O51" i="30" s="1"/>
  <c r="G47" i="33"/>
  <c r="Q48" i="32"/>
  <c r="Q51" i="32" s="1"/>
  <c r="AX48" i="32"/>
  <c r="AX51" i="32" s="1"/>
  <c r="AY48" i="30"/>
  <c r="AY51" i="30" s="1"/>
  <c r="AU48" i="30"/>
  <c r="AU51" i="30" s="1"/>
  <c r="AL48" i="31"/>
  <c r="G47" i="31"/>
  <c r="G50" i="31" s="1"/>
  <c r="N48" i="31"/>
  <c r="N51" i="31" s="1"/>
  <c r="AQ48" i="31"/>
  <c r="AD48" i="31"/>
  <c r="T48" i="31"/>
  <c r="G48" i="31"/>
  <c r="G51" i="31" s="1"/>
  <c r="BB48" i="32"/>
  <c r="BB51" i="32" s="1"/>
  <c r="Z48" i="33"/>
  <c r="BD48" i="33"/>
  <c r="P47" i="33"/>
  <c r="AO47" i="33"/>
  <c r="H48" i="39"/>
  <c r="H51" i="39" s="1"/>
  <c r="AY48" i="32"/>
  <c r="AY51" i="32" s="1"/>
  <c r="X48" i="38"/>
  <c r="X51" i="38" s="1"/>
  <c r="BE48" i="30"/>
  <c r="BE51" i="30" s="1"/>
  <c r="AN48" i="13"/>
  <c r="AN51" i="13" s="1"/>
  <c r="F48" i="30"/>
  <c r="F51" i="30" s="1"/>
  <c r="AG48" i="30"/>
  <c r="AG51" i="30" s="1"/>
  <c r="R48" i="31"/>
  <c r="BE48" i="31"/>
  <c r="BC48" i="31"/>
  <c r="G48" i="33"/>
  <c r="G51" i="33" s="1"/>
  <c r="BC48" i="33"/>
  <c r="AC48" i="35"/>
  <c r="S48" i="35"/>
  <c r="M48" i="36"/>
  <c r="R48" i="36"/>
  <c r="I47" i="38"/>
  <c r="AH48" i="39"/>
  <c r="Q48" i="39"/>
  <c r="AN47" i="33"/>
  <c r="P48" i="32"/>
  <c r="P51" i="32" s="1"/>
  <c r="Z48" i="32"/>
  <c r="Z51" i="32" s="1"/>
  <c r="AS47" i="33"/>
  <c r="P47" i="34"/>
  <c r="AQ48" i="34"/>
  <c r="AU48" i="38"/>
  <c r="AU51" i="38" s="1"/>
  <c r="F47" i="33"/>
  <c r="F50" i="33" s="1"/>
  <c r="AL47" i="32"/>
  <c r="Q48" i="38"/>
  <c r="Q51" i="38" s="1"/>
  <c r="AF48" i="30"/>
  <c r="AF51" i="30" s="1"/>
  <c r="G48" i="32"/>
  <c r="G51" i="32" s="1"/>
  <c r="AE47" i="33"/>
  <c r="N48" i="33"/>
  <c r="M47" i="34"/>
  <c r="M50" i="34" s="1"/>
  <c r="AW48" i="36"/>
  <c r="AB48" i="36"/>
  <c r="BB48" i="38"/>
  <c r="BB51" i="38" s="1"/>
  <c r="F48" i="38"/>
  <c r="F51" i="38" s="1"/>
  <c r="AG48" i="38"/>
  <c r="AG51" i="38" s="1"/>
  <c r="F48" i="39"/>
  <c r="F51" i="39" s="1"/>
  <c r="AG48" i="39"/>
  <c r="H47" i="39"/>
  <c r="H50" i="39" s="1"/>
  <c r="BE48" i="33"/>
  <c r="I48" i="39"/>
  <c r="I51" i="39" s="1"/>
  <c r="AZ48" i="32"/>
  <c r="AZ51" i="32" s="1"/>
  <c r="Z47" i="33"/>
  <c r="F47" i="32"/>
  <c r="F50" i="32" s="1"/>
  <c r="I48" i="30"/>
  <c r="I51" i="30" s="1"/>
  <c r="BD48" i="30"/>
  <c r="BD51" i="30" s="1"/>
  <c r="AL48" i="30"/>
  <c r="AL51" i="30" s="1"/>
  <c r="AW47" i="34"/>
  <c r="AF47" i="34"/>
  <c r="N47" i="34"/>
  <c r="BD48" i="36"/>
  <c r="I47" i="39"/>
  <c r="AT48" i="30"/>
  <c r="AT51" i="30" s="1"/>
  <c r="R48" i="30"/>
  <c r="R51" i="30" s="1"/>
  <c r="V47" i="33"/>
  <c r="AZ47" i="33"/>
  <c r="AU48" i="34"/>
  <c r="AL48" i="34"/>
  <c r="AI48" i="36"/>
  <c r="O48" i="38"/>
  <c r="O51" i="38" s="1"/>
  <c r="S48" i="38"/>
  <c r="S51" i="38" s="1"/>
  <c r="O48" i="39"/>
  <c r="S48" i="39"/>
  <c r="AN47" i="34"/>
  <c r="AD48" i="33"/>
  <c r="AD48" i="30"/>
  <c r="AD51" i="30" s="1"/>
  <c r="J50" i="33"/>
  <c r="I50" i="33"/>
  <c r="AB48" i="13"/>
  <c r="AB51" i="13" s="1"/>
  <c r="I50" i="39"/>
  <c r="L50" i="39"/>
  <c r="J50" i="39"/>
  <c r="L50" i="33"/>
  <c r="K50" i="33"/>
  <c r="AJ48" i="31"/>
  <c r="U48" i="31"/>
  <c r="AV48" i="31"/>
  <c r="AR47" i="34"/>
  <c r="I48" i="31"/>
  <c r="I51" i="31" s="1"/>
  <c r="M48" i="31"/>
  <c r="AI48" i="32"/>
  <c r="AI51" i="32" s="1"/>
  <c r="AO48" i="32"/>
  <c r="AO51" i="32" s="1"/>
  <c r="AK48" i="31"/>
  <c r="AS48" i="31"/>
  <c r="U48" i="32"/>
  <c r="U51" i="32" s="1"/>
  <c r="AA48" i="32"/>
  <c r="AA51" i="32" s="1"/>
  <c r="N48" i="34"/>
  <c r="G48" i="34"/>
  <c r="G51" i="34" s="1"/>
  <c r="AS47" i="32"/>
  <c r="AY47" i="32"/>
  <c r="AE47" i="32"/>
  <c r="AK47" i="32"/>
  <c r="H48" i="31"/>
  <c r="H51" i="31" s="1"/>
  <c r="Q47" i="32"/>
  <c r="W47" i="32"/>
  <c r="I47" i="32"/>
  <c r="I50" i="32" s="1"/>
  <c r="AP48" i="31"/>
  <c r="AM48" i="31"/>
  <c r="AT48" i="31"/>
  <c r="O48" i="31"/>
  <c r="BD48" i="31"/>
  <c r="AU48" i="31"/>
  <c r="BB48" i="13"/>
  <c r="BB51" i="13" s="1"/>
  <c r="AX48" i="13"/>
  <c r="AX51" i="13" s="1"/>
  <c r="AV4" i="39"/>
  <c r="AV5" i="39"/>
  <c r="N24" i="39"/>
  <c r="M50" i="39"/>
  <c r="K50" i="39"/>
  <c r="AV4" i="38"/>
  <c r="AV5" i="38"/>
  <c r="H50" i="38"/>
  <c r="I24" i="38"/>
  <c r="AV4" i="36"/>
  <c r="AV5" i="36"/>
  <c r="H50" i="36"/>
  <c r="I24" i="36"/>
  <c r="I50" i="35"/>
  <c r="AV4" i="35"/>
  <c r="AV5" i="35"/>
  <c r="K50" i="35"/>
  <c r="L24" i="35"/>
  <c r="J50" i="35"/>
  <c r="AV4" i="34"/>
  <c r="AV5" i="34"/>
  <c r="AC48" i="34"/>
  <c r="N50" i="34"/>
  <c r="O24" i="34"/>
  <c r="M50" i="33"/>
  <c r="N24" i="33"/>
  <c r="AV4" i="33"/>
  <c r="AV5" i="33"/>
  <c r="AV4" i="32"/>
  <c r="AV5" i="32"/>
  <c r="O24" i="32"/>
  <c r="N50" i="32"/>
  <c r="BC48" i="32"/>
  <c r="BC51" i="32" s="1"/>
  <c r="AI48" i="31"/>
  <c r="V48" i="31"/>
  <c r="AG48" i="31"/>
  <c r="AV4" i="31"/>
  <c r="AV5" i="31"/>
  <c r="AF48" i="31"/>
  <c r="AA48" i="31"/>
  <c r="I47" i="31"/>
  <c r="I50" i="31" s="1"/>
  <c r="AE48" i="31"/>
  <c r="S48" i="31"/>
  <c r="AY48" i="31"/>
  <c r="P48" i="31"/>
  <c r="BB48" i="31"/>
  <c r="F47" i="31"/>
  <c r="F50" i="31" s="1"/>
  <c r="AW48" i="31"/>
  <c r="K48" i="31"/>
  <c r="K51" i="31" s="1"/>
  <c r="W48" i="31"/>
  <c r="H47" i="31"/>
  <c r="H50" i="31" s="1"/>
  <c r="S24" i="31"/>
  <c r="M24" i="30"/>
  <c r="J50" i="30"/>
  <c r="AV4" i="30"/>
  <c r="AV5" i="30"/>
  <c r="H50" i="30"/>
  <c r="I50" i="30"/>
  <c r="H48" i="13"/>
  <c r="H51" i="13" s="1"/>
  <c r="AG48" i="13"/>
  <c r="AG51" i="13" s="1"/>
  <c r="AP48" i="13"/>
  <c r="AP51" i="13" s="1"/>
  <c r="L48" i="13"/>
  <c r="BA48" i="13"/>
  <c r="BA51" i="13" s="1"/>
  <c r="AC48" i="13"/>
  <c r="AC51" i="13" s="1"/>
  <c r="O48" i="13"/>
  <c r="O51" i="13" s="1"/>
  <c r="AL48" i="13"/>
  <c r="AL51" i="13" s="1"/>
  <c r="S48" i="13"/>
  <c r="S51" i="13" s="1"/>
  <c r="AZ48" i="13"/>
  <c r="AZ51" i="13" s="1"/>
  <c r="AS48" i="13"/>
  <c r="AS51" i="13" s="1"/>
  <c r="H47" i="13"/>
  <c r="H50" i="13" s="1"/>
  <c r="W48" i="13"/>
  <c r="W51" i="13" s="1"/>
  <c r="F47" i="13"/>
  <c r="F50" i="13" s="1"/>
  <c r="AM48" i="13"/>
  <c r="AM51" i="13" s="1"/>
  <c r="BC48" i="13"/>
  <c r="BC51" i="13" s="1"/>
  <c r="AE48" i="13"/>
  <c r="AE51" i="13" s="1"/>
  <c r="G48" i="13"/>
  <c r="G51" i="13" s="1"/>
  <c r="U48" i="13"/>
  <c r="U51" i="13" s="1"/>
  <c r="K48" i="13"/>
  <c r="AJ48" i="13"/>
  <c r="AJ51" i="13" s="1"/>
  <c r="T48" i="13"/>
  <c r="T51" i="13" s="1"/>
  <c r="F48" i="13"/>
  <c r="F51" i="13" s="1"/>
  <c r="AI48" i="13"/>
  <c r="AI51" i="13" s="1"/>
  <c r="AD48" i="13"/>
  <c r="AD51" i="13" s="1"/>
  <c r="AW48" i="13"/>
  <c r="AW51" i="13" s="1"/>
  <c r="J48" i="13"/>
  <c r="J51" i="13" s="1"/>
  <c r="I48" i="13"/>
  <c r="I51" i="13" s="1"/>
  <c r="N48" i="13"/>
  <c r="N51" i="13" s="1"/>
  <c r="AO48" i="13"/>
  <c r="AO51" i="13" s="1"/>
  <c r="AQ48" i="13"/>
  <c r="AQ51" i="13" s="1"/>
  <c r="V48" i="13"/>
  <c r="V51" i="13" s="1"/>
  <c r="AT48" i="13"/>
  <c r="AT51" i="13" s="1"/>
  <c r="Q48" i="13"/>
  <c r="Q51" i="13" s="1"/>
  <c r="R48" i="13"/>
  <c r="R51" i="13" s="1"/>
  <c r="AA48" i="13"/>
  <c r="AA51" i="13" s="1"/>
  <c r="G47" i="13"/>
  <c r="G50" i="13" s="1"/>
  <c r="AF48" i="13"/>
  <c r="AF51" i="13" s="1"/>
  <c r="AU48" i="13"/>
  <c r="AU51" i="13" s="1"/>
  <c r="Z48" i="13"/>
  <c r="Z51" i="13" s="1"/>
  <c r="AH48" i="13"/>
  <c r="AH51" i="13" s="1"/>
  <c r="M48" i="13"/>
  <c r="Y48" i="13"/>
  <c r="Y51" i="13" s="1"/>
  <c r="AV48" i="13"/>
  <c r="AV51" i="13" s="1"/>
  <c r="AY48" i="13"/>
  <c r="AY51" i="13" s="1"/>
  <c r="J47" i="13"/>
  <c r="J50" i="13" s="1"/>
  <c r="BE48" i="13"/>
  <c r="BE51" i="13" s="1"/>
  <c r="AK48" i="13"/>
  <c r="AK51" i="13" s="1"/>
  <c r="BD48" i="13"/>
  <c r="BD51" i="13" s="1"/>
  <c r="I47" i="13"/>
  <c r="I50" i="13" s="1"/>
  <c r="P48" i="13"/>
  <c r="P51" i="13" s="1"/>
  <c r="X48" i="13"/>
  <c r="X51" i="13" s="1"/>
  <c r="O24" i="13"/>
  <c r="N50" i="13"/>
  <c r="AR48" i="13"/>
  <c r="AR51" i="13" s="1"/>
  <c r="O25" i="31" l="1"/>
  <c r="N27" i="31"/>
  <c r="K30" i="35"/>
  <c r="L30" i="35" s="1"/>
  <c r="K30" i="36"/>
  <c r="J32" i="36"/>
  <c r="L51" i="39"/>
  <c r="L51" i="35"/>
  <c r="K25" i="38"/>
  <c r="J27" i="38"/>
  <c r="L27" i="35"/>
  <c r="M25" i="35"/>
  <c r="J51" i="33"/>
  <c r="K51" i="38"/>
  <c r="K35" i="30"/>
  <c r="K44" i="30" s="1"/>
  <c r="K47" i="30" s="1"/>
  <c r="K50" i="30" s="1"/>
  <c r="J37" i="30"/>
  <c r="K30" i="34"/>
  <c r="J32" i="34"/>
  <c r="K32" i="30"/>
  <c r="L30" i="30"/>
  <c r="M27" i="31"/>
  <c r="L27" i="31"/>
  <c r="L32" i="39"/>
  <c r="M30" i="39"/>
  <c r="J37" i="35"/>
  <c r="K35" i="35"/>
  <c r="K41" i="35" s="1"/>
  <c r="K47" i="35" s="1"/>
  <c r="J37" i="38"/>
  <c r="K35" i="38"/>
  <c r="K44" i="38" s="1"/>
  <c r="K47" i="38" s="1"/>
  <c r="K25" i="13"/>
  <c r="J27" i="13"/>
  <c r="J27" i="32"/>
  <c r="J27" i="30"/>
  <c r="K51" i="30"/>
  <c r="K32" i="13"/>
  <c r="L30" i="13"/>
  <c r="J27" i="34"/>
  <c r="K25" i="34"/>
  <c r="K25" i="36"/>
  <c r="J27" i="36"/>
  <c r="N30" i="31"/>
  <c r="M32" i="31"/>
  <c r="J37" i="13"/>
  <c r="K35" i="13"/>
  <c r="K44" i="13" s="1"/>
  <c r="K47" i="13" s="1"/>
  <c r="K50" i="13" s="1"/>
  <c r="M51" i="31"/>
  <c r="J51" i="34"/>
  <c r="L30" i="33"/>
  <c r="K32" i="33"/>
  <c r="L27" i="39"/>
  <c r="M25" i="39"/>
  <c r="J37" i="36"/>
  <c r="K35" i="36"/>
  <c r="K41" i="36" s="1"/>
  <c r="K47" i="36" s="1"/>
  <c r="J37" i="31"/>
  <c r="K35" i="31"/>
  <c r="K44" i="31" s="1"/>
  <c r="K47" i="31" s="1"/>
  <c r="K50" i="31" s="1"/>
  <c r="K25" i="33"/>
  <c r="J27" i="33"/>
  <c r="M35" i="34"/>
  <c r="L37" i="34"/>
  <c r="L35" i="32"/>
  <c r="K37" i="32"/>
  <c r="L32" i="38"/>
  <c r="M30" i="38"/>
  <c r="J37" i="39"/>
  <c r="K35" i="39"/>
  <c r="K44" i="39" s="1"/>
  <c r="K47" i="39" s="1"/>
  <c r="J32" i="32"/>
  <c r="K30" i="32"/>
  <c r="L37" i="33"/>
  <c r="M35" i="33"/>
  <c r="P14" i="9"/>
  <c r="P13" i="9"/>
  <c r="P12" i="9"/>
  <c r="P11" i="9"/>
  <c r="P10" i="9"/>
  <c r="P9" i="9"/>
  <c r="P8" i="9"/>
  <c r="P7" i="9"/>
  <c r="P6" i="9"/>
  <c r="AQ5" i="39"/>
  <c r="Q14" i="9"/>
  <c r="AQ5" i="38"/>
  <c r="Q13" i="9"/>
  <c r="AQ5" i="36"/>
  <c r="Q12" i="9"/>
  <c r="AQ5" i="35"/>
  <c r="Q11" i="9"/>
  <c r="AQ5" i="34"/>
  <c r="Q10" i="9"/>
  <c r="AQ5" i="33"/>
  <c r="Q9" i="9"/>
  <c r="O24" i="39"/>
  <c r="N50" i="39"/>
  <c r="AV6" i="39"/>
  <c r="J24" i="38"/>
  <c r="I50" i="38"/>
  <c r="AV6" i="38"/>
  <c r="J24" i="36"/>
  <c r="I50" i="36"/>
  <c r="AV6" i="36"/>
  <c r="AV6" i="35"/>
  <c r="M24" i="35"/>
  <c r="L50" i="35"/>
  <c r="O50" i="34"/>
  <c r="P24" i="34"/>
  <c r="AV6" i="34"/>
  <c r="AV6" i="33"/>
  <c r="O24" i="33"/>
  <c r="N50" i="33"/>
  <c r="AQ5" i="32"/>
  <c r="Q8" i="9"/>
  <c r="AQ5" i="31"/>
  <c r="Q7" i="9"/>
  <c r="AQ5" i="30"/>
  <c r="Q6" i="9"/>
  <c r="P24" i="32"/>
  <c r="O50" i="32"/>
  <c r="AV6" i="32"/>
  <c r="T24" i="31"/>
  <c r="AV6" i="31"/>
  <c r="AV6" i="30"/>
  <c r="N24" i="30"/>
  <c r="P24" i="13"/>
  <c r="O50" i="13"/>
  <c r="AO4" i="13"/>
  <c r="AU14" i="13"/>
  <c r="AU13" i="13"/>
  <c r="M27" i="35" l="1"/>
  <c r="N25" i="35"/>
  <c r="M27" i="39"/>
  <c r="N25" i="39"/>
  <c r="P25" i="31"/>
  <c r="O27" i="31"/>
  <c r="O51" i="31"/>
  <c r="R9" i="9"/>
  <c r="R10" i="9"/>
  <c r="R11" i="9"/>
  <c r="R12" i="9"/>
  <c r="R13" i="9"/>
  <c r="R14" i="9"/>
  <c r="L30" i="36"/>
  <c r="K32" i="36"/>
  <c r="K32" i="35"/>
  <c r="K27" i="38"/>
  <c r="L25" i="38"/>
  <c r="M51" i="35"/>
  <c r="L35" i="39"/>
  <c r="L44" i="39" s="1"/>
  <c r="L47" i="39" s="1"/>
  <c r="K37" i="39"/>
  <c r="M32" i="38"/>
  <c r="N30" i="38"/>
  <c r="K27" i="36"/>
  <c r="L25" i="36"/>
  <c r="M37" i="34"/>
  <c r="N35" i="34"/>
  <c r="K37" i="13"/>
  <c r="L35" i="13"/>
  <c r="L44" i="13" s="1"/>
  <c r="L47" i="13" s="1"/>
  <c r="L50" i="13" s="1"/>
  <c r="L25" i="33"/>
  <c r="K27" i="33"/>
  <c r="L32" i="13"/>
  <c r="M30" i="13"/>
  <c r="K37" i="30"/>
  <c r="L35" i="30"/>
  <c r="L44" i="30" s="1"/>
  <c r="L47" i="30" s="1"/>
  <c r="L50" i="30" s="1"/>
  <c r="L35" i="31"/>
  <c r="L44" i="31" s="1"/>
  <c r="L47" i="31" s="1"/>
  <c r="L50" i="31" s="1"/>
  <c r="K37" i="31"/>
  <c r="K27" i="32"/>
  <c r="L32" i="35"/>
  <c r="M30" i="35"/>
  <c r="M51" i="39"/>
  <c r="L25" i="34"/>
  <c r="K27" i="34"/>
  <c r="L37" i="32"/>
  <c r="M35" i="32"/>
  <c r="M30" i="33"/>
  <c r="L32" i="33"/>
  <c r="K51" i="32"/>
  <c r="L32" i="30"/>
  <c r="M30" i="30"/>
  <c r="K51" i="34"/>
  <c r="L35" i="36"/>
  <c r="L41" i="36" s="1"/>
  <c r="L47" i="36" s="1"/>
  <c r="K37" i="36"/>
  <c r="M32" i="39"/>
  <c r="N30" i="39"/>
  <c r="L25" i="13"/>
  <c r="K27" i="13"/>
  <c r="L35" i="38"/>
  <c r="L44" i="38" s="1"/>
  <c r="L47" i="38" s="1"/>
  <c r="K37" i="38"/>
  <c r="K32" i="34"/>
  <c r="L30" i="34"/>
  <c r="N35" i="33"/>
  <c r="M37" i="33"/>
  <c r="K51" i="33"/>
  <c r="L35" i="35"/>
  <c r="L41" i="35" s="1"/>
  <c r="L47" i="35" s="1"/>
  <c r="K37" i="35"/>
  <c r="K32" i="32"/>
  <c r="L30" i="32"/>
  <c r="K51" i="36"/>
  <c r="O30" i="31"/>
  <c r="N32" i="31"/>
  <c r="K27" i="30"/>
  <c r="K51" i="13"/>
  <c r="H5" i="9"/>
  <c r="P24" i="39"/>
  <c r="O50" i="39"/>
  <c r="K24" i="38"/>
  <c r="J50" i="38"/>
  <c r="K24" i="36"/>
  <c r="J50" i="36"/>
  <c r="N24" i="35"/>
  <c r="M50" i="35"/>
  <c r="Q24" i="34"/>
  <c r="P50" i="34"/>
  <c r="P24" i="33"/>
  <c r="O50" i="33"/>
  <c r="Q24" i="32"/>
  <c r="P50" i="32"/>
  <c r="U24" i="31"/>
  <c r="T50" i="31"/>
  <c r="O24" i="30"/>
  <c r="AV4" i="13"/>
  <c r="AU15" i="13"/>
  <c r="AO5" i="13"/>
  <c r="AV5" i="13" s="1"/>
  <c r="P50" i="13"/>
  <c r="Q24" i="13"/>
  <c r="O25" i="35" l="1"/>
  <c r="N27" i="35"/>
  <c r="N51" i="35"/>
  <c r="O25" i="39"/>
  <c r="N27" i="39"/>
  <c r="N51" i="39"/>
  <c r="Q25" i="31"/>
  <c r="P27" i="31"/>
  <c r="P51" i="31"/>
  <c r="L32" i="36"/>
  <c r="M30" i="36"/>
  <c r="L51" i="38"/>
  <c r="M25" i="38"/>
  <c r="L27" i="38"/>
  <c r="N32" i="39"/>
  <c r="O30" i="39"/>
  <c r="M32" i="35"/>
  <c r="N30" i="35"/>
  <c r="N37" i="34"/>
  <c r="O35" i="34"/>
  <c r="L27" i="32"/>
  <c r="L51" i="32"/>
  <c r="M32" i="30"/>
  <c r="N30" i="30"/>
  <c r="L27" i="36"/>
  <c r="M25" i="36"/>
  <c r="N25" i="36" s="1"/>
  <c r="L51" i="36"/>
  <c r="N37" i="33"/>
  <c r="O35" i="33"/>
  <c r="O32" i="31"/>
  <c r="P30" i="31"/>
  <c r="L27" i="13"/>
  <c r="M25" i="13"/>
  <c r="L51" i="13"/>
  <c r="M25" i="34"/>
  <c r="N25" i="34" s="1"/>
  <c r="L27" i="34"/>
  <c r="L51" i="34"/>
  <c r="M30" i="32"/>
  <c r="L32" i="32"/>
  <c r="L27" i="33"/>
  <c r="M25" i="33"/>
  <c r="N25" i="33" s="1"/>
  <c r="L51" i="33"/>
  <c r="L37" i="13"/>
  <c r="M35" i="13"/>
  <c r="M44" i="13" s="1"/>
  <c r="M47" i="13" s="1"/>
  <c r="M50" i="13" s="1"/>
  <c r="L37" i="36"/>
  <c r="M35" i="36"/>
  <c r="M41" i="36" s="1"/>
  <c r="M47" i="36" s="1"/>
  <c r="L37" i="35"/>
  <c r="M35" i="35"/>
  <c r="M41" i="35" s="1"/>
  <c r="M47" i="35" s="1"/>
  <c r="L32" i="34"/>
  <c r="M30" i="34"/>
  <c r="N32" i="38"/>
  <c r="O30" i="38"/>
  <c r="M35" i="31"/>
  <c r="M44" i="31" s="1"/>
  <c r="M47" i="31" s="1"/>
  <c r="M50" i="31" s="1"/>
  <c r="L37" i="31"/>
  <c r="L27" i="30"/>
  <c r="L51" i="30"/>
  <c r="N30" i="33"/>
  <c r="M32" i="33"/>
  <c r="M35" i="30"/>
  <c r="M44" i="30" s="1"/>
  <c r="M47" i="30" s="1"/>
  <c r="M50" i="30" s="1"/>
  <c r="L37" i="30"/>
  <c r="L37" i="38"/>
  <c r="M35" i="38"/>
  <c r="M44" i="38" s="1"/>
  <c r="M47" i="38" s="1"/>
  <c r="M37" i="32"/>
  <c r="N35" i="32"/>
  <c r="M35" i="39"/>
  <c r="M44" i="39" s="1"/>
  <c r="M47" i="39" s="1"/>
  <c r="L37" i="39"/>
  <c r="N30" i="13"/>
  <c r="M32" i="13"/>
  <c r="G5" i="9"/>
  <c r="Q24" i="39"/>
  <c r="P50" i="39"/>
  <c r="L24" i="38"/>
  <c r="K50" i="38"/>
  <c r="L24" i="36"/>
  <c r="K50" i="36"/>
  <c r="O24" i="35"/>
  <c r="N50" i="35"/>
  <c r="R24" i="34"/>
  <c r="Q50" i="34"/>
  <c r="Q24" i="33"/>
  <c r="P50" i="33"/>
  <c r="R7" i="9"/>
  <c r="R8" i="9"/>
  <c r="R6" i="9"/>
  <c r="P5" i="9"/>
  <c r="R24" i="32"/>
  <c r="Q50" i="32"/>
  <c r="V24" i="31"/>
  <c r="U50" i="31"/>
  <c r="P24" i="30"/>
  <c r="AV6" i="13"/>
  <c r="Q50" i="13"/>
  <c r="R24" i="13"/>
  <c r="AU16" i="13"/>
  <c r="O25" i="34" l="1"/>
  <c r="N27" i="34"/>
  <c r="N51" i="34"/>
  <c r="P25" i="35"/>
  <c r="O27" i="35"/>
  <c r="O51" i="35"/>
  <c r="P25" i="39"/>
  <c r="O27" i="39"/>
  <c r="O51" i="39"/>
  <c r="O25" i="36"/>
  <c r="N27" i="36"/>
  <c r="N51" i="36"/>
  <c r="O25" i="33"/>
  <c r="N27" i="33"/>
  <c r="N51" i="33"/>
  <c r="R25" i="31"/>
  <c r="Q27" i="31"/>
  <c r="Q51" i="31"/>
  <c r="M32" i="36"/>
  <c r="N30" i="36"/>
  <c r="M27" i="38"/>
  <c r="M51" i="38"/>
  <c r="E51" i="38" s="1"/>
  <c r="N13" i="9" s="1"/>
  <c r="O30" i="30"/>
  <c r="N32" i="30"/>
  <c r="N30" i="34"/>
  <c r="M32" i="34"/>
  <c r="M27" i="34"/>
  <c r="M51" i="34"/>
  <c r="M37" i="36"/>
  <c r="N35" i="36"/>
  <c r="N41" i="36" s="1"/>
  <c r="N47" i="36" s="1"/>
  <c r="M27" i="30"/>
  <c r="M51" i="30"/>
  <c r="E51" i="30" s="1"/>
  <c r="N6" i="9" s="1"/>
  <c r="O30" i="13"/>
  <c r="N32" i="13"/>
  <c r="O37" i="33"/>
  <c r="P35" i="33"/>
  <c r="M37" i="30"/>
  <c r="N35" i="30"/>
  <c r="N44" i="30" s="1"/>
  <c r="N47" i="30" s="1"/>
  <c r="N50" i="30" s="1"/>
  <c r="N35" i="35"/>
  <c r="N41" i="35" s="1"/>
  <c r="N47" i="35" s="1"/>
  <c r="M37" i="35"/>
  <c r="N32" i="33"/>
  <c r="O30" i="33"/>
  <c r="M27" i="13"/>
  <c r="M51" i="13"/>
  <c r="E51" i="13" s="1"/>
  <c r="N5" i="9" s="1"/>
  <c r="M27" i="32"/>
  <c r="M51" i="32"/>
  <c r="E51" i="32" s="1"/>
  <c r="N8" i="9" s="1"/>
  <c r="N35" i="13"/>
  <c r="N44" i="13" s="1"/>
  <c r="N47" i="13" s="1"/>
  <c r="M37" i="13"/>
  <c r="P32" i="31"/>
  <c r="Q30" i="31"/>
  <c r="P35" i="34"/>
  <c r="O37" i="34"/>
  <c r="M37" i="31"/>
  <c r="N35" i="31"/>
  <c r="N44" i="31" s="1"/>
  <c r="N47" i="31" s="1"/>
  <c r="N50" i="31" s="1"/>
  <c r="M27" i="33"/>
  <c r="M51" i="33"/>
  <c r="M37" i="39"/>
  <c r="N35" i="39"/>
  <c r="N44" i="39" s="1"/>
  <c r="N47" i="39" s="1"/>
  <c r="N32" i="35"/>
  <c r="O30" i="35"/>
  <c r="N37" i="32"/>
  <c r="O35" i="32"/>
  <c r="O32" i="38"/>
  <c r="P30" i="38"/>
  <c r="M27" i="36"/>
  <c r="M51" i="36"/>
  <c r="N30" i="32"/>
  <c r="M32" i="32"/>
  <c r="O32" i="39"/>
  <c r="P30" i="39"/>
  <c r="M37" i="38"/>
  <c r="N35" i="38"/>
  <c r="N44" i="38" s="1"/>
  <c r="N47" i="38" s="1"/>
  <c r="R24" i="39"/>
  <c r="Q50" i="39"/>
  <c r="M24" i="38"/>
  <c r="L50" i="38"/>
  <c r="M24" i="36"/>
  <c r="L50" i="36"/>
  <c r="P24" i="35"/>
  <c r="O50" i="35"/>
  <c r="S24" i="34"/>
  <c r="R50" i="34"/>
  <c r="R24" i="33"/>
  <c r="Q50" i="33"/>
  <c r="S24" i="32"/>
  <c r="R50" i="32"/>
  <c r="W24" i="31"/>
  <c r="V50" i="31"/>
  <c r="Q24" i="30"/>
  <c r="AQ5" i="13"/>
  <c r="Q5" i="9"/>
  <c r="AU17" i="13"/>
  <c r="S24" i="13"/>
  <c r="R50" i="13"/>
  <c r="P25" i="34" l="1"/>
  <c r="O27" i="34"/>
  <c r="O51" i="34"/>
  <c r="Q25" i="35"/>
  <c r="P27" i="35"/>
  <c r="P51" i="35"/>
  <c r="Q25" i="39"/>
  <c r="P27" i="39"/>
  <c r="P51" i="39"/>
  <c r="P25" i="36"/>
  <c r="O27" i="36"/>
  <c r="O51" i="36"/>
  <c r="P25" i="33"/>
  <c r="O27" i="33"/>
  <c r="O51" i="33"/>
  <c r="S25" i="31"/>
  <c r="R27" i="31"/>
  <c r="R51" i="31"/>
  <c r="O30" i="36"/>
  <c r="N32" i="36"/>
  <c r="N37" i="13"/>
  <c r="O35" i="13"/>
  <c r="O44" i="13" s="1"/>
  <c r="O47" i="13" s="1"/>
  <c r="N37" i="38"/>
  <c r="O35" i="38"/>
  <c r="O44" i="38" s="1"/>
  <c r="O47" i="38" s="1"/>
  <c r="O35" i="36"/>
  <c r="O41" i="36" s="1"/>
  <c r="O47" i="36" s="1"/>
  <c r="N37" i="36"/>
  <c r="O32" i="33"/>
  <c r="P30" i="33"/>
  <c r="N37" i="31"/>
  <c r="O35" i="31"/>
  <c r="O44" i="31" s="1"/>
  <c r="O47" i="31" s="1"/>
  <c r="O50" i="31" s="1"/>
  <c r="N32" i="32"/>
  <c r="O30" i="32"/>
  <c r="O35" i="35"/>
  <c r="O41" i="35" s="1"/>
  <c r="O47" i="35" s="1"/>
  <c r="N37" i="35"/>
  <c r="O30" i="34"/>
  <c r="N32" i="34"/>
  <c r="P30" i="13"/>
  <c r="O32" i="13"/>
  <c r="P30" i="35"/>
  <c r="O32" i="35"/>
  <c r="N37" i="39"/>
  <c r="O35" i="39"/>
  <c r="O44" i="39" s="1"/>
  <c r="O47" i="39" s="1"/>
  <c r="P32" i="39"/>
  <c r="Q30" i="39"/>
  <c r="N37" i="30"/>
  <c r="O35" i="30"/>
  <c r="O44" i="30" s="1"/>
  <c r="O47" i="30" s="1"/>
  <c r="O50" i="30" s="1"/>
  <c r="P37" i="34"/>
  <c r="Q35" i="34"/>
  <c r="P32" i="38"/>
  <c r="Q30" i="38"/>
  <c r="Q32" i="31"/>
  <c r="R30" i="31"/>
  <c r="Q35" i="33"/>
  <c r="P37" i="33"/>
  <c r="P30" i="30"/>
  <c r="O32" i="30"/>
  <c r="O37" i="32"/>
  <c r="P35" i="32"/>
  <c r="R50" i="39"/>
  <c r="S24" i="39"/>
  <c r="N24" i="38"/>
  <c r="M50" i="38"/>
  <c r="M50" i="36"/>
  <c r="N24" i="36"/>
  <c r="Q24" i="35"/>
  <c r="P50" i="35"/>
  <c r="T24" i="34"/>
  <c r="S50" i="34"/>
  <c r="R50" i="33"/>
  <c r="S24" i="33"/>
  <c r="S50" i="32"/>
  <c r="T24" i="32"/>
  <c r="X24" i="31"/>
  <c r="W50" i="31"/>
  <c r="R24" i="30"/>
  <c r="T24" i="13"/>
  <c r="S50" i="13"/>
  <c r="AU18" i="13"/>
  <c r="Q25" i="34" l="1"/>
  <c r="P27" i="34"/>
  <c r="P51" i="34"/>
  <c r="R25" i="35"/>
  <c r="Q27" i="35"/>
  <c r="Q51" i="35"/>
  <c r="R25" i="39"/>
  <c r="Q27" i="39"/>
  <c r="Q51" i="39"/>
  <c r="Q25" i="36"/>
  <c r="P27" i="36"/>
  <c r="P51" i="36"/>
  <c r="Q25" i="33"/>
  <c r="P27" i="33"/>
  <c r="P51" i="33"/>
  <c r="T25" i="31"/>
  <c r="S27" i="31"/>
  <c r="S51" i="31"/>
  <c r="O32" i="36"/>
  <c r="P30" i="36"/>
  <c r="P37" i="32"/>
  <c r="Q35" i="32"/>
  <c r="O32" i="32"/>
  <c r="P30" i="32"/>
  <c r="P35" i="39"/>
  <c r="P44" i="39" s="1"/>
  <c r="P47" i="39" s="1"/>
  <c r="O37" i="39"/>
  <c r="O37" i="31"/>
  <c r="P35" i="31"/>
  <c r="P44" i="31" s="1"/>
  <c r="P47" i="31" s="1"/>
  <c r="P50" i="31" s="1"/>
  <c r="P32" i="30"/>
  <c r="Q30" i="30"/>
  <c r="P32" i="33"/>
  <c r="Q30" i="33"/>
  <c r="Q37" i="33"/>
  <c r="R35" i="33"/>
  <c r="Q30" i="35"/>
  <c r="P32" i="35"/>
  <c r="R32" i="31"/>
  <c r="S30" i="31"/>
  <c r="O37" i="30"/>
  <c r="P35" i="30"/>
  <c r="P44" i="30" s="1"/>
  <c r="P47" i="30" s="1"/>
  <c r="P50" i="30" s="1"/>
  <c r="P35" i="35"/>
  <c r="P41" i="35" s="1"/>
  <c r="P47" i="35" s="1"/>
  <c r="O37" i="35"/>
  <c r="R30" i="39"/>
  <c r="Q32" i="39"/>
  <c r="O37" i="36"/>
  <c r="P35" i="36"/>
  <c r="P41" i="36" s="1"/>
  <c r="P47" i="36" s="1"/>
  <c r="Q32" i="38"/>
  <c r="R30" i="38"/>
  <c r="P35" i="38"/>
  <c r="P44" i="38" s="1"/>
  <c r="P47" i="38" s="1"/>
  <c r="O37" i="38"/>
  <c r="Q30" i="13"/>
  <c r="P32" i="13"/>
  <c r="Q37" i="34"/>
  <c r="R35" i="34"/>
  <c r="P35" i="13"/>
  <c r="P44" i="13" s="1"/>
  <c r="P47" i="13" s="1"/>
  <c r="O37" i="13"/>
  <c r="O32" i="34"/>
  <c r="P30" i="34"/>
  <c r="S50" i="39"/>
  <c r="T24" i="39"/>
  <c r="O24" i="38"/>
  <c r="N50" i="38"/>
  <c r="O24" i="36"/>
  <c r="N50" i="36"/>
  <c r="R24" i="35"/>
  <c r="Q50" i="35"/>
  <c r="U24" i="34"/>
  <c r="T50" i="34"/>
  <c r="S50" i="33"/>
  <c r="T24" i="33"/>
  <c r="T50" i="32"/>
  <c r="U24" i="32"/>
  <c r="Y24" i="31"/>
  <c r="X50" i="31"/>
  <c r="S24" i="30"/>
  <c r="AU19" i="13"/>
  <c r="U24" i="13"/>
  <c r="T50" i="13"/>
  <c r="R25" i="34" l="1"/>
  <c r="Q27" i="34"/>
  <c r="Q51" i="34"/>
  <c r="S25" i="35"/>
  <c r="R27" i="35"/>
  <c r="R51" i="35"/>
  <c r="S25" i="39"/>
  <c r="R27" i="39"/>
  <c r="R51" i="39"/>
  <c r="R25" i="36"/>
  <c r="Q27" i="36"/>
  <c r="Q51" i="36"/>
  <c r="R25" i="33"/>
  <c r="Q27" i="33"/>
  <c r="Q51" i="33"/>
  <c r="U25" i="31"/>
  <c r="T27" i="31"/>
  <c r="T51" i="31"/>
  <c r="P32" i="36"/>
  <c r="Q30" i="36"/>
  <c r="Q35" i="36"/>
  <c r="Q41" i="36" s="1"/>
  <c r="Q47" i="36" s="1"/>
  <c r="P37" i="36"/>
  <c r="P32" i="34"/>
  <c r="Q30" i="34"/>
  <c r="R32" i="39"/>
  <c r="S30" i="39"/>
  <c r="R30" i="30"/>
  <c r="Q32" i="30"/>
  <c r="Q35" i="13"/>
  <c r="Q44" i="13" s="1"/>
  <c r="Q47" i="13" s="1"/>
  <c r="P37" i="13"/>
  <c r="R37" i="34"/>
  <c r="S35" i="34"/>
  <c r="P37" i="31"/>
  <c r="Q35" i="31"/>
  <c r="Q44" i="31" s="1"/>
  <c r="Q47" i="31" s="1"/>
  <c r="Q50" i="31" s="1"/>
  <c r="R37" i="33"/>
  <c r="S35" i="33"/>
  <c r="Q32" i="33"/>
  <c r="R30" i="33"/>
  <c r="Q35" i="35"/>
  <c r="Q41" i="35" s="1"/>
  <c r="Q47" i="35" s="1"/>
  <c r="P37" i="35"/>
  <c r="P37" i="30"/>
  <c r="Q35" i="30"/>
  <c r="Q44" i="30" s="1"/>
  <c r="Q47" i="30" s="1"/>
  <c r="Q50" i="30" s="1"/>
  <c r="R30" i="13"/>
  <c r="Q32" i="13"/>
  <c r="Q35" i="39"/>
  <c r="Q44" i="39" s="1"/>
  <c r="Q47" i="39" s="1"/>
  <c r="P37" i="39"/>
  <c r="S32" i="31"/>
  <c r="T30" i="31"/>
  <c r="P32" i="32"/>
  <c r="Q30" i="32"/>
  <c r="Q35" i="38"/>
  <c r="Q44" i="38" s="1"/>
  <c r="Q47" i="38" s="1"/>
  <c r="P37" i="38"/>
  <c r="R32" i="38"/>
  <c r="S30" i="38"/>
  <c r="R35" i="32"/>
  <c r="Q37" i="32"/>
  <c r="R30" i="35"/>
  <c r="Q32" i="35"/>
  <c r="T50" i="39"/>
  <c r="U24" i="39"/>
  <c r="P24" i="38"/>
  <c r="O50" i="38"/>
  <c r="P24" i="36"/>
  <c r="O50" i="36"/>
  <c r="R50" i="35"/>
  <c r="S24" i="35"/>
  <c r="V24" i="34"/>
  <c r="U50" i="34"/>
  <c r="U24" i="33"/>
  <c r="T50" i="33"/>
  <c r="U50" i="32"/>
  <c r="V24" i="32"/>
  <c r="Z24" i="31"/>
  <c r="Y50" i="31"/>
  <c r="T24" i="30"/>
  <c r="S50" i="30"/>
  <c r="V24" i="13"/>
  <c r="U50" i="13"/>
  <c r="AU21" i="13"/>
  <c r="AU20" i="13"/>
  <c r="S25" i="34" l="1"/>
  <c r="R27" i="34"/>
  <c r="R51" i="34"/>
  <c r="T25" i="35"/>
  <c r="S27" i="35"/>
  <c r="S51" i="35"/>
  <c r="T25" i="39"/>
  <c r="S27" i="39"/>
  <c r="S51" i="39"/>
  <c r="S25" i="36"/>
  <c r="R27" i="36"/>
  <c r="R51" i="36"/>
  <c r="S25" i="33"/>
  <c r="R27" i="33"/>
  <c r="R51" i="33"/>
  <c r="V25" i="31"/>
  <c r="U27" i="31"/>
  <c r="U51" i="31"/>
  <c r="Q32" i="36"/>
  <c r="R30" i="36"/>
  <c r="R35" i="39"/>
  <c r="R44" i="39" s="1"/>
  <c r="R47" i="39" s="1"/>
  <c r="Q37" i="39"/>
  <c r="T35" i="34"/>
  <c r="S37" i="34"/>
  <c r="S30" i="35"/>
  <c r="R32" i="35"/>
  <c r="R37" i="32"/>
  <c r="S35" i="32"/>
  <c r="S32" i="38"/>
  <c r="T30" i="38"/>
  <c r="S30" i="30"/>
  <c r="R32" i="30"/>
  <c r="S30" i="33"/>
  <c r="R32" i="33"/>
  <c r="R35" i="38"/>
  <c r="R44" i="38" s="1"/>
  <c r="R47" i="38" s="1"/>
  <c r="Q37" i="38"/>
  <c r="Q32" i="32"/>
  <c r="R30" i="32"/>
  <c r="R30" i="34"/>
  <c r="Q32" i="34"/>
  <c r="U30" i="31"/>
  <c r="T32" i="31"/>
  <c r="R35" i="36"/>
  <c r="R41" i="36" s="1"/>
  <c r="R47" i="36" s="1"/>
  <c r="Q37" i="36"/>
  <c r="R35" i="31"/>
  <c r="R44" i="31" s="1"/>
  <c r="R47" i="31" s="1"/>
  <c r="R50" i="31" s="1"/>
  <c r="Q37" i="31"/>
  <c r="R35" i="30"/>
  <c r="R44" i="30" s="1"/>
  <c r="R47" i="30" s="1"/>
  <c r="R50" i="30" s="1"/>
  <c r="Q37" i="30"/>
  <c r="Q37" i="35"/>
  <c r="R35" i="35"/>
  <c r="R41" i="35" s="1"/>
  <c r="R47" i="35" s="1"/>
  <c r="S37" i="33"/>
  <c r="T35" i="33"/>
  <c r="S30" i="13"/>
  <c r="R32" i="13"/>
  <c r="R35" i="13"/>
  <c r="R44" i="13" s="1"/>
  <c r="R47" i="13" s="1"/>
  <c r="Q37" i="13"/>
  <c r="S32" i="39"/>
  <c r="T30" i="39"/>
  <c r="V24" i="39"/>
  <c r="U50" i="39"/>
  <c r="Q24" i="38"/>
  <c r="P50" i="38"/>
  <c r="Q24" i="36"/>
  <c r="P50" i="36"/>
  <c r="S50" i="35"/>
  <c r="T24" i="35"/>
  <c r="W24" i="34"/>
  <c r="V50" i="34"/>
  <c r="V24" i="33"/>
  <c r="U50" i="33"/>
  <c r="V50" i="32"/>
  <c r="W24" i="32"/>
  <c r="AA24" i="31"/>
  <c r="Z50" i="31"/>
  <c r="T50" i="30"/>
  <c r="U24" i="30"/>
  <c r="W24" i="13"/>
  <c r="V50" i="13"/>
  <c r="T25" i="34" l="1"/>
  <c r="S27" i="34"/>
  <c r="S51" i="34"/>
  <c r="U25" i="35"/>
  <c r="T27" i="35"/>
  <c r="T51" i="35"/>
  <c r="U25" i="39"/>
  <c r="T27" i="39"/>
  <c r="T51" i="39"/>
  <c r="T25" i="36"/>
  <c r="S27" i="36"/>
  <c r="S51" i="36"/>
  <c r="T25" i="33"/>
  <c r="S27" i="33"/>
  <c r="S51" i="33"/>
  <c r="W25" i="31"/>
  <c r="V27" i="31"/>
  <c r="V51" i="31"/>
  <c r="R32" i="36"/>
  <c r="S30" i="36"/>
  <c r="S35" i="31"/>
  <c r="S44" i="31" s="1"/>
  <c r="S47" i="31" s="1"/>
  <c r="S50" i="31" s="1"/>
  <c r="R37" i="31"/>
  <c r="S35" i="36"/>
  <c r="S41" i="36" s="1"/>
  <c r="S47" i="36" s="1"/>
  <c r="R37" i="36"/>
  <c r="T32" i="38"/>
  <c r="U30" i="38"/>
  <c r="S35" i="13"/>
  <c r="S44" i="13" s="1"/>
  <c r="S47" i="13" s="1"/>
  <c r="R37" i="13"/>
  <c r="S37" i="32"/>
  <c r="T35" i="32"/>
  <c r="S32" i="13"/>
  <c r="T30" i="13"/>
  <c r="U35" i="33"/>
  <c r="T37" i="33"/>
  <c r="S32" i="35"/>
  <c r="T30" i="35"/>
  <c r="R32" i="32"/>
  <c r="S30" i="32"/>
  <c r="U35" i="34"/>
  <c r="T37" i="34"/>
  <c r="S32" i="33"/>
  <c r="T30" i="33"/>
  <c r="U30" i="39"/>
  <c r="T32" i="39"/>
  <c r="S32" i="30"/>
  <c r="T30" i="30"/>
  <c r="U32" i="31"/>
  <c r="V30" i="31"/>
  <c r="R32" i="34"/>
  <c r="S30" i="34"/>
  <c r="S35" i="35"/>
  <c r="S41" i="35" s="1"/>
  <c r="S47" i="35" s="1"/>
  <c r="R37" i="35"/>
  <c r="S35" i="30"/>
  <c r="S44" i="30" s="1"/>
  <c r="S47" i="30" s="1"/>
  <c r="R37" i="30"/>
  <c r="S35" i="38"/>
  <c r="S44" i="38" s="1"/>
  <c r="S47" i="38" s="1"/>
  <c r="R37" i="38"/>
  <c r="S35" i="39"/>
  <c r="S44" i="39" s="1"/>
  <c r="S47" i="39" s="1"/>
  <c r="R37" i="39"/>
  <c r="V50" i="39"/>
  <c r="W24" i="39"/>
  <c r="R24" i="38"/>
  <c r="Q50" i="38"/>
  <c r="R24" i="36"/>
  <c r="Q50" i="36"/>
  <c r="T50" i="35"/>
  <c r="U24" i="35"/>
  <c r="X24" i="34"/>
  <c r="W50" i="34"/>
  <c r="V50" i="33"/>
  <c r="W24" i="33"/>
  <c r="X24" i="32"/>
  <c r="W50" i="32"/>
  <c r="AB24" i="31"/>
  <c r="AA50" i="31"/>
  <c r="U50" i="30"/>
  <c r="V24" i="30"/>
  <c r="X24" i="13"/>
  <c r="W50" i="13"/>
  <c r="U25" i="34" l="1"/>
  <c r="T27" i="34"/>
  <c r="T51" i="34"/>
  <c r="V25" i="35"/>
  <c r="U27" i="35"/>
  <c r="U51" i="35"/>
  <c r="V25" i="39"/>
  <c r="U27" i="39"/>
  <c r="U51" i="39"/>
  <c r="U25" i="36"/>
  <c r="T27" i="36"/>
  <c r="T51" i="36"/>
  <c r="U25" i="33"/>
  <c r="T27" i="33"/>
  <c r="T51" i="33"/>
  <c r="X25" i="31"/>
  <c r="W27" i="31"/>
  <c r="W51" i="31"/>
  <c r="S32" i="36"/>
  <c r="T30" i="36"/>
  <c r="V35" i="33"/>
  <c r="U37" i="33"/>
  <c r="T32" i="30"/>
  <c r="U30" i="30"/>
  <c r="T35" i="39"/>
  <c r="T44" i="39" s="1"/>
  <c r="T47" i="39" s="1"/>
  <c r="S37" i="39"/>
  <c r="T35" i="38"/>
  <c r="T44" i="38" s="1"/>
  <c r="T47" i="38" s="1"/>
  <c r="S37" i="38"/>
  <c r="U32" i="39"/>
  <c r="V30" i="39"/>
  <c r="T32" i="33"/>
  <c r="U30" i="33"/>
  <c r="T35" i="30"/>
  <c r="T44" i="30" s="1"/>
  <c r="T47" i="30" s="1"/>
  <c r="S37" i="30"/>
  <c r="S37" i="13"/>
  <c r="T35" i="13"/>
  <c r="T44" i="13" s="1"/>
  <c r="T47" i="13" s="1"/>
  <c r="V30" i="38"/>
  <c r="U32" i="38"/>
  <c r="U35" i="32"/>
  <c r="T37" i="32"/>
  <c r="T35" i="35"/>
  <c r="T41" i="35" s="1"/>
  <c r="T47" i="35" s="1"/>
  <c r="S37" i="35"/>
  <c r="U37" i="34"/>
  <c r="V35" i="34"/>
  <c r="T30" i="34"/>
  <c r="S32" i="34"/>
  <c r="T30" i="32"/>
  <c r="S32" i="32"/>
  <c r="T32" i="13"/>
  <c r="U30" i="13"/>
  <c r="T35" i="36"/>
  <c r="T41" i="36" s="1"/>
  <c r="T47" i="36" s="1"/>
  <c r="S37" i="36"/>
  <c r="W30" i="31"/>
  <c r="V32" i="31"/>
  <c r="U30" i="35"/>
  <c r="T32" i="35"/>
  <c r="T35" i="31"/>
  <c r="T44" i="31" s="1"/>
  <c r="T47" i="31" s="1"/>
  <c r="S37" i="31"/>
  <c r="X24" i="39"/>
  <c r="W50" i="39"/>
  <c r="S24" i="38"/>
  <c r="R50" i="38"/>
  <c r="R50" i="36"/>
  <c r="S24" i="36"/>
  <c r="V24" i="35"/>
  <c r="U50" i="35"/>
  <c r="Y24" i="34"/>
  <c r="X50" i="34"/>
  <c r="X24" i="33"/>
  <c r="W50" i="33"/>
  <c r="Y24" i="32"/>
  <c r="X50" i="32"/>
  <c r="AC24" i="31"/>
  <c r="AB50" i="31"/>
  <c r="W24" i="30"/>
  <c r="V50" i="30"/>
  <c r="Y24" i="13"/>
  <c r="X50" i="13"/>
  <c r="V25" i="34" l="1"/>
  <c r="U27" i="34"/>
  <c r="U51" i="34"/>
  <c r="W25" i="35"/>
  <c r="V27" i="35"/>
  <c r="V51" i="35"/>
  <c r="W25" i="39"/>
  <c r="V27" i="39"/>
  <c r="V51" i="39"/>
  <c r="V25" i="36"/>
  <c r="U27" i="36"/>
  <c r="U51" i="36"/>
  <c r="V25" i="33"/>
  <c r="U27" i="33"/>
  <c r="U51" i="33"/>
  <c r="Y25" i="31"/>
  <c r="X27" i="31"/>
  <c r="X51" i="31"/>
  <c r="T32" i="36"/>
  <c r="U30" i="36"/>
  <c r="T32" i="32"/>
  <c r="U30" i="32"/>
  <c r="T37" i="30"/>
  <c r="U35" i="30"/>
  <c r="U44" i="30" s="1"/>
  <c r="U47" i="30" s="1"/>
  <c r="V30" i="33"/>
  <c r="U32" i="33"/>
  <c r="U35" i="31"/>
  <c r="U44" i="31" s="1"/>
  <c r="U47" i="31" s="1"/>
  <c r="T37" i="31"/>
  <c r="U30" i="34"/>
  <c r="T32" i="34"/>
  <c r="W35" i="34"/>
  <c r="V37" i="34"/>
  <c r="W30" i="39"/>
  <c r="V32" i="39"/>
  <c r="U32" i="35"/>
  <c r="V30" i="35"/>
  <c r="X30" i="31"/>
  <c r="W32" i="31"/>
  <c r="T37" i="35"/>
  <c r="U35" i="35"/>
  <c r="U41" i="35" s="1"/>
  <c r="U47" i="35" s="1"/>
  <c r="T37" i="38"/>
  <c r="U35" i="38"/>
  <c r="U44" i="38" s="1"/>
  <c r="U47" i="38" s="1"/>
  <c r="T37" i="36"/>
  <c r="U35" i="36"/>
  <c r="U41" i="36" s="1"/>
  <c r="U47" i="36" s="1"/>
  <c r="V35" i="32"/>
  <c r="U37" i="32"/>
  <c r="U35" i="39"/>
  <c r="U44" i="39" s="1"/>
  <c r="U47" i="39" s="1"/>
  <c r="T37" i="39"/>
  <c r="V30" i="13"/>
  <c r="U32" i="13"/>
  <c r="V30" i="30"/>
  <c r="U32" i="30"/>
  <c r="V32" i="38"/>
  <c r="W30" i="38"/>
  <c r="U35" i="13"/>
  <c r="U44" i="13" s="1"/>
  <c r="U47" i="13" s="1"/>
  <c r="T37" i="13"/>
  <c r="W35" i="33"/>
  <c r="V37" i="33"/>
  <c r="Y24" i="39"/>
  <c r="X50" i="39"/>
  <c r="S50" i="38"/>
  <c r="T24" i="38"/>
  <c r="S50" i="36"/>
  <c r="T24" i="36"/>
  <c r="V50" i="35"/>
  <c r="W24" i="35"/>
  <c r="Z24" i="34"/>
  <c r="Y50" i="34"/>
  <c r="Y24" i="33"/>
  <c r="X50" i="33"/>
  <c r="Z24" i="32"/>
  <c r="Y50" i="32"/>
  <c r="AD24" i="31"/>
  <c r="AC50" i="31"/>
  <c r="X24" i="30"/>
  <c r="W50" i="30"/>
  <c r="Z24" i="13"/>
  <c r="Y50" i="13"/>
  <c r="W25" i="34" l="1"/>
  <c r="V27" i="34"/>
  <c r="V51" i="34"/>
  <c r="X25" i="35"/>
  <c r="W27" i="35"/>
  <c r="W51" i="35"/>
  <c r="X25" i="39"/>
  <c r="W27" i="39"/>
  <c r="W51" i="39"/>
  <c r="W25" i="36"/>
  <c r="V27" i="36"/>
  <c r="V51" i="36"/>
  <c r="W25" i="33"/>
  <c r="V27" i="33"/>
  <c r="V51" i="33"/>
  <c r="Z25" i="31"/>
  <c r="Y27" i="31"/>
  <c r="Y51" i="31"/>
  <c r="U32" i="36"/>
  <c r="V30" i="36"/>
  <c r="W32" i="39"/>
  <c r="X30" i="39"/>
  <c r="W35" i="32"/>
  <c r="V37" i="32"/>
  <c r="U37" i="13"/>
  <c r="V35" i="13"/>
  <c r="V44" i="13" s="1"/>
  <c r="V47" i="13" s="1"/>
  <c r="U37" i="38"/>
  <c r="V35" i="38"/>
  <c r="V44" i="38" s="1"/>
  <c r="V47" i="38" s="1"/>
  <c r="V35" i="31"/>
  <c r="V44" i="31" s="1"/>
  <c r="V47" i="31" s="1"/>
  <c r="U37" i="31"/>
  <c r="X30" i="38"/>
  <c r="W32" i="38"/>
  <c r="U37" i="35"/>
  <c r="V35" i="35"/>
  <c r="V41" i="35" s="1"/>
  <c r="V47" i="35" s="1"/>
  <c r="V32" i="33"/>
  <c r="W30" i="33"/>
  <c r="W30" i="35"/>
  <c r="V32" i="35"/>
  <c r="U37" i="39"/>
  <c r="V35" i="39"/>
  <c r="V44" i="39" s="1"/>
  <c r="V47" i="39" s="1"/>
  <c r="W37" i="33"/>
  <c r="X35" i="33"/>
  <c r="W37" i="34"/>
  <c r="X35" i="34"/>
  <c r="U37" i="36"/>
  <c r="V35" i="36"/>
  <c r="V41" i="36" s="1"/>
  <c r="V47" i="36" s="1"/>
  <c r="V30" i="34"/>
  <c r="U32" i="34"/>
  <c r="V35" i="30"/>
  <c r="V44" i="30" s="1"/>
  <c r="V47" i="30" s="1"/>
  <c r="U37" i="30"/>
  <c r="W30" i="30"/>
  <c r="V32" i="30"/>
  <c r="Y30" i="31"/>
  <c r="X32" i="31"/>
  <c r="V30" i="32"/>
  <c r="U32" i="32"/>
  <c r="V32" i="13"/>
  <c r="W30" i="13"/>
  <c r="Z24" i="39"/>
  <c r="Y50" i="39"/>
  <c r="T50" i="38"/>
  <c r="U24" i="38"/>
  <c r="T50" i="36"/>
  <c r="U24" i="36"/>
  <c r="X24" i="35"/>
  <c r="W50" i="35"/>
  <c r="AA24" i="34"/>
  <c r="Z50" i="34"/>
  <c r="Z24" i="33"/>
  <c r="Y50" i="33"/>
  <c r="AA24" i="32"/>
  <c r="Z50" i="32"/>
  <c r="AE24" i="31"/>
  <c r="AD50" i="31"/>
  <c r="Y24" i="30"/>
  <c r="X50" i="30"/>
  <c r="AA24" i="13"/>
  <c r="Z50" i="13"/>
  <c r="X25" i="34" l="1"/>
  <c r="W27" i="34"/>
  <c r="W51" i="34"/>
  <c r="Y25" i="35"/>
  <c r="X27" i="35"/>
  <c r="X51" i="35"/>
  <c r="Y25" i="39"/>
  <c r="X27" i="39"/>
  <c r="X51" i="39"/>
  <c r="X25" i="36"/>
  <c r="W27" i="36"/>
  <c r="W51" i="36"/>
  <c r="X25" i="33"/>
  <c r="W27" i="33"/>
  <c r="W51" i="33"/>
  <c r="AA25" i="31"/>
  <c r="Z27" i="31"/>
  <c r="Z51" i="31"/>
  <c r="V32" i="36"/>
  <c r="W30" i="36"/>
  <c r="V32" i="34"/>
  <c r="W30" i="34"/>
  <c r="W32" i="13"/>
  <c r="X30" i="13"/>
  <c r="V37" i="36"/>
  <c r="W35" i="36"/>
  <c r="W41" i="36" s="1"/>
  <c r="W47" i="36" s="1"/>
  <c r="Y30" i="38"/>
  <c r="X32" i="38"/>
  <c r="X37" i="34"/>
  <c r="Y35" i="34"/>
  <c r="W30" i="32"/>
  <c r="V32" i="32"/>
  <c r="W35" i="31"/>
  <c r="W44" i="31" s="1"/>
  <c r="W47" i="31" s="1"/>
  <c r="V37" i="31"/>
  <c r="Y35" i="33"/>
  <c r="X37" i="33"/>
  <c r="V37" i="38"/>
  <c r="W35" i="38"/>
  <c r="W44" i="38" s="1"/>
  <c r="W47" i="38" s="1"/>
  <c r="Z30" i="31"/>
  <c r="Y32" i="31"/>
  <c r="V37" i="39"/>
  <c r="W35" i="39"/>
  <c r="W44" i="39" s="1"/>
  <c r="W47" i="39" s="1"/>
  <c r="V37" i="13"/>
  <c r="W35" i="13"/>
  <c r="W44" i="13" s="1"/>
  <c r="W47" i="13" s="1"/>
  <c r="X30" i="30"/>
  <c r="W32" i="30"/>
  <c r="W35" i="30"/>
  <c r="W44" i="30" s="1"/>
  <c r="W47" i="30" s="1"/>
  <c r="V37" i="30"/>
  <c r="W32" i="35"/>
  <c r="X30" i="35"/>
  <c r="W37" i="32"/>
  <c r="X35" i="32"/>
  <c r="W32" i="33"/>
  <c r="X30" i="33"/>
  <c r="X32" i="39"/>
  <c r="Y30" i="39"/>
  <c r="V37" i="35"/>
  <c r="W35" i="35"/>
  <c r="W41" i="35" s="1"/>
  <c r="W47" i="35" s="1"/>
  <c r="AA24" i="39"/>
  <c r="Z50" i="39"/>
  <c r="V24" i="38"/>
  <c r="U50" i="38"/>
  <c r="U50" i="36"/>
  <c r="V24" i="36"/>
  <c r="Y24" i="35"/>
  <c r="X50" i="35"/>
  <c r="AB24" i="34"/>
  <c r="AA50" i="34"/>
  <c r="AA24" i="33"/>
  <c r="Z50" i="33"/>
  <c r="AB24" i="32"/>
  <c r="AA50" i="32"/>
  <c r="AF24" i="31"/>
  <c r="AE50" i="31"/>
  <c r="Z24" i="30"/>
  <c r="Y50" i="30"/>
  <c r="AB24" i="13"/>
  <c r="AA50" i="13"/>
  <c r="Y25" i="34" l="1"/>
  <c r="X27" i="34"/>
  <c r="X51" i="34"/>
  <c r="Z25" i="35"/>
  <c r="Y27" i="35"/>
  <c r="Y51" i="35"/>
  <c r="Z25" i="39"/>
  <c r="Y27" i="39"/>
  <c r="Y51" i="39"/>
  <c r="Y25" i="36"/>
  <c r="X27" i="36"/>
  <c r="X51" i="36"/>
  <c r="Y25" i="33"/>
  <c r="X27" i="33"/>
  <c r="X51" i="33"/>
  <c r="AB25" i="31"/>
  <c r="AA27" i="31"/>
  <c r="AA51" i="31"/>
  <c r="X30" i="36"/>
  <c r="W32" i="36"/>
  <c r="W37" i="13"/>
  <c r="X35" i="13"/>
  <c r="X44" i="13" s="1"/>
  <c r="X47" i="13" s="1"/>
  <c r="Y32" i="39"/>
  <c r="Z30" i="39"/>
  <c r="Y32" i="38"/>
  <c r="Z30" i="38"/>
  <c r="X35" i="30"/>
  <c r="X44" i="30" s="1"/>
  <c r="X47" i="30" s="1"/>
  <c r="W37" i="30"/>
  <c r="X35" i="31"/>
  <c r="X44" i="31" s="1"/>
  <c r="X47" i="31" s="1"/>
  <c r="W37" i="31"/>
  <c r="W37" i="35"/>
  <c r="X35" i="35"/>
  <c r="X41" i="35" s="1"/>
  <c r="X47" i="35" s="1"/>
  <c r="Y30" i="30"/>
  <c r="X32" i="30"/>
  <c r="W32" i="32"/>
  <c r="X30" i="32"/>
  <c r="Y37" i="34"/>
  <c r="Z35" i="34"/>
  <c r="X35" i="39"/>
  <c r="X44" i="39" s="1"/>
  <c r="X47" i="39" s="1"/>
  <c r="W37" i="39"/>
  <c r="X32" i="33"/>
  <c r="Y30" i="33"/>
  <c r="W37" i="36"/>
  <c r="X35" i="36"/>
  <c r="X41" i="36" s="1"/>
  <c r="X47" i="36" s="1"/>
  <c r="AA30" i="31"/>
  <c r="Z32" i="31"/>
  <c r="X37" i="32"/>
  <c r="Y35" i="32"/>
  <c r="W37" i="38"/>
  <c r="X35" i="38"/>
  <c r="X44" i="38" s="1"/>
  <c r="X47" i="38" s="1"/>
  <c r="X32" i="13"/>
  <c r="Y30" i="13"/>
  <c r="X32" i="35"/>
  <c r="Y30" i="35"/>
  <c r="W32" i="34"/>
  <c r="X30" i="34"/>
  <c r="Y37" i="33"/>
  <c r="Z35" i="33"/>
  <c r="AB24" i="39"/>
  <c r="AA50" i="39"/>
  <c r="V50" i="38"/>
  <c r="W24" i="38"/>
  <c r="V50" i="36"/>
  <c r="W24" i="36"/>
  <c r="Y50" i="35"/>
  <c r="Z24" i="35"/>
  <c r="AC24" i="34"/>
  <c r="AB50" i="34"/>
  <c r="AB24" i="33"/>
  <c r="AA50" i="33"/>
  <c r="AC24" i="32"/>
  <c r="AB50" i="32"/>
  <c r="AG24" i="31"/>
  <c r="AF50" i="31"/>
  <c r="Z50" i="30"/>
  <c r="AA24" i="30"/>
  <c r="AC24" i="13"/>
  <c r="AB50" i="13"/>
  <c r="Z25" i="34" l="1"/>
  <c r="Y27" i="34"/>
  <c r="Y51" i="34"/>
  <c r="AA25" i="35"/>
  <c r="Z27" i="35"/>
  <c r="Z51" i="35"/>
  <c r="AA25" i="39"/>
  <c r="Z27" i="39"/>
  <c r="Z51" i="39"/>
  <c r="Z25" i="36"/>
  <c r="Y27" i="36"/>
  <c r="Y51" i="36"/>
  <c r="Z25" i="33"/>
  <c r="Y27" i="33"/>
  <c r="Y51" i="33"/>
  <c r="AC25" i="31"/>
  <c r="AB27" i="31"/>
  <c r="AB51" i="31"/>
  <c r="Y30" i="36"/>
  <c r="X32" i="36"/>
  <c r="X37" i="35"/>
  <c r="Y35" i="35"/>
  <c r="Y41" i="35" s="1"/>
  <c r="Y47" i="35" s="1"/>
  <c r="AB30" i="31"/>
  <c r="AA32" i="31"/>
  <c r="Z37" i="33"/>
  <c r="AA35" i="33"/>
  <c r="Y35" i="31"/>
  <c r="Y44" i="31" s="1"/>
  <c r="Y47" i="31" s="1"/>
  <c r="X37" i="31"/>
  <c r="Y30" i="34"/>
  <c r="X32" i="34"/>
  <c r="AA30" i="38"/>
  <c r="Z32" i="38"/>
  <c r="X37" i="39"/>
  <c r="Y35" i="39"/>
  <c r="Y44" i="39" s="1"/>
  <c r="Y47" i="39" s="1"/>
  <c r="Y32" i="13"/>
  <c r="Z30" i="13"/>
  <c r="AA35" i="34"/>
  <c r="Z37" i="34"/>
  <c r="X37" i="38"/>
  <c r="Y35" i="38"/>
  <c r="Y44" i="38" s="1"/>
  <c r="Y47" i="38" s="1"/>
  <c r="X32" i="32"/>
  <c r="Y30" i="32"/>
  <c r="Y37" i="32"/>
  <c r="Z35" i="32"/>
  <c r="Y35" i="13"/>
  <c r="Y44" i="13" s="1"/>
  <c r="Y47" i="13" s="1"/>
  <c r="X37" i="13"/>
  <c r="Y35" i="36"/>
  <c r="Y41" i="36" s="1"/>
  <c r="Y47" i="36" s="1"/>
  <c r="X37" i="36"/>
  <c r="Z30" i="33"/>
  <c r="Y32" i="33"/>
  <c r="Y35" i="30"/>
  <c r="Y44" i="30" s="1"/>
  <c r="Y47" i="30" s="1"/>
  <c r="X37" i="30"/>
  <c r="Y32" i="35"/>
  <c r="Z30" i="35"/>
  <c r="AA30" i="39"/>
  <c r="Z32" i="39"/>
  <c r="Y32" i="30"/>
  <c r="Z30" i="30"/>
  <c r="AC24" i="39"/>
  <c r="AB50" i="39"/>
  <c r="X24" i="38"/>
  <c r="W50" i="38"/>
  <c r="X24" i="36"/>
  <c r="W50" i="36"/>
  <c r="AA24" i="35"/>
  <c r="Z50" i="35"/>
  <c r="AD24" i="34"/>
  <c r="AC50" i="34"/>
  <c r="AC24" i="33"/>
  <c r="AB50" i="33"/>
  <c r="AD24" i="32"/>
  <c r="AC50" i="32"/>
  <c r="AH24" i="31"/>
  <c r="AG50" i="31"/>
  <c r="AA50" i="30"/>
  <c r="AB24" i="30"/>
  <c r="AD24" i="13"/>
  <c r="AC50" i="13"/>
  <c r="AA25" i="34" l="1"/>
  <c r="Z27" i="34"/>
  <c r="Z51" i="34"/>
  <c r="AB25" i="35"/>
  <c r="AA27" i="35"/>
  <c r="AA51" i="35"/>
  <c r="AB25" i="39"/>
  <c r="AA27" i="39"/>
  <c r="AA51" i="39"/>
  <c r="AA25" i="36"/>
  <c r="Z27" i="36"/>
  <c r="Z51" i="36"/>
  <c r="AA25" i="33"/>
  <c r="Z27" i="33"/>
  <c r="Z51" i="33"/>
  <c r="AD25" i="31"/>
  <c r="AC27" i="31"/>
  <c r="AC51" i="31"/>
  <c r="Z30" i="36"/>
  <c r="Y32" i="36"/>
  <c r="Z35" i="13"/>
  <c r="Z44" i="13" s="1"/>
  <c r="Z47" i="13" s="1"/>
  <c r="Y37" i="13"/>
  <c r="Z37" i="32"/>
  <c r="AA35" i="32"/>
  <c r="AA32" i="39"/>
  <c r="AB30" i="39"/>
  <c r="Y32" i="32"/>
  <c r="Z30" i="32"/>
  <c r="Y37" i="39"/>
  <c r="Z35" i="39"/>
  <c r="Z44" i="39" s="1"/>
  <c r="Z47" i="39" s="1"/>
  <c r="AA30" i="30"/>
  <c r="Z32" i="30"/>
  <c r="AB30" i="38"/>
  <c r="AA32" i="38"/>
  <c r="Y32" i="34"/>
  <c r="Z30" i="34"/>
  <c r="Z32" i="35"/>
  <c r="AA30" i="35"/>
  <c r="Y37" i="31"/>
  <c r="Z35" i="31"/>
  <c r="Z44" i="31" s="1"/>
  <c r="Z47" i="31" s="1"/>
  <c r="Y37" i="38"/>
  <c r="Z35" i="38"/>
  <c r="Z44" i="38" s="1"/>
  <c r="Z47" i="38" s="1"/>
  <c r="AA37" i="33"/>
  <c r="AB35" i="33"/>
  <c r="Z35" i="30"/>
  <c r="Z44" i="30" s="1"/>
  <c r="Z47" i="30" s="1"/>
  <c r="Y37" i="30"/>
  <c r="AA30" i="33"/>
  <c r="Z32" i="33"/>
  <c r="AA37" i="34"/>
  <c r="AB35" i="34"/>
  <c r="AC30" i="31"/>
  <c r="AB32" i="31"/>
  <c r="Z32" i="13"/>
  <c r="AA30" i="13"/>
  <c r="Y37" i="35"/>
  <c r="Z35" i="35"/>
  <c r="Z41" i="35" s="1"/>
  <c r="Z47" i="35" s="1"/>
  <c r="Y37" i="36"/>
  <c r="Z35" i="36"/>
  <c r="Z41" i="36" s="1"/>
  <c r="Z47" i="36" s="1"/>
  <c r="AD24" i="39"/>
  <c r="AC50" i="39"/>
  <c r="Y24" i="38"/>
  <c r="X50" i="38"/>
  <c r="Y24" i="36"/>
  <c r="X50" i="36"/>
  <c r="AB24" i="35"/>
  <c r="AA50" i="35"/>
  <c r="AE24" i="34"/>
  <c r="AD50" i="34"/>
  <c r="AD24" i="33"/>
  <c r="AC50" i="33"/>
  <c r="AE24" i="32"/>
  <c r="AD50" i="32"/>
  <c r="AI24" i="31"/>
  <c r="AH50" i="31"/>
  <c r="AC24" i="30"/>
  <c r="AB50" i="30"/>
  <c r="AE24" i="13"/>
  <c r="AD50" i="13"/>
  <c r="AB25" i="34" l="1"/>
  <c r="AA27" i="34"/>
  <c r="AA51" i="34"/>
  <c r="AC25" i="35"/>
  <c r="AB27" i="35"/>
  <c r="AB51" i="35"/>
  <c r="AC25" i="39"/>
  <c r="AB27" i="39"/>
  <c r="AB51" i="39"/>
  <c r="AB25" i="36"/>
  <c r="AA27" i="36"/>
  <c r="AA51" i="36"/>
  <c r="AB25" i="33"/>
  <c r="AA27" i="33"/>
  <c r="AA51" i="33"/>
  <c r="AE25" i="31"/>
  <c r="AD27" i="31"/>
  <c r="AD51" i="31"/>
  <c r="AA30" i="36"/>
  <c r="Z32" i="36"/>
  <c r="AB30" i="33"/>
  <c r="AA32" i="33"/>
  <c r="Z37" i="13"/>
  <c r="AA35" i="13"/>
  <c r="AA44" i="13" s="1"/>
  <c r="AA47" i="13" s="1"/>
  <c r="Z37" i="30"/>
  <c r="AA35" i="30"/>
  <c r="AA44" i="30" s="1"/>
  <c r="AA47" i="30" s="1"/>
  <c r="AB32" i="38"/>
  <c r="AC30" i="38"/>
  <c r="Z37" i="36"/>
  <c r="AA35" i="36"/>
  <c r="AA41" i="36" s="1"/>
  <c r="AA47" i="36" s="1"/>
  <c r="AB37" i="33"/>
  <c r="AC35" i="33"/>
  <c r="AA32" i="30"/>
  <c r="AB30" i="30"/>
  <c r="AA35" i="35"/>
  <c r="AA41" i="35" s="1"/>
  <c r="AA47" i="35" s="1"/>
  <c r="Z37" i="35"/>
  <c r="AA35" i="38"/>
  <c r="AA44" i="38" s="1"/>
  <c r="AA47" i="38" s="1"/>
  <c r="Z37" i="38"/>
  <c r="Z37" i="39"/>
  <c r="AA35" i="39"/>
  <c r="AA44" i="39" s="1"/>
  <c r="AA47" i="39" s="1"/>
  <c r="AA32" i="13"/>
  <c r="AB30" i="13"/>
  <c r="AA35" i="31"/>
  <c r="AA44" i="31" s="1"/>
  <c r="AA47" i="31" s="1"/>
  <c r="Z37" i="31"/>
  <c r="AA30" i="32"/>
  <c r="Z32" i="32"/>
  <c r="AA32" i="35"/>
  <c r="AB30" i="35"/>
  <c r="AB32" i="39"/>
  <c r="AC30" i="39"/>
  <c r="AD30" i="31"/>
  <c r="AC32" i="31"/>
  <c r="AB37" i="34"/>
  <c r="AC35" i="34"/>
  <c r="Z32" i="34"/>
  <c r="AA30" i="34"/>
  <c r="AA37" i="32"/>
  <c r="AB35" i="32"/>
  <c r="AE24" i="39"/>
  <c r="AD50" i="39"/>
  <c r="Z24" i="38"/>
  <c r="Y50" i="38"/>
  <c r="Z24" i="36"/>
  <c r="Y50" i="36"/>
  <c r="AC24" i="35"/>
  <c r="AB50" i="35"/>
  <c r="AF24" i="34"/>
  <c r="AE50" i="34"/>
  <c r="AE24" i="33"/>
  <c r="AD50" i="33"/>
  <c r="AF24" i="32"/>
  <c r="AE50" i="32"/>
  <c r="AJ24" i="31"/>
  <c r="AI50" i="31"/>
  <c r="AD24" i="30"/>
  <c r="AC50" i="30"/>
  <c r="AF24" i="13"/>
  <c r="AE50" i="13"/>
  <c r="AC25" i="34" l="1"/>
  <c r="AB27" i="34"/>
  <c r="AB51" i="34"/>
  <c r="AD25" i="35"/>
  <c r="AC27" i="35"/>
  <c r="AC51" i="35"/>
  <c r="AD25" i="39"/>
  <c r="AC27" i="39"/>
  <c r="AC51" i="39"/>
  <c r="AB27" i="36"/>
  <c r="AB51" i="36"/>
  <c r="AC25" i="33"/>
  <c r="AB27" i="33"/>
  <c r="AB51" i="33"/>
  <c r="AF25" i="31"/>
  <c r="AE27" i="31"/>
  <c r="AE51" i="31"/>
  <c r="AB30" i="36"/>
  <c r="AA32" i="36"/>
  <c r="AC37" i="33"/>
  <c r="AD35" i="33"/>
  <c r="AB30" i="32"/>
  <c r="AA32" i="32"/>
  <c r="AB37" i="32"/>
  <c r="AC35" i="32"/>
  <c r="AA37" i="36"/>
  <c r="AB35" i="36"/>
  <c r="AB41" i="36" s="1"/>
  <c r="AB47" i="36" s="1"/>
  <c r="AA37" i="31"/>
  <c r="AB35" i="31"/>
  <c r="AB44" i="31" s="1"/>
  <c r="AB47" i="31" s="1"/>
  <c r="AA32" i="34"/>
  <c r="AB30" i="34"/>
  <c r="AB32" i="13"/>
  <c r="AC30" i="13"/>
  <c r="AD30" i="38"/>
  <c r="AC32" i="38"/>
  <c r="AD35" i="34"/>
  <c r="AC37" i="34"/>
  <c r="AB35" i="39"/>
  <c r="AB44" i="39" s="1"/>
  <c r="AB47" i="39" s="1"/>
  <c r="AA37" i="39"/>
  <c r="AB35" i="30"/>
  <c r="AB44" i="30" s="1"/>
  <c r="AB47" i="30" s="1"/>
  <c r="AA37" i="30"/>
  <c r="AA37" i="13"/>
  <c r="AB35" i="13"/>
  <c r="AB44" i="13" s="1"/>
  <c r="AB47" i="13" s="1"/>
  <c r="AE30" i="31"/>
  <c r="AD32" i="31"/>
  <c r="AA37" i="38"/>
  <c r="AB35" i="38"/>
  <c r="AB44" i="38" s="1"/>
  <c r="AB47" i="38" s="1"/>
  <c r="AC32" i="39"/>
  <c r="AD30" i="39"/>
  <c r="AA37" i="35"/>
  <c r="AB35" i="35"/>
  <c r="AB41" i="35" s="1"/>
  <c r="AB47" i="35" s="1"/>
  <c r="AB32" i="35"/>
  <c r="AC30" i="35"/>
  <c r="AC30" i="30"/>
  <c r="AB32" i="30"/>
  <c r="AB32" i="33"/>
  <c r="AC30" i="33"/>
  <c r="AF24" i="39"/>
  <c r="AE50" i="39"/>
  <c r="AA24" i="38"/>
  <c r="Z50" i="38"/>
  <c r="AA24" i="36"/>
  <c r="Z50" i="36"/>
  <c r="AD24" i="35"/>
  <c r="AC50" i="35"/>
  <c r="AF50" i="34"/>
  <c r="AG24" i="34"/>
  <c r="AF24" i="33"/>
  <c r="AE50" i="33"/>
  <c r="AG24" i="32"/>
  <c r="AF50" i="32"/>
  <c r="AK24" i="31"/>
  <c r="AJ50" i="31"/>
  <c r="AE24" i="30"/>
  <c r="AD50" i="30"/>
  <c r="AG24" i="13"/>
  <c r="AF50" i="13"/>
  <c r="AD25" i="34" l="1"/>
  <c r="AC27" i="34"/>
  <c r="AC51" i="34"/>
  <c r="AE25" i="35"/>
  <c r="AD27" i="35"/>
  <c r="AD51" i="35"/>
  <c r="AE25" i="39"/>
  <c r="AD27" i="39"/>
  <c r="AD51" i="39"/>
  <c r="AC27" i="36"/>
  <c r="AC51" i="36"/>
  <c r="AD25" i="33"/>
  <c r="AC27" i="33"/>
  <c r="AC51" i="33"/>
  <c r="AG25" i="31"/>
  <c r="AF27" i="31"/>
  <c r="AF51" i="31"/>
  <c r="AC30" i="36"/>
  <c r="AB32" i="36"/>
  <c r="AB37" i="38"/>
  <c r="AC35" i="38"/>
  <c r="AC44" i="38" s="1"/>
  <c r="AC47" i="38" s="1"/>
  <c r="AD30" i="13"/>
  <c r="AC32" i="13"/>
  <c r="AD30" i="33"/>
  <c r="AC32" i="33"/>
  <c r="AB32" i="34"/>
  <c r="AC30" i="34"/>
  <c r="AE32" i="31"/>
  <c r="AF30" i="31"/>
  <c r="AB37" i="13"/>
  <c r="AC35" i="13"/>
  <c r="AC44" i="13" s="1"/>
  <c r="AC47" i="13" s="1"/>
  <c r="AB37" i="31"/>
  <c r="AC35" i="31"/>
  <c r="AC44" i="31" s="1"/>
  <c r="AC47" i="31" s="1"/>
  <c r="AD30" i="30"/>
  <c r="AC32" i="30"/>
  <c r="AC32" i="35"/>
  <c r="AD30" i="35"/>
  <c r="AB37" i="36"/>
  <c r="AC41" i="36"/>
  <c r="AC47" i="36" s="1"/>
  <c r="AB37" i="30"/>
  <c r="AC35" i="30"/>
  <c r="AC44" i="30" s="1"/>
  <c r="AC47" i="30" s="1"/>
  <c r="AD35" i="32"/>
  <c r="AC37" i="32"/>
  <c r="AC35" i="39"/>
  <c r="AC44" i="39" s="1"/>
  <c r="AC47" i="39" s="1"/>
  <c r="AB37" i="39"/>
  <c r="AB37" i="35"/>
  <c r="AC35" i="35"/>
  <c r="AC41" i="35" s="1"/>
  <c r="AC47" i="35" s="1"/>
  <c r="AE35" i="34"/>
  <c r="AD37" i="34"/>
  <c r="AB32" i="32"/>
  <c r="AC30" i="32"/>
  <c r="AD32" i="39"/>
  <c r="AE30" i="39"/>
  <c r="AE35" i="33"/>
  <c r="AD37" i="33"/>
  <c r="AE30" i="38"/>
  <c r="AD32" i="38"/>
  <c r="AG24" i="39"/>
  <c r="AF50" i="39"/>
  <c r="AB24" i="38"/>
  <c r="AA50" i="38"/>
  <c r="AB24" i="36"/>
  <c r="AA50" i="36"/>
  <c r="AE24" i="35"/>
  <c r="AD50" i="35"/>
  <c r="AG50" i="34"/>
  <c r="AH24" i="34"/>
  <c r="AF50" i="33"/>
  <c r="AG24" i="33"/>
  <c r="AH24" i="32"/>
  <c r="AG50" i="32"/>
  <c r="AL24" i="31"/>
  <c r="AK50" i="31"/>
  <c r="AF24" i="30"/>
  <c r="AE50" i="30"/>
  <c r="AH24" i="13"/>
  <c r="AG50" i="13"/>
  <c r="AE25" i="34" l="1"/>
  <c r="AD27" i="34"/>
  <c r="AD51" i="34"/>
  <c r="AF25" i="35"/>
  <c r="AE27" i="35"/>
  <c r="AE51" i="35"/>
  <c r="AF25" i="39"/>
  <c r="AE27" i="39"/>
  <c r="AE51" i="39"/>
  <c r="AD27" i="36"/>
  <c r="AD51" i="36"/>
  <c r="AE25" i="33"/>
  <c r="AD27" i="33"/>
  <c r="AD51" i="33"/>
  <c r="AH25" i="31"/>
  <c r="AG27" i="31"/>
  <c r="AG51" i="31"/>
  <c r="AC32" i="36"/>
  <c r="AD30" i="36"/>
  <c r="AE35" i="32"/>
  <c r="AD37" i="32"/>
  <c r="AF32" i="31"/>
  <c r="AG30" i="31"/>
  <c r="AD35" i="31"/>
  <c r="AD44" i="31" s="1"/>
  <c r="AD47" i="31" s="1"/>
  <c r="AC37" i="31"/>
  <c r="AC37" i="39"/>
  <c r="AD35" i="39"/>
  <c r="AD44" i="39" s="1"/>
  <c r="AD47" i="39" s="1"/>
  <c r="AC37" i="13"/>
  <c r="AD35" i="13"/>
  <c r="AD44" i="13" s="1"/>
  <c r="AD47" i="13" s="1"/>
  <c r="AE32" i="38"/>
  <c r="AF30" i="38"/>
  <c r="AF35" i="33"/>
  <c r="AE37" i="33"/>
  <c r="AE32" i="39"/>
  <c r="AF30" i="39"/>
  <c r="AC37" i="30"/>
  <c r="AD35" i="30"/>
  <c r="AD44" i="30" s="1"/>
  <c r="AD47" i="30" s="1"/>
  <c r="AC32" i="34"/>
  <c r="AD30" i="34"/>
  <c r="AC32" i="32"/>
  <c r="AD30" i="32"/>
  <c r="AC37" i="36"/>
  <c r="AD35" i="36"/>
  <c r="AD41" i="36" s="1"/>
  <c r="AD47" i="36" s="1"/>
  <c r="AD32" i="33"/>
  <c r="AE30" i="33"/>
  <c r="AE30" i="35"/>
  <c r="AD32" i="35"/>
  <c r="AF35" i="34"/>
  <c r="AE37" i="34"/>
  <c r="AD32" i="13"/>
  <c r="AE30" i="13"/>
  <c r="AD35" i="35"/>
  <c r="AD41" i="35" s="1"/>
  <c r="AD47" i="35" s="1"/>
  <c r="AC37" i="35"/>
  <c r="AC37" i="38"/>
  <c r="AD35" i="38"/>
  <c r="AD44" i="38" s="1"/>
  <c r="AD47" i="38" s="1"/>
  <c r="AD32" i="30"/>
  <c r="AE30" i="30"/>
  <c r="AG50" i="39"/>
  <c r="AH24" i="39"/>
  <c r="AC24" i="38"/>
  <c r="AB50" i="38"/>
  <c r="AC24" i="36"/>
  <c r="AB50" i="36"/>
  <c r="AF24" i="35"/>
  <c r="AE50" i="35"/>
  <c r="AH50" i="34"/>
  <c r="AI24" i="34"/>
  <c r="AG50" i="33"/>
  <c r="AH24" i="33"/>
  <c r="AI24" i="32"/>
  <c r="AH50" i="32"/>
  <c r="AM24" i="31"/>
  <c r="AL50" i="31"/>
  <c r="AG24" i="30"/>
  <c r="AF50" i="30"/>
  <c r="AI24" i="13"/>
  <c r="AH50" i="13"/>
  <c r="AF25" i="34" l="1"/>
  <c r="AE27" i="34"/>
  <c r="AE51" i="34"/>
  <c r="AG25" i="35"/>
  <c r="AF27" i="35"/>
  <c r="AF51" i="35"/>
  <c r="AG25" i="39"/>
  <c r="AF27" i="39"/>
  <c r="AF51" i="39"/>
  <c r="AE27" i="36"/>
  <c r="AE51" i="36"/>
  <c r="AF25" i="33"/>
  <c r="AE27" i="33"/>
  <c r="AE51" i="33"/>
  <c r="AI25" i="31"/>
  <c r="AH27" i="31"/>
  <c r="AH51" i="31"/>
  <c r="AD32" i="36"/>
  <c r="AE30" i="36"/>
  <c r="AE32" i="33"/>
  <c r="AF30" i="33"/>
  <c r="AE32" i="30"/>
  <c r="AF30" i="30"/>
  <c r="AD37" i="36"/>
  <c r="AE35" i="36"/>
  <c r="AE41" i="36" s="1"/>
  <c r="AE47" i="36" s="1"/>
  <c r="AF32" i="38"/>
  <c r="AG30" i="38"/>
  <c r="AD37" i="38"/>
  <c r="AE35" i="38"/>
  <c r="AE44" i="38" s="1"/>
  <c r="AE47" i="38" s="1"/>
  <c r="AE30" i="32"/>
  <c r="AD32" i="32"/>
  <c r="AE35" i="13"/>
  <c r="AE44" i="13" s="1"/>
  <c r="AE47" i="13" s="1"/>
  <c r="AD37" i="13"/>
  <c r="AD32" i="34"/>
  <c r="AE30" i="34"/>
  <c r="AD37" i="39"/>
  <c r="AE35" i="39"/>
  <c r="AE44" i="39" s="1"/>
  <c r="AE47" i="39" s="1"/>
  <c r="AE35" i="35"/>
  <c r="AE41" i="35" s="1"/>
  <c r="AE47" i="35" s="1"/>
  <c r="AD37" i="35"/>
  <c r="AF30" i="13"/>
  <c r="AE32" i="13"/>
  <c r="AE35" i="30"/>
  <c r="AE44" i="30" s="1"/>
  <c r="AE47" i="30" s="1"/>
  <c r="AD37" i="30"/>
  <c r="AD37" i="31"/>
  <c r="AE35" i="31"/>
  <c r="AE44" i="31" s="1"/>
  <c r="AE47" i="31" s="1"/>
  <c r="AF32" i="39"/>
  <c r="AG30" i="39"/>
  <c r="AG32" i="31"/>
  <c r="AH30" i="31"/>
  <c r="AG35" i="34"/>
  <c r="AF37" i="34"/>
  <c r="AE32" i="35"/>
  <c r="AF30" i="35"/>
  <c r="AF37" i="33"/>
  <c r="AG35" i="33"/>
  <c r="AF35" i="32"/>
  <c r="AE37" i="32"/>
  <c r="AH50" i="39"/>
  <c r="AI24" i="39"/>
  <c r="AD24" i="38"/>
  <c r="AC50" i="38"/>
  <c r="AD24" i="36"/>
  <c r="AC50" i="36"/>
  <c r="AF50" i="35"/>
  <c r="AG24" i="35"/>
  <c r="AJ24" i="34"/>
  <c r="AI50" i="34"/>
  <c r="AH50" i="33"/>
  <c r="AI24" i="33"/>
  <c r="AI50" i="32"/>
  <c r="AJ24" i="32"/>
  <c r="AN24" i="31"/>
  <c r="AM50" i="31"/>
  <c r="AH24" i="30"/>
  <c r="AG50" i="30"/>
  <c r="AJ24" i="13"/>
  <c r="AI50" i="13"/>
  <c r="AG25" i="34" l="1"/>
  <c r="AF27" i="34"/>
  <c r="AF51" i="34"/>
  <c r="AH25" i="35"/>
  <c r="AG27" i="35"/>
  <c r="AG51" i="35"/>
  <c r="AH25" i="39"/>
  <c r="AG27" i="39"/>
  <c r="AG51" i="39"/>
  <c r="AF27" i="36"/>
  <c r="AF51" i="36"/>
  <c r="AG25" i="33"/>
  <c r="AF27" i="33"/>
  <c r="AF51" i="33"/>
  <c r="AJ25" i="31"/>
  <c r="AI27" i="31"/>
  <c r="AI51" i="31"/>
  <c r="AE32" i="36"/>
  <c r="AF30" i="36"/>
  <c r="AE32" i="32"/>
  <c r="AF30" i="32"/>
  <c r="AH35" i="33"/>
  <c r="AG37" i="33"/>
  <c r="AG32" i="38"/>
  <c r="AH30" i="38"/>
  <c r="AG30" i="13"/>
  <c r="AF32" i="13"/>
  <c r="AG30" i="35"/>
  <c r="AF32" i="35"/>
  <c r="AE37" i="36"/>
  <c r="AF35" i="36"/>
  <c r="AF41" i="36" s="1"/>
  <c r="AF47" i="36" s="1"/>
  <c r="AF35" i="35"/>
  <c r="AF41" i="35" s="1"/>
  <c r="AF47" i="35" s="1"/>
  <c r="AE37" i="35"/>
  <c r="AF35" i="39"/>
  <c r="AF44" i="39" s="1"/>
  <c r="AF47" i="39" s="1"/>
  <c r="AE37" i="39"/>
  <c r="AF32" i="30"/>
  <c r="AG30" i="30"/>
  <c r="AE37" i="13"/>
  <c r="AF35" i="13"/>
  <c r="AF44" i="13" s="1"/>
  <c r="AF47" i="13" s="1"/>
  <c r="AE37" i="31"/>
  <c r="AF35" i="31"/>
  <c r="AF44" i="31" s="1"/>
  <c r="AF47" i="31" s="1"/>
  <c r="AF35" i="38"/>
  <c r="AF44" i="38" s="1"/>
  <c r="AF47" i="38" s="1"/>
  <c r="AE37" i="38"/>
  <c r="AG35" i="32"/>
  <c r="AF37" i="32"/>
  <c r="AF35" i="30"/>
  <c r="AF44" i="30" s="1"/>
  <c r="AF47" i="30" s="1"/>
  <c r="AE37" i="30"/>
  <c r="AH35" i="34"/>
  <c r="AG37" i="34"/>
  <c r="AH32" i="31"/>
  <c r="AI30" i="31"/>
  <c r="AF30" i="34"/>
  <c r="AE32" i="34"/>
  <c r="AH30" i="39"/>
  <c r="AG32" i="39"/>
  <c r="AG30" i="33"/>
  <c r="AF32" i="33"/>
  <c r="AJ24" i="39"/>
  <c r="AI50" i="39"/>
  <c r="AE24" i="38"/>
  <c r="AD50" i="38"/>
  <c r="AE24" i="36"/>
  <c r="AD50" i="36"/>
  <c r="AG50" i="35"/>
  <c r="AH24" i="35"/>
  <c r="AK24" i="34"/>
  <c r="AJ50" i="34"/>
  <c r="AI50" i="33"/>
  <c r="AJ24" i="33"/>
  <c r="AJ50" i="32"/>
  <c r="AK24" i="32"/>
  <c r="AO24" i="31"/>
  <c r="AN50" i="31"/>
  <c r="AI24" i="30"/>
  <c r="AH50" i="30"/>
  <c r="AK24" i="13"/>
  <c r="AJ50" i="13"/>
  <c r="AH25" i="34" l="1"/>
  <c r="AG27" i="34"/>
  <c r="AG51" i="34"/>
  <c r="AI25" i="35"/>
  <c r="AH27" i="35"/>
  <c r="AH51" i="35"/>
  <c r="AI25" i="39"/>
  <c r="AH27" i="39"/>
  <c r="AH51" i="39"/>
  <c r="AG27" i="36"/>
  <c r="AG51" i="36"/>
  <c r="AH25" i="33"/>
  <c r="AG27" i="33"/>
  <c r="AG51" i="33"/>
  <c r="AK25" i="31"/>
  <c r="AJ27" i="31"/>
  <c r="AJ51" i="31"/>
  <c r="AG30" i="36"/>
  <c r="AF32" i="36"/>
  <c r="AF37" i="30"/>
  <c r="AG35" i="30"/>
  <c r="AG44" i="30" s="1"/>
  <c r="AG47" i="30" s="1"/>
  <c r="AG35" i="36"/>
  <c r="AG41" i="36" s="1"/>
  <c r="AG47" i="36" s="1"/>
  <c r="AF37" i="36"/>
  <c r="AH35" i="32"/>
  <c r="AG37" i="32"/>
  <c r="AI30" i="39"/>
  <c r="AH32" i="39"/>
  <c r="AH30" i="35"/>
  <c r="AG32" i="35"/>
  <c r="AF37" i="13"/>
  <c r="AG35" i="13"/>
  <c r="AG44" i="13" s="1"/>
  <c r="AG47" i="13" s="1"/>
  <c r="AG35" i="35"/>
  <c r="AG41" i="35" s="1"/>
  <c r="AG47" i="35" s="1"/>
  <c r="AF37" i="35"/>
  <c r="AG32" i="33"/>
  <c r="AH30" i="33"/>
  <c r="AG35" i="38"/>
  <c r="AG44" i="38" s="1"/>
  <c r="AG47" i="38" s="1"/>
  <c r="AF37" i="38"/>
  <c r="AG35" i="31"/>
  <c r="AG44" i="31" s="1"/>
  <c r="AG47" i="31" s="1"/>
  <c r="AF37" i="31"/>
  <c r="AH30" i="13"/>
  <c r="AG32" i="13"/>
  <c r="AH32" i="38"/>
  <c r="AI30" i="38"/>
  <c r="AF32" i="34"/>
  <c r="AG30" i="34"/>
  <c r="AJ30" i="31"/>
  <c r="AI32" i="31"/>
  <c r="AG32" i="30"/>
  <c r="AH30" i="30"/>
  <c r="AI35" i="33"/>
  <c r="AH37" i="33"/>
  <c r="AF32" i="32"/>
  <c r="AG30" i="32"/>
  <c r="AI35" i="34"/>
  <c r="AH37" i="34"/>
  <c r="AF37" i="39"/>
  <c r="AG35" i="39"/>
  <c r="AG44" i="39" s="1"/>
  <c r="AG47" i="39" s="1"/>
  <c r="AJ50" i="39"/>
  <c r="AK24" i="39"/>
  <c r="AF24" i="38"/>
  <c r="AE50" i="38"/>
  <c r="AF24" i="36"/>
  <c r="AE50" i="36"/>
  <c r="AH50" i="35"/>
  <c r="AI24" i="35"/>
  <c r="AK50" i="34"/>
  <c r="AL24" i="34"/>
  <c r="AJ50" i="33"/>
  <c r="AK24" i="33"/>
  <c r="AL24" i="32"/>
  <c r="AK50" i="32"/>
  <c r="AP24" i="31"/>
  <c r="AO50" i="31"/>
  <c r="AJ24" i="30"/>
  <c r="AI50" i="30"/>
  <c r="AL24" i="13"/>
  <c r="AK50" i="13"/>
  <c r="AI25" i="34" l="1"/>
  <c r="AH27" i="34"/>
  <c r="AH51" i="34"/>
  <c r="AJ25" i="35"/>
  <c r="AI27" i="35"/>
  <c r="AI51" i="35"/>
  <c r="AJ25" i="39"/>
  <c r="AI27" i="39"/>
  <c r="AI51" i="39"/>
  <c r="AH27" i="36"/>
  <c r="AH51" i="36"/>
  <c r="AI25" i="33"/>
  <c r="AH27" i="33"/>
  <c r="AH51" i="33"/>
  <c r="AL25" i="31"/>
  <c r="AK27" i="31"/>
  <c r="AK51" i="31"/>
  <c r="AG32" i="36"/>
  <c r="AH30" i="36"/>
  <c r="AG37" i="39"/>
  <c r="AH35" i="39"/>
  <c r="AH44" i="39" s="1"/>
  <c r="AH47" i="39" s="1"/>
  <c r="AH35" i="38"/>
  <c r="AH44" i="38" s="1"/>
  <c r="AH47" i="38" s="1"/>
  <c r="AG37" i="38"/>
  <c r="AH37" i="32"/>
  <c r="AI35" i="32"/>
  <c r="AH30" i="34"/>
  <c r="AG32" i="34"/>
  <c r="AG37" i="13"/>
  <c r="AH35" i="13"/>
  <c r="AH44" i="13" s="1"/>
  <c r="AH47" i="13" s="1"/>
  <c r="AI32" i="38"/>
  <c r="AJ30" i="38"/>
  <c r="AI37" i="34"/>
  <c r="AJ35" i="34"/>
  <c r="AI30" i="13"/>
  <c r="AH32" i="13"/>
  <c r="AI30" i="35"/>
  <c r="AH32" i="35"/>
  <c r="AH30" i="32"/>
  <c r="AG32" i="32"/>
  <c r="AH35" i="31"/>
  <c r="AH44" i="31" s="1"/>
  <c r="AH47" i="31" s="1"/>
  <c r="AG37" i="31"/>
  <c r="AJ30" i="39"/>
  <c r="AI32" i="39"/>
  <c r="AJ35" i="33"/>
  <c r="AI37" i="33"/>
  <c r="AH32" i="30"/>
  <c r="AI30" i="30"/>
  <c r="AI30" i="33"/>
  <c r="AH32" i="33"/>
  <c r="AH35" i="36"/>
  <c r="AH41" i="36" s="1"/>
  <c r="AH47" i="36" s="1"/>
  <c r="AG37" i="36"/>
  <c r="AH35" i="30"/>
  <c r="AH44" i="30" s="1"/>
  <c r="AH47" i="30" s="1"/>
  <c r="AG37" i="30"/>
  <c r="AK30" i="31"/>
  <c r="AJ32" i="31"/>
  <c r="AG37" i="35"/>
  <c r="AH35" i="35"/>
  <c r="AH41" i="35" s="1"/>
  <c r="AH47" i="35" s="1"/>
  <c r="AL24" i="39"/>
  <c r="AK50" i="39"/>
  <c r="AG24" i="38"/>
  <c r="AF50" i="38"/>
  <c r="AF50" i="36"/>
  <c r="AG24" i="36"/>
  <c r="AI50" i="35"/>
  <c r="AJ24" i="35"/>
  <c r="AM24" i="34"/>
  <c r="AL50" i="34"/>
  <c r="AL24" i="33"/>
  <c r="AK50" i="33"/>
  <c r="AM24" i="32"/>
  <c r="AL50" i="32"/>
  <c r="AQ24" i="31"/>
  <c r="AP50" i="31"/>
  <c r="AK24" i="30"/>
  <c r="AJ50" i="30"/>
  <c r="AM24" i="13"/>
  <c r="AL50" i="13"/>
  <c r="AJ25" i="34" l="1"/>
  <c r="AI27" i="34"/>
  <c r="AI51" i="34"/>
  <c r="AK25" i="35"/>
  <c r="AJ27" i="35"/>
  <c r="AJ51" i="35"/>
  <c r="AK25" i="39"/>
  <c r="AJ27" i="39"/>
  <c r="AJ51" i="39"/>
  <c r="AI27" i="36"/>
  <c r="AI51" i="36"/>
  <c r="AJ25" i="33"/>
  <c r="AI27" i="33"/>
  <c r="AI51" i="33"/>
  <c r="AM25" i="31"/>
  <c r="AL27" i="31"/>
  <c r="AL51" i="31"/>
  <c r="AH32" i="36"/>
  <c r="AI30" i="36"/>
  <c r="AL30" i="31"/>
  <c r="AK32" i="31"/>
  <c r="AH37" i="31"/>
  <c r="AI35" i="31"/>
  <c r="AI44" i="31" s="1"/>
  <c r="AI47" i="31" s="1"/>
  <c r="AJ35" i="32"/>
  <c r="AI37" i="32"/>
  <c r="AK35" i="33"/>
  <c r="AJ37" i="33"/>
  <c r="AH37" i="35"/>
  <c r="AI35" i="35"/>
  <c r="AI41" i="35" s="1"/>
  <c r="AI47" i="35" s="1"/>
  <c r="AJ32" i="38"/>
  <c r="AK30" i="38"/>
  <c r="AK30" i="39"/>
  <c r="AJ32" i="39"/>
  <c r="AI35" i="13"/>
  <c r="AI44" i="13" s="1"/>
  <c r="AI47" i="13" s="1"/>
  <c r="AH37" i="13"/>
  <c r="AH37" i="30"/>
  <c r="AI35" i="30"/>
  <c r="AI44" i="30" s="1"/>
  <c r="AI47" i="30" s="1"/>
  <c r="AI30" i="32"/>
  <c r="AH32" i="32"/>
  <c r="AI30" i="34"/>
  <c r="AH32" i="34"/>
  <c r="AI35" i="36"/>
  <c r="AI41" i="36" s="1"/>
  <c r="AI47" i="36" s="1"/>
  <c r="AH37" i="36"/>
  <c r="AI32" i="35"/>
  <c r="AJ30" i="35"/>
  <c r="AJ30" i="33"/>
  <c r="AI32" i="33"/>
  <c r="AJ30" i="13"/>
  <c r="AI32" i="13"/>
  <c r="AH37" i="38"/>
  <c r="AI35" i="38"/>
  <c r="AI44" i="38" s="1"/>
  <c r="AI47" i="38" s="1"/>
  <c r="AI32" i="30"/>
  <c r="AJ30" i="30"/>
  <c r="AK35" i="34"/>
  <c r="AJ37" i="34"/>
  <c r="AH37" i="39"/>
  <c r="AI35" i="39"/>
  <c r="AI44" i="39" s="1"/>
  <c r="AI47" i="39" s="1"/>
  <c r="AM24" i="39"/>
  <c r="AL50" i="39"/>
  <c r="AH24" i="38"/>
  <c r="AG50" i="38"/>
  <c r="AG50" i="36"/>
  <c r="AH24" i="36"/>
  <c r="AJ50" i="35"/>
  <c r="AK24" i="35"/>
  <c r="AN24" i="34"/>
  <c r="AM50" i="34"/>
  <c r="AM24" i="33"/>
  <c r="AL50" i="33"/>
  <c r="AN24" i="32"/>
  <c r="AM50" i="32"/>
  <c r="AR24" i="31"/>
  <c r="AQ50" i="31"/>
  <c r="AL24" i="30"/>
  <c r="AK50" i="30"/>
  <c r="AN24" i="13"/>
  <c r="AM50" i="13"/>
  <c r="AK25" i="34" l="1"/>
  <c r="AJ27" i="34"/>
  <c r="AJ51" i="34"/>
  <c r="AL25" i="35"/>
  <c r="AK27" i="35"/>
  <c r="AK51" i="35"/>
  <c r="AL25" i="39"/>
  <c r="AK27" i="39"/>
  <c r="AK51" i="39"/>
  <c r="AJ27" i="36"/>
  <c r="AJ51" i="36"/>
  <c r="AK25" i="33"/>
  <c r="AJ27" i="33"/>
  <c r="AJ51" i="33"/>
  <c r="AN25" i="31"/>
  <c r="AM27" i="31"/>
  <c r="AM51" i="31"/>
  <c r="AI32" i="36"/>
  <c r="AJ30" i="36"/>
  <c r="AJ32" i="33"/>
  <c r="AK30" i="33"/>
  <c r="AK32" i="39"/>
  <c r="AL30" i="39"/>
  <c r="AL30" i="38"/>
  <c r="AK32" i="38"/>
  <c r="AI37" i="39"/>
  <c r="AJ35" i="39"/>
  <c r="AJ44" i="39" s="1"/>
  <c r="AJ47" i="39" s="1"/>
  <c r="AI37" i="35"/>
  <c r="AJ35" i="35"/>
  <c r="AJ41" i="35" s="1"/>
  <c r="AJ47" i="35" s="1"/>
  <c r="AJ35" i="36"/>
  <c r="AJ41" i="36" s="1"/>
  <c r="AJ47" i="36" s="1"/>
  <c r="AI37" i="36"/>
  <c r="AL35" i="34"/>
  <c r="AK37" i="34"/>
  <c r="AL35" i="33"/>
  <c r="AK37" i="33"/>
  <c r="AK30" i="30"/>
  <c r="AJ32" i="30"/>
  <c r="AI37" i="38"/>
  <c r="AJ35" i="38"/>
  <c r="AJ44" i="38" s="1"/>
  <c r="AJ47" i="38" s="1"/>
  <c r="AJ35" i="30"/>
  <c r="AJ44" i="30" s="1"/>
  <c r="AJ47" i="30" s="1"/>
  <c r="AI37" i="30"/>
  <c r="AK35" i="32"/>
  <c r="AJ37" i="32"/>
  <c r="AJ35" i="31"/>
  <c r="AJ44" i="31" s="1"/>
  <c r="AJ47" i="31" s="1"/>
  <c r="AI37" i="31"/>
  <c r="AK30" i="13"/>
  <c r="AJ32" i="13"/>
  <c r="AI37" i="13"/>
  <c r="AJ35" i="13"/>
  <c r="AJ44" i="13" s="1"/>
  <c r="AJ47" i="13" s="1"/>
  <c r="AL32" i="31"/>
  <c r="AM30" i="31"/>
  <c r="AJ32" i="35"/>
  <c r="AK30" i="35"/>
  <c r="AI32" i="34"/>
  <c r="AJ30" i="34"/>
  <c r="AI32" i="32"/>
  <c r="AJ30" i="32"/>
  <c r="AN24" i="39"/>
  <c r="AM50" i="39"/>
  <c r="AI24" i="38"/>
  <c r="AH50" i="38"/>
  <c r="AI24" i="36"/>
  <c r="AH50" i="36"/>
  <c r="AL24" i="35"/>
  <c r="AK50" i="35"/>
  <c r="AO24" i="34"/>
  <c r="AN50" i="34"/>
  <c r="AN24" i="33"/>
  <c r="AM50" i="33"/>
  <c r="AO24" i="32"/>
  <c r="AN50" i="32"/>
  <c r="AS24" i="31"/>
  <c r="AR50" i="31"/>
  <c r="AM24" i="30"/>
  <c r="AL50" i="30"/>
  <c r="AO24" i="13"/>
  <c r="AN50" i="13"/>
  <c r="AL25" i="34" l="1"/>
  <c r="AK27" i="34"/>
  <c r="AK51" i="34"/>
  <c r="AM25" i="35"/>
  <c r="AL27" i="35"/>
  <c r="AL51" i="35"/>
  <c r="AM25" i="39"/>
  <c r="AL27" i="39"/>
  <c r="AL51" i="39"/>
  <c r="AK27" i="36"/>
  <c r="AK51" i="36"/>
  <c r="AL25" i="33"/>
  <c r="AK27" i="33"/>
  <c r="AK51" i="33"/>
  <c r="AO25" i="31"/>
  <c r="AN27" i="31"/>
  <c r="AN51" i="31"/>
  <c r="AK30" i="36"/>
  <c r="AJ32" i="36"/>
  <c r="AK35" i="31"/>
  <c r="AK44" i="31" s="1"/>
  <c r="AK47" i="31" s="1"/>
  <c r="AJ37" i="31"/>
  <c r="AK35" i="36"/>
  <c r="AK41" i="36" s="1"/>
  <c r="AK47" i="36" s="1"/>
  <c r="AJ37" i="36"/>
  <c r="AJ32" i="34"/>
  <c r="AK30" i="34"/>
  <c r="AK35" i="35"/>
  <c r="AK41" i="35" s="1"/>
  <c r="AK47" i="35" s="1"/>
  <c r="AJ37" i="35"/>
  <c r="AK32" i="35"/>
  <c r="AL30" i="35"/>
  <c r="AJ37" i="39"/>
  <c r="AK35" i="39"/>
  <c r="AK44" i="39" s="1"/>
  <c r="AK47" i="39" s="1"/>
  <c r="AM32" i="31"/>
  <c r="AN30" i="31"/>
  <c r="AM30" i="38"/>
  <c r="AL32" i="38"/>
  <c r="AJ37" i="13"/>
  <c r="AK35" i="13"/>
  <c r="AK44" i="13" s="1"/>
  <c r="AK47" i="13" s="1"/>
  <c r="AL32" i="39"/>
  <c r="AM30" i="39"/>
  <c r="AL30" i="30"/>
  <c r="AK32" i="30"/>
  <c r="AL37" i="34"/>
  <c r="AM35" i="34"/>
  <c r="AK30" i="32"/>
  <c r="AJ32" i="32"/>
  <c r="AK37" i="32"/>
  <c r="AL35" i="32"/>
  <c r="AK35" i="30"/>
  <c r="AK44" i="30" s="1"/>
  <c r="AK47" i="30" s="1"/>
  <c r="AJ37" i="30"/>
  <c r="AJ37" i="38"/>
  <c r="AK35" i="38"/>
  <c r="AK44" i="38" s="1"/>
  <c r="AK47" i="38" s="1"/>
  <c r="AK32" i="33"/>
  <c r="AL30" i="33"/>
  <c r="AL30" i="13"/>
  <c r="AK32" i="13"/>
  <c r="AM35" i="33"/>
  <c r="AL37" i="33"/>
  <c r="AO24" i="39"/>
  <c r="AN50" i="39"/>
  <c r="AJ24" i="38"/>
  <c r="AI50" i="38"/>
  <c r="AI50" i="36"/>
  <c r="AJ24" i="36"/>
  <c r="AM24" i="35"/>
  <c r="AL50" i="35"/>
  <c r="AP24" i="34"/>
  <c r="AO50" i="34"/>
  <c r="AO24" i="33"/>
  <c r="AN50" i="33"/>
  <c r="AO50" i="32"/>
  <c r="AP24" i="32"/>
  <c r="AT24" i="31"/>
  <c r="AS50" i="31"/>
  <c r="AN24" i="30"/>
  <c r="AM50" i="30"/>
  <c r="AP24" i="13"/>
  <c r="AO50" i="13"/>
  <c r="AM25" i="34" l="1"/>
  <c r="AL27" i="34"/>
  <c r="AL51" i="34"/>
  <c r="AN25" i="35"/>
  <c r="AM27" i="35"/>
  <c r="AM51" i="35"/>
  <c r="AN25" i="39"/>
  <c r="AM27" i="39"/>
  <c r="AM51" i="39"/>
  <c r="AL27" i="36"/>
  <c r="AL51" i="36"/>
  <c r="AM25" i="33"/>
  <c r="AL27" i="33"/>
  <c r="AL51" i="33"/>
  <c r="AP25" i="31"/>
  <c r="AO27" i="31"/>
  <c r="AO51" i="31"/>
  <c r="AK32" i="36"/>
  <c r="AL30" i="36"/>
  <c r="AL35" i="30"/>
  <c r="AL44" i="30" s="1"/>
  <c r="AL47" i="30" s="1"/>
  <c r="AK37" i="30"/>
  <c r="AL35" i="31"/>
  <c r="AL44" i="31" s="1"/>
  <c r="AL47" i="31" s="1"/>
  <c r="AK37" i="31"/>
  <c r="AO30" i="31"/>
  <c r="AN32" i="31"/>
  <c r="AL35" i="39"/>
  <c r="AL44" i="39" s="1"/>
  <c r="AL47" i="39" s="1"/>
  <c r="AK37" i="39"/>
  <c r="AM37" i="33"/>
  <c r="AN35" i="33"/>
  <c r="AM30" i="35"/>
  <c r="AL32" i="35"/>
  <c r="AM30" i="13"/>
  <c r="AL32" i="13"/>
  <c r="AL32" i="33"/>
  <c r="AM30" i="33"/>
  <c r="AM30" i="30"/>
  <c r="AL32" i="30"/>
  <c r="AK37" i="35"/>
  <c r="AL35" i="35"/>
  <c r="AL41" i="35" s="1"/>
  <c r="AL47" i="35" s="1"/>
  <c r="AM32" i="39"/>
  <c r="AN30" i="39"/>
  <c r="AK37" i="38"/>
  <c r="AL35" i="38"/>
  <c r="AL44" i="38" s="1"/>
  <c r="AL47" i="38" s="1"/>
  <c r="AK37" i="13"/>
  <c r="AL35" i="13"/>
  <c r="AL44" i="13" s="1"/>
  <c r="AL47" i="13" s="1"/>
  <c r="AK37" i="36"/>
  <c r="AL35" i="36"/>
  <c r="AL41" i="36" s="1"/>
  <c r="AL47" i="36" s="1"/>
  <c r="AN30" i="38"/>
  <c r="AM32" i="38"/>
  <c r="AL37" i="32"/>
  <c r="AM35" i="32"/>
  <c r="AK32" i="32"/>
  <c r="AL30" i="32"/>
  <c r="AM37" i="34"/>
  <c r="AN35" i="34"/>
  <c r="AL30" i="34"/>
  <c r="AK32" i="34"/>
  <c r="AO50" i="39"/>
  <c r="AP24" i="39"/>
  <c r="AJ50" i="38"/>
  <c r="AK24" i="38"/>
  <c r="AJ50" i="36"/>
  <c r="AK24" i="36"/>
  <c r="AM50" i="35"/>
  <c r="AN24" i="35"/>
  <c r="AQ24" i="34"/>
  <c r="AP50" i="34"/>
  <c r="AO50" i="33"/>
  <c r="AP24" i="33"/>
  <c r="AQ24" i="32"/>
  <c r="AP50" i="32"/>
  <c r="AU24" i="31"/>
  <c r="AT50" i="31"/>
  <c r="AN50" i="30"/>
  <c r="AO24" i="30"/>
  <c r="AQ24" i="13"/>
  <c r="AP50" i="13"/>
  <c r="AN25" i="34" l="1"/>
  <c r="AM27" i="34"/>
  <c r="AM51" i="34"/>
  <c r="AO25" i="35"/>
  <c r="AN27" i="35"/>
  <c r="AN51" i="35"/>
  <c r="AO25" i="39"/>
  <c r="AN27" i="39"/>
  <c r="AN51" i="39"/>
  <c r="AM27" i="36"/>
  <c r="AM51" i="36"/>
  <c r="AN25" i="33"/>
  <c r="AM27" i="33"/>
  <c r="AM51" i="33"/>
  <c r="AQ25" i="31"/>
  <c r="AP27" i="31"/>
  <c r="AP51" i="31"/>
  <c r="AM30" i="36"/>
  <c r="AL32" i="36"/>
  <c r="AN30" i="33"/>
  <c r="AM32" i="33"/>
  <c r="AN32" i="38"/>
  <c r="AO30" i="38"/>
  <c r="AM35" i="30"/>
  <c r="AM44" i="30" s="1"/>
  <c r="AM47" i="30" s="1"/>
  <c r="AL37" i="30"/>
  <c r="AM35" i="36"/>
  <c r="AM41" i="36" s="1"/>
  <c r="AM47" i="36" s="1"/>
  <c r="AL37" i="36"/>
  <c r="AM32" i="13"/>
  <c r="AN30" i="13"/>
  <c r="AL37" i="13"/>
  <c r="AM35" i="13"/>
  <c r="AM44" i="13" s="1"/>
  <c r="AM47" i="13" s="1"/>
  <c r="AN30" i="35"/>
  <c r="AM32" i="35"/>
  <c r="AM35" i="38"/>
  <c r="AM44" i="38" s="1"/>
  <c r="AM47" i="38" s="1"/>
  <c r="AL37" i="38"/>
  <c r="AN37" i="33"/>
  <c r="AO35" i="33"/>
  <c r="AM30" i="34"/>
  <c r="AL32" i="34"/>
  <c r="AO35" i="34"/>
  <c r="AN37" i="34"/>
  <c r="AN32" i="39"/>
  <c r="AO30" i="39"/>
  <c r="AM35" i="39"/>
  <c r="AM44" i="39" s="1"/>
  <c r="AM47" i="39" s="1"/>
  <c r="AL37" i="39"/>
  <c r="AM30" i="32"/>
  <c r="AL32" i="32"/>
  <c r="AL37" i="35"/>
  <c r="AM35" i="35"/>
  <c r="AM41" i="35" s="1"/>
  <c r="AM47" i="35" s="1"/>
  <c r="AP30" i="31"/>
  <c r="AO32" i="31"/>
  <c r="AN35" i="32"/>
  <c r="AM37" i="32"/>
  <c r="AN30" i="30"/>
  <c r="AM32" i="30"/>
  <c r="AM35" i="31"/>
  <c r="AM44" i="31" s="1"/>
  <c r="AM47" i="31" s="1"/>
  <c r="AL37" i="31"/>
  <c r="AQ24" i="39"/>
  <c r="AP50" i="39"/>
  <c r="AL24" i="38"/>
  <c r="AK50" i="38"/>
  <c r="AL24" i="36"/>
  <c r="AK50" i="36"/>
  <c r="AO24" i="35"/>
  <c r="AN50" i="35"/>
  <c r="AR24" i="34"/>
  <c r="AQ50" i="34"/>
  <c r="AQ24" i="33"/>
  <c r="AP50" i="33"/>
  <c r="AR24" i="32"/>
  <c r="AQ50" i="32"/>
  <c r="AV24" i="31"/>
  <c r="AU50" i="31"/>
  <c r="AO50" i="30"/>
  <c r="AP24" i="30"/>
  <c r="AR24" i="13"/>
  <c r="AQ50" i="13"/>
  <c r="AO25" i="34" l="1"/>
  <c r="AN27" i="34"/>
  <c r="AN51" i="34"/>
  <c r="AP25" i="35"/>
  <c r="AO27" i="35"/>
  <c r="AO51" i="35"/>
  <c r="AP25" i="39"/>
  <c r="AO27" i="39"/>
  <c r="AO51" i="39"/>
  <c r="AN27" i="36"/>
  <c r="AN51" i="36"/>
  <c r="AO25" i="33"/>
  <c r="AN27" i="33"/>
  <c r="AN51" i="33"/>
  <c r="AR25" i="31"/>
  <c r="AQ27" i="31"/>
  <c r="AQ51" i="31"/>
  <c r="AN30" i="36"/>
  <c r="AM32" i="36"/>
  <c r="AO32" i="38"/>
  <c r="AP30" i="38"/>
  <c r="AN35" i="38"/>
  <c r="AN44" i="38" s="1"/>
  <c r="AN47" i="38" s="1"/>
  <c r="AM37" i="38"/>
  <c r="AM37" i="39"/>
  <c r="AN35" i="39"/>
  <c r="AN44" i="39" s="1"/>
  <c r="AN47" i="39" s="1"/>
  <c r="AO32" i="39"/>
  <c r="AP30" i="39"/>
  <c r="AM37" i="13"/>
  <c r="AN35" i="13"/>
  <c r="AN44" i="13" s="1"/>
  <c r="AN47" i="13" s="1"/>
  <c r="AN35" i="31"/>
  <c r="AN44" i="31" s="1"/>
  <c r="AN47" i="31" s="1"/>
  <c r="AM37" i="31"/>
  <c r="AN32" i="13"/>
  <c r="AO30" i="13"/>
  <c r="AN32" i="30"/>
  <c r="AO30" i="30"/>
  <c r="AO37" i="34"/>
  <c r="AP35" i="34"/>
  <c r="AN37" i="32"/>
  <c r="AO35" i="32"/>
  <c r="AN30" i="34"/>
  <c r="AM32" i="34"/>
  <c r="AN35" i="36"/>
  <c r="AN41" i="36" s="1"/>
  <c r="AN47" i="36" s="1"/>
  <c r="AM37" i="36"/>
  <c r="AP35" i="33"/>
  <c r="AO37" i="33"/>
  <c r="AQ30" i="31"/>
  <c r="AP32" i="31"/>
  <c r="AM37" i="30"/>
  <c r="AN35" i="30"/>
  <c r="AN44" i="30" s="1"/>
  <c r="AN47" i="30" s="1"/>
  <c r="AN35" i="35"/>
  <c r="AN41" i="35" s="1"/>
  <c r="AN47" i="35" s="1"/>
  <c r="AM37" i="35"/>
  <c r="AM32" i="32"/>
  <c r="AN30" i="32"/>
  <c r="AN32" i="35"/>
  <c r="AO30" i="35"/>
  <c r="AO30" i="33"/>
  <c r="AN32" i="33"/>
  <c r="AR24" i="39"/>
  <c r="AQ50" i="39"/>
  <c r="AM24" i="38"/>
  <c r="AL50" i="38"/>
  <c r="AM24" i="36"/>
  <c r="AL50" i="36"/>
  <c r="AP24" i="35"/>
  <c r="AO50" i="35"/>
  <c r="AS24" i="34"/>
  <c r="AR50" i="34"/>
  <c r="AR24" i="33"/>
  <c r="AQ50" i="33"/>
  <c r="AS24" i="32"/>
  <c r="AR50" i="32"/>
  <c r="AW24" i="31"/>
  <c r="AV50" i="31"/>
  <c r="AQ24" i="30"/>
  <c r="AP50" i="30"/>
  <c r="AS24" i="13"/>
  <c r="AR50" i="13"/>
  <c r="AP25" i="34" l="1"/>
  <c r="AO27" i="34"/>
  <c r="AO51" i="34"/>
  <c r="AQ25" i="35"/>
  <c r="AP27" i="35"/>
  <c r="AP51" i="35"/>
  <c r="AQ25" i="39"/>
  <c r="AP27" i="39"/>
  <c r="AP51" i="39"/>
  <c r="AO27" i="36"/>
  <c r="AO51" i="36"/>
  <c r="AP25" i="33"/>
  <c r="AO27" i="33"/>
  <c r="AO51" i="33"/>
  <c r="AS25" i="31"/>
  <c r="AR27" i="31"/>
  <c r="AR51" i="31"/>
  <c r="AO30" i="36"/>
  <c r="AN32" i="36"/>
  <c r="AO32" i="13"/>
  <c r="AP30" i="13"/>
  <c r="AP32" i="38"/>
  <c r="AQ30" i="38"/>
  <c r="AR30" i="31"/>
  <c r="AQ32" i="31"/>
  <c r="AQ35" i="33"/>
  <c r="AP37" i="33"/>
  <c r="AO35" i="31"/>
  <c r="AO44" i="31" s="1"/>
  <c r="AO47" i="31" s="1"/>
  <c r="AN37" i="31"/>
  <c r="AO35" i="13"/>
  <c r="AO44" i="13" s="1"/>
  <c r="AO47" i="13" s="1"/>
  <c r="AN37" i="13"/>
  <c r="AO32" i="33"/>
  <c r="AP30" i="33"/>
  <c r="AO35" i="36"/>
  <c r="AO41" i="36" s="1"/>
  <c r="AO47" i="36" s="1"/>
  <c r="AN37" i="36"/>
  <c r="AP30" i="35"/>
  <c r="AO32" i="35"/>
  <c r="AP32" i="39"/>
  <c r="AQ30" i="39"/>
  <c r="AO30" i="34"/>
  <c r="AN32" i="34"/>
  <c r="AO30" i="32"/>
  <c r="AN32" i="32"/>
  <c r="AO37" i="32"/>
  <c r="AP35" i="32"/>
  <c r="AP37" i="34"/>
  <c r="AQ35" i="34"/>
  <c r="AN37" i="39"/>
  <c r="AO35" i="39"/>
  <c r="AO44" i="39" s="1"/>
  <c r="AO47" i="39" s="1"/>
  <c r="AO35" i="35"/>
  <c r="AO41" i="35" s="1"/>
  <c r="AO47" i="35" s="1"/>
  <c r="AN37" i="35"/>
  <c r="AN37" i="30"/>
  <c r="AO35" i="30"/>
  <c r="AO44" i="30" s="1"/>
  <c r="AO47" i="30" s="1"/>
  <c r="AP30" i="30"/>
  <c r="AO32" i="30"/>
  <c r="AO35" i="38"/>
  <c r="AO44" i="38" s="1"/>
  <c r="AO47" i="38" s="1"/>
  <c r="AN37" i="38"/>
  <c r="AS24" i="39"/>
  <c r="AR50" i="39"/>
  <c r="AN24" i="38"/>
  <c r="AM50" i="38"/>
  <c r="AN24" i="36"/>
  <c r="AM50" i="36"/>
  <c r="AQ24" i="35"/>
  <c r="AP50" i="35"/>
  <c r="AT24" i="34"/>
  <c r="AS50" i="34"/>
  <c r="AS24" i="33"/>
  <c r="AR50" i="33"/>
  <c r="AT24" i="32"/>
  <c r="AS50" i="32"/>
  <c r="AX24" i="31"/>
  <c r="AW50" i="31"/>
  <c r="AR24" i="30"/>
  <c r="AQ50" i="30"/>
  <c r="AT24" i="13"/>
  <c r="AS50" i="13"/>
  <c r="AQ25" i="34" l="1"/>
  <c r="AP27" i="34"/>
  <c r="AP51" i="34"/>
  <c r="AR25" i="35"/>
  <c r="AQ27" i="35"/>
  <c r="AQ51" i="35"/>
  <c r="AR25" i="39"/>
  <c r="AQ27" i="39"/>
  <c r="AQ51" i="39"/>
  <c r="AP27" i="36"/>
  <c r="AP51" i="36"/>
  <c r="AQ25" i="33"/>
  <c r="AP27" i="33"/>
  <c r="AP51" i="33"/>
  <c r="AT25" i="31"/>
  <c r="AS27" i="31"/>
  <c r="AS51" i="31"/>
  <c r="AP30" i="36"/>
  <c r="AO32" i="36"/>
  <c r="AP32" i="33"/>
  <c r="AQ30" i="33"/>
  <c r="AP35" i="38"/>
  <c r="AP44" i="38" s="1"/>
  <c r="AP47" i="38" s="1"/>
  <c r="AO37" i="38"/>
  <c r="AQ30" i="30"/>
  <c r="AP32" i="30"/>
  <c r="AP30" i="32"/>
  <c r="AO32" i="32"/>
  <c r="AR35" i="33"/>
  <c r="AQ37" i="33"/>
  <c r="AQ32" i="39"/>
  <c r="AR30" i="39"/>
  <c r="AP35" i="35"/>
  <c r="AP41" i="35" s="1"/>
  <c r="AP47" i="35" s="1"/>
  <c r="AO37" i="35"/>
  <c r="AS30" i="31"/>
  <c r="AR32" i="31"/>
  <c r="AO37" i="39"/>
  <c r="AP35" i="39"/>
  <c r="AP44" i="39" s="1"/>
  <c r="AP47" i="39" s="1"/>
  <c r="AQ32" i="38"/>
  <c r="AR30" i="38"/>
  <c r="AP32" i="35"/>
  <c r="AQ30" i="35"/>
  <c r="AP37" i="32"/>
  <c r="AQ35" i="32"/>
  <c r="AP35" i="13"/>
  <c r="AP44" i="13" s="1"/>
  <c r="AP47" i="13" s="1"/>
  <c r="AO37" i="13"/>
  <c r="AO37" i="31"/>
  <c r="AP35" i="31"/>
  <c r="AP44" i="31" s="1"/>
  <c r="AP47" i="31" s="1"/>
  <c r="AO37" i="30"/>
  <c r="AP35" i="30"/>
  <c r="AP44" i="30" s="1"/>
  <c r="AP47" i="30" s="1"/>
  <c r="AP30" i="34"/>
  <c r="AO32" i="34"/>
  <c r="AR35" i="34"/>
  <c r="AQ37" i="34"/>
  <c r="AP32" i="13"/>
  <c r="AQ30" i="13"/>
  <c r="AO37" i="36"/>
  <c r="AP35" i="36"/>
  <c r="AP41" i="36" s="1"/>
  <c r="AP47" i="36" s="1"/>
  <c r="AT24" i="39"/>
  <c r="AS50" i="39"/>
  <c r="AO24" i="38"/>
  <c r="AN50" i="38"/>
  <c r="AO24" i="36"/>
  <c r="AN50" i="36"/>
  <c r="AR24" i="35"/>
  <c r="AQ50" i="35"/>
  <c r="AT50" i="34"/>
  <c r="AU24" i="34"/>
  <c r="AT24" i="33"/>
  <c r="AS50" i="33"/>
  <c r="AU24" i="32"/>
  <c r="AT50" i="32"/>
  <c r="AY24" i="31"/>
  <c r="AX50" i="31"/>
  <c r="AS24" i="30"/>
  <c r="AR50" i="30"/>
  <c r="AU24" i="13"/>
  <c r="AT50" i="13"/>
  <c r="AR25" i="34" l="1"/>
  <c r="AQ27" i="34"/>
  <c r="AQ51" i="34"/>
  <c r="AS25" i="35"/>
  <c r="AR27" i="35"/>
  <c r="AR51" i="35"/>
  <c r="AS25" i="39"/>
  <c r="AR27" i="39"/>
  <c r="AR51" i="39"/>
  <c r="AQ27" i="36"/>
  <c r="AQ51" i="36"/>
  <c r="AR25" i="33"/>
  <c r="AQ27" i="33"/>
  <c r="AQ51" i="33"/>
  <c r="AU25" i="31"/>
  <c r="AT27" i="31"/>
  <c r="AT51" i="31"/>
  <c r="AP32" i="36"/>
  <c r="AQ30" i="36"/>
  <c r="AS32" i="31"/>
  <c r="AT30" i="31"/>
  <c r="AP37" i="35"/>
  <c r="AQ35" i="35"/>
  <c r="AQ41" i="35" s="1"/>
  <c r="AQ47" i="35" s="1"/>
  <c r="AR32" i="39"/>
  <c r="AS30" i="39"/>
  <c r="AQ32" i="13"/>
  <c r="AR30" i="13"/>
  <c r="AS35" i="33"/>
  <c r="AR37" i="33"/>
  <c r="AQ32" i="35"/>
  <c r="AR30" i="35"/>
  <c r="AP32" i="32"/>
  <c r="AQ30" i="32"/>
  <c r="AR32" i="38"/>
  <c r="AS30" i="38"/>
  <c r="AQ30" i="34"/>
  <c r="AP32" i="34"/>
  <c r="AR30" i="30"/>
  <c r="AQ32" i="30"/>
  <c r="AP37" i="30"/>
  <c r="AQ35" i="30"/>
  <c r="AQ44" i="30" s="1"/>
  <c r="AQ47" i="30" s="1"/>
  <c r="AP37" i="39"/>
  <c r="AQ35" i="39"/>
  <c r="AQ44" i="39" s="1"/>
  <c r="AQ47" i="39" s="1"/>
  <c r="AP37" i="38"/>
  <c r="AQ35" i="38"/>
  <c r="AQ44" i="38" s="1"/>
  <c r="AQ47" i="38" s="1"/>
  <c r="AQ35" i="13"/>
  <c r="AQ44" i="13" s="1"/>
  <c r="AQ47" i="13" s="1"/>
  <c r="AP37" i="13"/>
  <c r="AP37" i="36"/>
  <c r="AQ35" i="36"/>
  <c r="AQ41" i="36" s="1"/>
  <c r="AQ47" i="36" s="1"/>
  <c r="AR35" i="32"/>
  <c r="AQ37" i="32"/>
  <c r="AS35" i="34"/>
  <c r="AR37" i="34"/>
  <c r="AP37" i="31"/>
  <c r="AQ35" i="31"/>
  <c r="AQ44" i="31" s="1"/>
  <c r="AQ47" i="31" s="1"/>
  <c r="AQ32" i="33"/>
  <c r="AR30" i="33"/>
  <c r="AT50" i="39"/>
  <c r="AU24" i="39"/>
  <c r="AO50" i="38"/>
  <c r="AP24" i="38"/>
  <c r="AP24" i="36"/>
  <c r="AO50" i="36"/>
  <c r="AS24" i="35"/>
  <c r="AR50" i="35"/>
  <c r="AU50" i="34"/>
  <c r="AV24" i="34"/>
  <c r="AU24" i="33"/>
  <c r="AT50" i="33"/>
  <c r="AU50" i="32"/>
  <c r="AV24" i="32"/>
  <c r="AZ24" i="31"/>
  <c r="AY50" i="31"/>
  <c r="AS50" i="30"/>
  <c r="AT24" i="30"/>
  <c r="AV24" i="13"/>
  <c r="AU50" i="13"/>
  <c r="AS25" i="34" l="1"/>
  <c r="AR27" i="34"/>
  <c r="AR51" i="34"/>
  <c r="AT25" i="35"/>
  <c r="AS27" i="35"/>
  <c r="AS51" i="35"/>
  <c r="AT25" i="39"/>
  <c r="AS27" i="39"/>
  <c r="AS51" i="39"/>
  <c r="AR27" i="36"/>
  <c r="AR51" i="36"/>
  <c r="AS25" i="33"/>
  <c r="AR27" i="33"/>
  <c r="AR51" i="33"/>
  <c r="AV25" i="31"/>
  <c r="AU27" i="31"/>
  <c r="AU51" i="31"/>
  <c r="AQ32" i="36"/>
  <c r="AR30" i="36"/>
  <c r="AR35" i="13"/>
  <c r="AR44" i="13" s="1"/>
  <c r="AR47" i="13" s="1"/>
  <c r="AQ37" i="13"/>
  <c r="AR32" i="33"/>
  <c r="AS30" i="33"/>
  <c r="AS30" i="35"/>
  <c r="AR32" i="35"/>
  <c r="AQ32" i="32"/>
  <c r="AR30" i="32"/>
  <c r="AQ37" i="38"/>
  <c r="AR35" i="38"/>
  <c r="AR44" i="38" s="1"/>
  <c r="AR47" i="38" s="1"/>
  <c r="AQ37" i="31"/>
  <c r="AR35" i="31"/>
  <c r="AR44" i="31" s="1"/>
  <c r="AR47" i="31" s="1"/>
  <c r="AR35" i="39"/>
  <c r="AR44" i="39" s="1"/>
  <c r="AR47" i="39" s="1"/>
  <c r="AQ37" i="39"/>
  <c r="AS37" i="33"/>
  <c r="AT35" i="33"/>
  <c r="AQ37" i="30"/>
  <c r="AR35" i="30"/>
  <c r="AR44" i="30" s="1"/>
  <c r="AR47" i="30" s="1"/>
  <c r="AR32" i="13"/>
  <c r="AS30" i="13"/>
  <c r="AS37" i="34"/>
  <c r="AT35" i="34"/>
  <c r="AS32" i="39"/>
  <c r="AT30" i="39"/>
  <c r="AS30" i="30"/>
  <c r="AR32" i="30"/>
  <c r="AQ37" i="35"/>
  <c r="AR35" i="35"/>
  <c r="AR41" i="35" s="1"/>
  <c r="AR47" i="35" s="1"/>
  <c r="AS35" i="32"/>
  <c r="AR37" i="32"/>
  <c r="AQ32" i="34"/>
  <c r="AR30" i="34"/>
  <c r="AQ37" i="36"/>
  <c r="AR35" i="36"/>
  <c r="AR41" i="36" s="1"/>
  <c r="AR47" i="36" s="1"/>
  <c r="AS32" i="38"/>
  <c r="AT30" i="38"/>
  <c r="AT32" i="31"/>
  <c r="AU30" i="31"/>
  <c r="AV24" i="39"/>
  <c r="AU50" i="39"/>
  <c r="AQ24" i="38"/>
  <c r="AP50" i="38"/>
  <c r="AQ24" i="36"/>
  <c r="AP50" i="36"/>
  <c r="AT24" i="35"/>
  <c r="AS50" i="35"/>
  <c r="AV50" i="34"/>
  <c r="AW24" i="34"/>
  <c r="AV24" i="33"/>
  <c r="AU50" i="33"/>
  <c r="AV50" i="32"/>
  <c r="AW24" i="32"/>
  <c r="BA24" i="31"/>
  <c r="AZ50" i="31"/>
  <c r="AT50" i="30"/>
  <c r="AU24" i="30"/>
  <c r="AW24" i="13"/>
  <c r="AV50" i="13"/>
  <c r="AT25" i="34" l="1"/>
  <c r="AS27" i="34"/>
  <c r="AS51" i="34"/>
  <c r="AU25" i="35"/>
  <c r="AT27" i="35"/>
  <c r="AT51" i="35"/>
  <c r="AU25" i="39"/>
  <c r="AT27" i="39"/>
  <c r="AT51" i="39"/>
  <c r="AS27" i="36"/>
  <c r="AS51" i="36"/>
  <c r="AT25" i="33"/>
  <c r="AS27" i="33"/>
  <c r="AS51" i="33"/>
  <c r="AW25" i="31"/>
  <c r="AV27" i="31"/>
  <c r="AV51" i="31"/>
  <c r="AS30" i="36"/>
  <c r="AR32" i="36"/>
  <c r="AS32" i="30"/>
  <c r="AT30" i="30"/>
  <c r="AR37" i="38"/>
  <c r="AS35" i="38"/>
  <c r="AS44" i="38" s="1"/>
  <c r="AS47" i="38" s="1"/>
  <c r="AR37" i="36"/>
  <c r="AS35" i="36"/>
  <c r="AS41" i="36" s="1"/>
  <c r="AS47" i="36" s="1"/>
  <c r="AT37" i="34"/>
  <c r="AU35" i="34"/>
  <c r="AR32" i="34"/>
  <c r="AS30" i="34"/>
  <c r="AS32" i="13"/>
  <c r="AT30" i="13"/>
  <c r="AS32" i="35"/>
  <c r="AT30" i="35"/>
  <c r="AR37" i="30"/>
  <c r="AS35" i="30"/>
  <c r="AS44" i="30" s="1"/>
  <c r="AS47" i="30" s="1"/>
  <c r="AS32" i="33"/>
  <c r="AT30" i="33"/>
  <c r="AT35" i="32"/>
  <c r="AS37" i="32"/>
  <c r="AS35" i="39"/>
  <c r="AS44" i="39" s="1"/>
  <c r="AS47" i="39" s="1"/>
  <c r="AR37" i="39"/>
  <c r="AU32" i="31"/>
  <c r="AV30" i="31"/>
  <c r="AR37" i="31"/>
  <c r="AS35" i="31"/>
  <c r="AS44" i="31" s="1"/>
  <c r="AS47" i="31" s="1"/>
  <c r="AT32" i="38"/>
  <c r="AU30" i="38"/>
  <c r="AT32" i="39"/>
  <c r="AU30" i="39"/>
  <c r="AR32" i="32"/>
  <c r="AS30" i="32"/>
  <c r="AR37" i="35"/>
  <c r="AS35" i="35"/>
  <c r="AS41" i="35" s="1"/>
  <c r="AS47" i="35" s="1"/>
  <c r="AT37" i="33"/>
  <c r="AU35" i="33"/>
  <c r="AS35" i="13"/>
  <c r="AS44" i="13" s="1"/>
  <c r="AS47" i="13" s="1"/>
  <c r="AR37" i="13"/>
  <c r="AW24" i="39"/>
  <c r="AV50" i="39"/>
  <c r="AR24" i="38"/>
  <c r="AQ50" i="38"/>
  <c r="AR24" i="36"/>
  <c r="AQ50" i="36"/>
  <c r="AU24" i="35"/>
  <c r="AT50" i="35"/>
  <c r="AW50" i="34"/>
  <c r="AX24" i="34"/>
  <c r="AW24" i="33"/>
  <c r="AV50" i="33"/>
  <c r="AW50" i="32"/>
  <c r="AX24" i="32"/>
  <c r="BB24" i="31"/>
  <c r="BA50" i="31"/>
  <c r="AV24" i="30"/>
  <c r="AU50" i="30"/>
  <c r="AW50" i="13"/>
  <c r="AX24" i="13"/>
  <c r="AU25" i="34" l="1"/>
  <c r="AT27" i="34"/>
  <c r="AT51" i="34"/>
  <c r="AV25" i="35"/>
  <c r="AU27" i="35"/>
  <c r="AU51" i="35"/>
  <c r="AV25" i="39"/>
  <c r="AU27" i="39"/>
  <c r="AU51" i="39"/>
  <c r="AT27" i="36"/>
  <c r="AT51" i="36"/>
  <c r="AU25" i="33"/>
  <c r="AT27" i="33"/>
  <c r="AT51" i="33"/>
  <c r="AX25" i="31"/>
  <c r="AW27" i="31"/>
  <c r="AW51" i="31"/>
  <c r="AT30" i="36"/>
  <c r="AS32" i="36"/>
  <c r="AT32" i="35"/>
  <c r="AU30" i="35"/>
  <c r="AS37" i="31"/>
  <c r="AT35" i="31"/>
  <c r="AT44" i="31" s="1"/>
  <c r="AT47" i="31" s="1"/>
  <c r="AS37" i="13"/>
  <c r="AT35" i="13"/>
  <c r="AT44" i="13" s="1"/>
  <c r="AT47" i="13" s="1"/>
  <c r="AU37" i="33"/>
  <c r="AV35" i="33"/>
  <c r="AS32" i="34"/>
  <c r="AT30" i="34"/>
  <c r="AS37" i="35"/>
  <c r="AT35" i="35"/>
  <c r="AT41" i="35" s="1"/>
  <c r="AT47" i="35" s="1"/>
  <c r="AT35" i="39"/>
  <c r="AT44" i="39" s="1"/>
  <c r="AT47" i="39" s="1"/>
  <c r="AS37" i="39"/>
  <c r="AS32" i="32"/>
  <c r="AT30" i="32"/>
  <c r="AT35" i="36"/>
  <c r="AT41" i="36" s="1"/>
  <c r="AT47" i="36" s="1"/>
  <c r="AS37" i="36"/>
  <c r="AU32" i="39"/>
  <c r="AV30" i="39"/>
  <c r="AU30" i="33"/>
  <c r="AT32" i="33"/>
  <c r="AS37" i="38"/>
  <c r="AT35" i="38"/>
  <c r="AT44" i="38" s="1"/>
  <c r="AT47" i="38" s="1"/>
  <c r="AT32" i="13"/>
  <c r="AU30" i="13"/>
  <c r="AW30" i="31"/>
  <c r="AV32" i="31"/>
  <c r="AV35" i="34"/>
  <c r="AU37" i="34"/>
  <c r="AU35" i="32"/>
  <c r="AT37" i="32"/>
  <c r="AV30" i="38"/>
  <c r="AU32" i="38"/>
  <c r="AS37" i="30"/>
  <c r="AT35" i="30"/>
  <c r="AT44" i="30" s="1"/>
  <c r="AT47" i="30" s="1"/>
  <c r="AT32" i="30"/>
  <c r="AU30" i="30"/>
  <c r="AX24" i="39"/>
  <c r="AW50" i="39"/>
  <c r="AS24" i="38"/>
  <c r="AR50" i="38"/>
  <c r="AS24" i="36"/>
  <c r="AR50" i="36"/>
  <c r="AV24" i="35"/>
  <c r="AU50" i="35"/>
  <c r="AX50" i="34"/>
  <c r="AY24" i="34"/>
  <c r="AX24" i="33"/>
  <c r="AW50" i="33"/>
  <c r="AX50" i="32"/>
  <c r="AY24" i="32"/>
  <c r="BC24" i="31"/>
  <c r="BB50" i="31"/>
  <c r="AV50" i="30"/>
  <c r="AW24" i="30"/>
  <c r="AY24" i="13"/>
  <c r="AX50" i="13"/>
  <c r="AV25" i="34" l="1"/>
  <c r="AU27" i="34"/>
  <c r="AU51" i="34"/>
  <c r="AW25" i="35"/>
  <c r="AV27" i="35"/>
  <c r="AV51" i="35"/>
  <c r="AW25" i="39"/>
  <c r="AV27" i="39"/>
  <c r="AV51" i="39"/>
  <c r="AU27" i="36"/>
  <c r="AU51" i="36"/>
  <c r="AV25" i="33"/>
  <c r="AU27" i="33"/>
  <c r="AU51" i="33"/>
  <c r="AY25" i="31"/>
  <c r="AX27" i="31"/>
  <c r="AX51" i="31"/>
  <c r="AU30" i="36"/>
  <c r="AT32" i="36"/>
  <c r="AT32" i="32"/>
  <c r="AU30" i="32"/>
  <c r="AU32" i="35"/>
  <c r="AV30" i="35"/>
  <c r="AW32" i="31"/>
  <c r="AX30" i="31"/>
  <c r="AV30" i="13"/>
  <c r="AU32" i="13"/>
  <c r="AU35" i="39"/>
  <c r="AU44" i="39" s="1"/>
  <c r="AU47" i="39" s="1"/>
  <c r="AT37" i="39"/>
  <c r="AU32" i="30"/>
  <c r="AV30" i="30"/>
  <c r="AU35" i="35"/>
  <c r="AU41" i="35" s="1"/>
  <c r="AU47" i="35" s="1"/>
  <c r="AT37" i="35"/>
  <c r="AU35" i="30"/>
  <c r="AU44" i="30" s="1"/>
  <c r="AU47" i="30" s="1"/>
  <c r="AT37" i="30"/>
  <c r="AU35" i="38"/>
  <c r="AU44" i="38" s="1"/>
  <c r="AU47" i="38" s="1"/>
  <c r="AT37" i="38"/>
  <c r="AT32" i="34"/>
  <c r="AU30" i="34"/>
  <c r="AW35" i="33"/>
  <c r="AV37" i="33"/>
  <c r="AV32" i="38"/>
  <c r="AW30" i="38"/>
  <c r="AV30" i="33"/>
  <c r="AU32" i="33"/>
  <c r="AV32" i="39"/>
  <c r="AW30" i="39"/>
  <c r="AT37" i="13"/>
  <c r="AU35" i="13"/>
  <c r="AU44" i="13" s="1"/>
  <c r="AU47" i="13" s="1"/>
  <c r="AU37" i="32"/>
  <c r="AV35" i="32"/>
  <c r="AU35" i="31"/>
  <c r="AU44" i="31" s="1"/>
  <c r="AU47" i="31" s="1"/>
  <c r="AT37" i="31"/>
  <c r="AW35" i="34"/>
  <c r="AV37" i="34"/>
  <c r="AT37" i="36"/>
  <c r="AU35" i="36"/>
  <c r="AU41" i="36" s="1"/>
  <c r="AU47" i="36" s="1"/>
  <c r="AX50" i="39"/>
  <c r="AY24" i="39"/>
  <c r="AT24" i="38"/>
  <c r="AS50" i="38"/>
  <c r="AT24" i="36"/>
  <c r="AS50" i="36"/>
  <c r="AW24" i="35"/>
  <c r="AV50" i="35"/>
  <c r="AY50" i="34"/>
  <c r="AZ24" i="34"/>
  <c r="AX50" i="33"/>
  <c r="AY24" i="33"/>
  <c r="AZ24" i="32"/>
  <c r="AY50" i="32"/>
  <c r="BD24" i="31"/>
  <c r="BC50" i="31"/>
  <c r="AX24" i="30"/>
  <c r="AW50" i="30"/>
  <c r="AZ24" i="13"/>
  <c r="AY50" i="13"/>
  <c r="AW25" i="34" l="1"/>
  <c r="AV27" i="34"/>
  <c r="AV51" i="34"/>
  <c r="AX25" i="35"/>
  <c r="AW27" i="35"/>
  <c r="AW51" i="35"/>
  <c r="AX25" i="39"/>
  <c r="AW27" i="39"/>
  <c r="AW51" i="39"/>
  <c r="AV27" i="36"/>
  <c r="AV51" i="36"/>
  <c r="AW25" i="33"/>
  <c r="AV27" i="33"/>
  <c r="AV51" i="33"/>
  <c r="AZ25" i="31"/>
  <c r="AY27" i="31"/>
  <c r="AY51" i="31"/>
  <c r="AU32" i="36"/>
  <c r="AV30" i="36"/>
  <c r="AU37" i="35"/>
  <c r="AV35" i="35"/>
  <c r="AV41" i="35" s="1"/>
  <c r="AV47" i="35" s="1"/>
  <c r="AU37" i="36"/>
  <c r="AV35" i="36"/>
  <c r="AV41" i="36" s="1"/>
  <c r="AV47" i="36" s="1"/>
  <c r="AW32" i="38"/>
  <c r="AX30" i="38"/>
  <c r="AV32" i="30"/>
  <c r="AW30" i="30"/>
  <c r="AW37" i="34"/>
  <c r="AX35" i="34"/>
  <c r="AU37" i="39"/>
  <c r="AV35" i="39"/>
  <c r="AV44" i="39" s="1"/>
  <c r="AV47" i="39" s="1"/>
  <c r="AV30" i="34"/>
  <c r="AU32" i="34"/>
  <c r="AV32" i="13"/>
  <c r="AW30" i="13"/>
  <c r="AW35" i="32"/>
  <c r="AV37" i="32"/>
  <c r="AX32" i="31"/>
  <c r="AY30" i="31"/>
  <c r="AV35" i="38"/>
  <c r="AV44" i="38" s="1"/>
  <c r="AV47" i="38" s="1"/>
  <c r="AU37" i="38"/>
  <c r="AU37" i="13"/>
  <c r="AV35" i="13"/>
  <c r="AV44" i="13" s="1"/>
  <c r="AV47" i="13" s="1"/>
  <c r="AV32" i="35"/>
  <c r="AW30" i="35"/>
  <c r="AV35" i="30"/>
  <c r="AV44" i="30" s="1"/>
  <c r="AV47" i="30" s="1"/>
  <c r="AU37" i="30"/>
  <c r="AV32" i="33"/>
  <c r="AW30" i="33"/>
  <c r="AX35" i="33"/>
  <c r="AW37" i="33"/>
  <c r="AV35" i="31"/>
  <c r="AV44" i="31" s="1"/>
  <c r="AV47" i="31" s="1"/>
  <c r="AU37" i="31"/>
  <c r="AX30" i="39"/>
  <c r="AW32" i="39"/>
  <c r="AV30" i="32"/>
  <c r="AU32" i="32"/>
  <c r="AZ24" i="39"/>
  <c r="AY50" i="39"/>
  <c r="AT50" i="38"/>
  <c r="AU24" i="38"/>
  <c r="AT50" i="36"/>
  <c r="AU24" i="36"/>
  <c r="AX24" i="35"/>
  <c r="AW50" i="35"/>
  <c r="BA24" i="34"/>
  <c r="AZ50" i="34"/>
  <c r="AZ24" i="33"/>
  <c r="AY50" i="33"/>
  <c r="BA24" i="32"/>
  <c r="AZ50" i="32"/>
  <c r="BE24" i="31"/>
  <c r="BE50" i="31" s="1"/>
  <c r="BD50" i="31"/>
  <c r="AY24" i="30"/>
  <c r="AX50" i="30"/>
  <c r="BA24" i="13"/>
  <c r="AZ50" i="13"/>
  <c r="AX25" i="34" l="1"/>
  <c r="AW27" i="34"/>
  <c r="AW51" i="34"/>
  <c r="AY25" i="35"/>
  <c r="AX27" i="35"/>
  <c r="AX51" i="35"/>
  <c r="AY25" i="39"/>
  <c r="AX27" i="39"/>
  <c r="AX51" i="39"/>
  <c r="AW27" i="36"/>
  <c r="AW51" i="36"/>
  <c r="AX25" i="33"/>
  <c r="AW27" i="33"/>
  <c r="AW51" i="33"/>
  <c r="BA25" i="31"/>
  <c r="AZ27" i="31"/>
  <c r="AZ51" i="31"/>
  <c r="AV32" i="36"/>
  <c r="AW30" i="36"/>
  <c r="AW30" i="34"/>
  <c r="AV32" i="34"/>
  <c r="AV37" i="39"/>
  <c r="AW35" i="39"/>
  <c r="AW44" i="39" s="1"/>
  <c r="AW47" i="39" s="1"/>
  <c r="AX37" i="34"/>
  <c r="AY35" i="34"/>
  <c r="AW30" i="32"/>
  <c r="AV32" i="32"/>
  <c r="AW32" i="30"/>
  <c r="AX30" i="30"/>
  <c r="AW35" i="38"/>
  <c r="AW44" i="38" s="1"/>
  <c r="AW47" i="38" s="1"/>
  <c r="AV37" i="38"/>
  <c r="AX32" i="38"/>
  <c r="AY30" i="38"/>
  <c r="AW35" i="31"/>
  <c r="AW44" i="31" s="1"/>
  <c r="AW47" i="31" s="1"/>
  <c r="AV37" i="31"/>
  <c r="AV37" i="36"/>
  <c r="AW35" i="36"/>
  <c r="AW41" i="36" s="1"/>
  <c r="AW47" i="36" s="1"/>
  <c r="AX37" i="33"/>
  <c r="AY35" i="33"/>
  <c r="AX35" i="32"/>
  <c r="AW37" i="32"/>
  <c r="AX30" i="33"/>
  <c r="AW32" i="33"/>
  <c r="AX30" i="13"/>
  <c r="AW32" i="13"/>
  <c r="AW35" i="35"/>
  <c r="AW41" i="35" s="1"/>
  <c r="AW47" i="35" s="1"/>
  <c r="AV37" i="35"/>
  <c r="AV37" i="30"/>
  <c r="AW35" i="30"/>
  <c r="AW44" i="30" s="1"/>
  <c r="AW47" i="30" s="1"/>
  <c r="AW32" i="35"/>
  <c r="AX30" i="35"/>
  <c r="AV37" i="13"/>
  <c r="AW35" i="13"/>
  <c r="AW44" i="13" s="1"/>
  <c r="AW47" i="13" s="1"/>
  <c r="AY30" i="39"/>
  <c r="AX32" i="39"/>
  <c r="AZ30" i="31"/>
  <c r="AY32" i="31"/>
  <c r="BA24" i="39"/>
  <c r="AZ50" i="39"/>
  <c r="AU50" i="38"/>
  <c r="AV24" i="38"/>
  <c r="AU50" i="36"/>
  <c r="AV24" i="36"/>
  <c r="AX50" i="35"/>
  <c r="AY24" i="35"/>
  <c r="BB24" i="34"/>
  <c r="BA50" i="34"/>
  <c r="BA24" i="33"/>
  <c r="AZ50" i="33"/>
  <c r="E50" i="31"/>
  <c r="BB24" i="32"/>
  <c r="BA50" i="32"/>
  <c r="AZ24" i="30"/>
  <c r="AY50" i="30"/>
  <c r="BB24" i="13"/>
  <c r="BA50" i="13"/>
  <c r="AY25" i="34" l="1"/>
  <c r="AX27" i="34"/>
  <c r="AX51" i="34"/>
  <c r="AZ25" i="35"/>
  <c r="AY27" i="35"/>
  <c r="AY51" i="35"/>
  <c r="AZ25" i="39"/>
  <c r="AY27" i="39"/>
  <c r="AY51" i="39"/>
  <c r="AX27" i="36"/>
  <c r="AX51" i="36"/>
  <c r="AY25" i="33"/>
  <c r="AX27" i="33"/>
  <c r="AX51" i="33"/>
  <c r="BB25" i="31"/>
  <c r="BA27" i="31"/>
  <c r="BA51" i="31"/>
  <c r="AW32" i="36"/>
  <c r="AX30" i="36"/>
  <c r="AX32" i="13"/>
  <c r="AY30" i="13"/>
  <c r="AX35" i="38"/>
  <c r="AX44" i="38" s="1"/>
  <c r="AX47" i="38" s="1"/>
  <c r="AW37" i="38"/>
  <c r="AY30" i="30"/>
  <c r="AX32" i="30"/>
  <c r="AZ32" i="31"/>
  <c r="BA30" i="31"/>
  <c r="AX32" i="33"/>
  <c r="AY30" i="33"/>
  <c r="AY35" i="32"/>
  <c r="AX37" i="32"/>
  <c r="AX30" i="32"/>
  <c r="AW32" i="32"/>
  <c r="AW37" i="13"/>
  <c r="AX35" i="13"/>
  <c r="AX44" i="13" s="1"/>
  <c r="AX47" i="13" s="1"/>
  <c r="AY37" i="33"/>
  <c r="AZ35" i="33"/>
  <c r="AZ35" i="34"/>
  <c r="AY37" i="34"/>
  <c r="AY30" i="35"/>
  <c r="AX32" i="35"/>
  <c r="AX35" i="36"/>
  <c r="AX41" i="36" s="1"/>
  <c r="AX47" i="36" s="1"/>
  <c r="AW37" i="36"/>
  <c r="AW37" i="39"/>
  <c r="AX35" i="39"/>
  <c r="AX44" i="39" s="1"/>
  <c r="AX47" i="39" s="1"/>
  <c r="AZ30" i="39"/>
  <c r="AY32" i="39"/>
  <c r="AW37" i="30"/>
  <c r="AX35" i="30"/>
  <c r="AX44" i="30" s="1"/>
  <c r="AX47" i="30" s="1"/>
  <c r="AW37" i="31"/>
  <c r="AX35" i="31"/>
  <c r="AX44" i="31" s="1"/>
  <c r="AX47" i="31" s="1"/>
  <c r="AZ30" i="38"/>
  <c r="AY32" i="38"/>
  <c r="AX35" i="35"/>
  <c r="AX41" i="35" s="1"/>
  <c r="AX47" i="35" s="1"/>
  <c r="AW37" i="35"/>
  <c r="AX30" i="34"/>
  <c r="AW32" i="34"/>
  <c r="BB24" i="39"/>
  <c r="BA50" i="39"/>
  <c r="AV50" i="38"/>
  <c r="AW24" i="38"/>
  <c r="AV50" i="36"/>
  <c r="AW24" i="36"/>
  <c r="AZ24" i="35"/>
  <c r="AY50" i="35"/>
  <c r="BC24" i="34"/>
  <c r="BB50" i="34"/>
  <c r="BB24" i="33"/>
  <c r="BA50" i="33"/>
  <c r="BC24" i="32"/>
  <c r="BB50" i="32"/>
  <c r="BA24" i="30"/>
  <c r="AZ50" i="30"/>
  <c r="BC24" i="13"/>
  <c r="BB50" i="13"/>
  <c r="AZ25" i="34" l="1"/>
  <c r="AY27" i="34"/>
  <c r="AY51" i="34"/>
  <c r="BA25" i="35"/>
  <c r="AZ27" i="35"/>
  <c r="AZ51" i="35"/>
  <c r="BA25" i="39"/>
  <c r="AZ27" i="39"/>
  <c r="AZ51" i="39"/>
  <c r="AY27" i="36"/>
  <c r="AY51" i="36"/>
  <c r="AZ25" i="33"/>
  <c r="AY27" i="33"/>
  <c r="AY51" i="33"/>
  <c r="BC25" i="31"/>
  <c r="BB27" i="31"/>
  <c r="BB51" i="31"/>
  <c r="AX32" i="36"/>
  <c r="AY30" i="36"/>
  <c r="AZ37" i="34"/>
  <c r="BA35" i="34"/>
  <c r="AY32" i="30"/>
  <c r="AZ30" i="30"/>
  <c r="AZ37" i="33"/>
  <c r="BA35" i="33"/>
  <c r="AX37" i="38"/>
  <c r="AY35" i="38"/>
  <c r="AY44" i="38" s="1"/>
  <c r="AY47" i="38" s="1"/>
  <c r="AX37" i="30"/>
  <c r="AY35" i="30"/>
  <c r="AY44" i="30" s="1"/>
  <c r="AY47" i="30" s="1"/>
  <c r="AY35" i="13"/>
  <c r="AY44" i="13" s="1"/>
  <c r="AY47" i="13" s="1"/>
  <c r="AX37" i="13"/>
  <c r="AZ30" i="13"/>
  <c r="AY32" i="13"/>
  <c r="BA30" i="39"/>
  <c r="AZ32" i="39"/>
  <c r="AY30" i="32"/>
  <c r="AX32" i="32"/>
  <c r="AX37" i="39"/>
  <c r="AY35" i="39"/>
  <c r="AY44" i="39" s="1"/>
  <c r="AY47" i="39" s="1"/>
  <c r="AX32" i="34"/>
  <c r="AY30" i="34"/>
  <c r="AZ35" i="32"/>
  <c r="AY37" i="32"/>
  <c r="AZ30" i="33"/>
  <c r="AY32" i="33"/>
  <c r="AX37" i="35"/>
  <c r="AY35" i="35"/>
  <c r="AY41" i="35" s="1"/>
  <c r="AY47" i="35" s="1"/>
  <c r="AY35" i="36"/>
  <c r="AY41" i="36" s="1"/>
  <c r="AY47" i="36" s="1"/>
  <c r="AX37" i="36"/>
  <c r="BA32" i="31"/>
  <c r="BB30" i="31"/>
  <c r="AZ32" i="38"/>
  <c r="BA30" i="38"/>
  <c r="AZ30" i="35"/>
  <c r="AY32" i="35"/>
  <c r="AY35" i="31"/>
  <c r="AY44" i="31" s="1"/>
  <c r="AY47" i="31" s="1"/>
  <c r="AX37" i="31"/>
  <c r="BC24" i="39"/>
  <c r="BB50" i="39"/>
  <c r="AX24" i="38"/>
  <c r="AW50" i="38"/>
  <c r="AW50" i="36"/>
  <c r="AX24" i="36"/>
  <c r="BA24" i="35"/>
  <c r="AZ50" i="35"/>
  <c r="BD24" i="34"/>
  <c r="BC50" i="34"/>
  <c r="BC24" i="33"/>
  <c r="BB50" i="33"/>
  <c r="BD24" i="32"/>
  <c r="BC50" i="32"/>
  <c r="BB24" i="30"/>
  <c r="BA50" i="30"/>
  <c r="BD24" i="13"/>
  <c r="BC50" i="13"/>
  <c r="BA25" i="34" l="1"/>
  <c r="AZ27" i="34"/>
  <c r="AZ51" i="34"/>
  <c r="BB25" i="35"/>
  <c r="BA27" i="35"/>
  <c r="BA51" i="35"/>
  <c r="BB25" i="39"/>
  <c r="BA27" i="39"/>
  <c r="BA51" i="39"/>
  <c r="AZ27" i="36"/>
  <c r="AZ51" i="36"/>
  <c r="BA25" i="33"/>
  <c r="AZ27" i="33"/>
  <c r="AZ51" i="33"/>
  <c r="BD25" i="31"/>
  <c r="BC27" i="31"/>
  <c r="BC51" i="31"/>
  <c r="AY32" i="36"/>
  <c r="AZ30" i="36"/>
  <c r="BA30" i="33"/>
  <c r="AZ32" i="33"/>
  <c r="AY37" i="13"/>
  <c r="AZ35" i="13"/>
  <c r="AZ44" i="13" s="1"/>
  <c r="AZ47" i="13" s="1"/>
  <c r="AZ35" i="30"/>
  <c r="AZ44" i="30" s="1"/>
  <c r="AZ47" i="30" s="1"/>
  <c r="AY37" i="30"/>
  <c r="AZ35" i="31"/>
  <c r="AZ44" i="31" s="1"/>
  <c r="AZ47" i="31" s="1"/>
  <c r="AY37" i="31"/>
  <c r="AZ37" i="32"/>
  <c r="BA35" i="32"/>
  <c r="AY32" i="34"/>
  <c r="AZ30" i="34"/>
  <c r="AY37" i="38"/>
  <c r="AZ35" i="38"/>
  <c r="AZ44" i="38" s="1"/>
  <c r="AZ47" i="38" s="1"/>
  <c r="AZ32" i="35"/>
  <c r="BA30" i="35"/>
  <c r="BB30" i="38"/>
  <c r="BA32" i="38"/>
  <c r="AY37" i="39"/>
  <c r="AZ35" i="39"/>
  <c r="AZ44" i="39" s="1"/>
  <c r="AZ47" i="39" s="1"/>
  <c r="BA37" i="33"/>
  <c r="BB35" i="33"/>
  <c r="BB32" i="31"/>
  <c r="BC30" i="31"/>
  <c r="AY32" i="32"/>
  <c r="AZ30" i="32"/>
  <c r="BA30" i="30"/>
  <c r="AZ32" i="30"/>
  <c r="AZ35" i="36"/>
  <c r="AZ41" i="36" s="1"/>
  <c r="AZ47" i="36" s="1"/>
  <c r="AY37" i="36"/>
  <c r="BB30" i="39"/>
  <c r="BA32" i="39"/>
  <c r="AY37" i="35"/>
  <c r="AZ35" i="35"/>
  <c r="AZ41" i="35" s="1"/>
  <c r="AZ47" i="35" s="1"/>
  <c r="BA37" i="34"/>
  <c r="BB35" i="34"/>
  <c r="BA30" i="13"/>
  <c r="AZ32" i="13"/>
  <c r="BC50" i="39"/>
  <c r="BD24" i="39"/>
  <c r="AX50" i="38"/>
  <c r="AY24" i="38"/>
  <c r="AX50" i="36"/>
  <c r="AY24" i="36"/>
  <c r="BA50" i="35"/>
  <c r="BB24" i="35"/>
  <c r="BE24" i="34"/>
  <c r="BE50" i="34" s="1"/>
  <c r="BD50" i="34"/>
  <c r="BC50" i="33"/>
  <c r="BD24" i="33"/>
  <c r="BE24" i="32"/>
  <c r="BE50" i="32" s="1"/>
  <c r="BD50" i="32"/>
  <c r="BC24" i="30"/>
  <c r="BB50" i="30"/>
  <c r="BE24" i="13"/>
  <c r="BE50" i="13" s="1"/>
  <c r="BD50" i="13"/>
  <c r="BB25" i="34" l="1"/>
  <c r="BA27" i="34"/>
  <c r="BA51" i="34"/>
  <c r="BC25" i="35"/>
  <c r="BB27" i="35"/>
  <c r="BB51" i="35"/>
  <c r="BC25" i="39"/>
  <c r="BB27" i="39"/>
  <c r="BB51" i="39"/>
  <c r="BA27" i="36"/>
  <c r="BA51" i="36"/>
  <c r="BB25" i="33"/>
  <c r="BA27" i="33"/>
  <c r="BA51" i="33"/>
  <c r="BE25" i="31"/>
  <c r="BD27" i="31"/>
  <c r="BD51" i="31"/>
  <c r="BA30" i="36"/>
  <c r="AZ32" i="36"/>
  <c r="AZ37" i="38"/>
  <c r="BA35" i="38"/>
  <c r="BA44" i="38" s="1"/>
  <c r="BA47" i="38" s="1"/>
  <c r="BA30" i="32"/>
  <c r="AZ32" i="32"/>
  <c r="BA37" i="32"/>
  <c r="BB35" i="32"/>
  <c r="AZ37" i="35"/>
  <c r="BA35" i="35"/>
  <c r="BA41" i="35" s="1"/>
  <c r="BA47" i="35" s="1"/>
  <c r="AZ37" i="31"/>
  <c r="BA35" i="31"/>
  <c r="BA44" i="31" s="1"/>
  <c r="BA47" i="31" s="1"/>
  <c r="AZ37" i="39"/>
  <c r="BA35" i="39"/>
  <c r="BA44" i="39" s="1"/>
  <c r="BA47" i="39" s="1"/>
  <c r="BC30" i="39"/>
  <c r="BB32" i="39"/>
  <c r="BA35" i="30"/>
  <c r="BA44" i="30" s="1"/>
  <c r="BA47" i="30" s="1"/>
  <c r="AZ37" i="30"/>
  <c r="AZ37" i="13"/>
  <c r="BA35" i="13"/>
  <c r="BA44" i="13" s="1"/>
  <c r="BA47" i="13" s="1"/>
  <c r="BA35" i="36"/>
  <c r="BA41" i="36" s="1"/>
  <c r="BA47" i="36" s="1"/>
  <c r="AZ37" i="36"/>
  <c r="BC30" i="38"/>
  <c r="BB32" i="38"/>
  <c r="BA30" i="34"/>
  <c r="AZ32" i="34"/>
  <c r="BB30" i="13"/>
  <c r="BA32" i="13"/>
  <c r="BC35" i="34"/>
  <c r="BB37" i="34"/>
  <c r="BD30" i="31"/>
  <c r="BC32" i="31"/>
  <c r="BB37" i="33"/>
  <c r="BC35" i="33"/>
  <c r="BB30" i="35"/>
  <c r="BA32" i="35"/>
  <c r="BA32" i="30"/>
  <c r="BB30" i="30"/>
  <c r="BB30" i="33"/>
  <c r="BA32" i="33"/>
  <c r="BE24" i="39"/>
  <c r="BE50" i="39" s="1"/>
  <c r="BD50" i="39"/>
  <c r="AZ24" i="38"/>
  <c r="AY50" i="38"/>
  <c r="AZ24" i="36"/>
  <c r="AY50" i="36"/>
  <c r="E50" i="34"/>
  <c r="BC24" i="35"/>
  <c r="BB50" i="35"/>
  <c r="BE24" i="33"/>
  <c r="BE50" i="33" s="1"/>
  <c r="BD50" i="33"/>
  <c r="E50" i="32"/>
  <c r="BD24" i="30"/>
  <c r="BC50" i="30"/>
  <c r="E50" i="13"/>
  <c r="BC25" i="34" l="1"/>
  <c r="BB27" i="34"/>
  <c r="BB51" i="34"/>
  <c r="BD25" i="35"/>
  <c r="BC27" i="35"/>
  <c r="BC51" i="35"/>
  <c r="BD25" i="39"/>
  <c r="BC27" i="39"/>
  <c r="BC51" i="39"/>
  <c r="BB27" i="36"/>
  <c r="BB51" i="36"/>
  <c r="BC25" i="33"/>
  <c r="BB27" i="33"/>
  <c r="BB51" i="33"/>
  <c r="BE27" i="31"/>
  <c r="BE51" i="31"/>
  <c r="E51" i="31" s="1"/>
  <c r="N7" i="9" s="1"/>
  <c r="BA32" i="36"/>
  <c r="BB30" i="36"/>
  <c r="BD35" i="34"/>
  <c r="BC37" i="34"/>
  <c r="BA37" i="30"/>
  <c r="BB35" i="30"/>
  <c r="BB44" i="30" s="1"/>
  <c r="BB47" i="30" s="1"/>
  <c r="BB32" i="13"/>
  <c r="BC30" i="13"/>
  <c r="BB35" i="39"/>
  <c r="BB44" i="39" s="1"/>
  <c r="BB47" i="39" s="1"/>
  <c r="BA37" i="39"/>
  <c r="BC30" i="33"/>
  <c r="BB32" i="33"/>
  <c r="BB35" i="31"/>
  <c r="BB44" i="31" s="1"/>
  <c r="BB47" i="31" s="1"/>
  <c r="BA37" i="31"/>
  <c r="BA37" i="36"/>
  <c r="BB35" i="36"/>
  <c r="BB41" i="36" s="1"/>
  <c r="BB47" i="36" s="1"/>
  <c r="BA37" i="13"/>
  <c r="BB35" i="13"/>
  <c r="BB44" i="13" s="1"/>
  <c r="BB47" i="13" s="1"/>
  <c r="BE30" i="31"/>
  <c r="BE32" i="31" s="1"/>
  <c r="BD32" i="31"/>
  <c r="BA32" i="32"/>
  <c r="BB30" i="32"/>
  <c r="BC32" i="39"/>
  <c r="BD30" i="39"/>
  <c r="BB30" i="34"/>
  <c r="BA32" i="34"/>
  <c r="BB32" i="30"/>
  <c r="BC30" i="30"/>
  <c r="BA37" i="35"/>
  <c r="BB35" i="35"/>
  <c r="BB41" i="35" s="1"/>
  <c r="BB47" i="35" s="1"/>
  <c r="BC30" i="35"/>
  <c r="BB32" i="35"/>
  <c r="BD30" i="38"/>
  <c r="BC32" i="38"/>
  <c r="BD35" i="33"/>
  <c r="BC37" i="33"/>
  <c r="BB37" i="32"/>
  <c r="BC35" i="32"/>
  <c r="BA37" i="38"/>
  <c r="BB35" i="38"/>
  <c r="BB44" i="38" s="1"/>
  <c r="BB47" i="38" s="1"/>
  <c r="E50" i="39"/>
  <c r="BA24" i="38"/>
  <c r="AZ50" i="38"/>
  <c r="BA24" i="36"/>
  <c r="AZ50" i="36"/>
  <c r="BD24" i="35"/>
  <c r="BC50" i="35"/>
  <c r="E50" i="33"/>
  <c r="BE24" i="30"/>
  <c r="BE50" i="30" s="1"/>
  <c r="BD50" i="30"/>
  <c r="BD25" i="34" l="1"/>
  <c r="BC27" i="34"/>
  <c r="BC51" i="34"/>
  <c r="BE25" i="35"/>
  <c r="BD27" i="35"/>
  <c r="BD51" i="35"/>
  <c r="BE25" i="39"/>
  <c r="BD27" i="39"/>
  <c r="BD51" i="39"/>
  <c r="BC27" i="36"/>
  <c r="BC51" i="36"/>
  <c r="BD25" i="33"/>
  <c r="BC27" i="33"/>
  <c r="BC51" i="33"/>
  <c r="BB32" i="36"/>
  <c r="BC30" i="36"/>
  <c r="BC35" i="31"/>
  <c r="BC44" i="31" s="1"/>
  <c r="BC47" i="31" s="1"/>
  <c r="BB37" i="31"/>
  <c r="BC37" i="32"/>
  <c r="BD35" i="32"/>
  <c r="BC30" i="34"/>
  <c r="BB32" i="34"/>
  <c r="BD30" i="33"/>
  <c r="BC32" i="33"/>
  <c r="BC30" i="32"/>
  <c r="BB32" i="32"/>
  <c r="BD30" i="13"/>
  <c r="BC32" i="13"/>
  <c r="BD32" i="38"/>
  <c r="BE30" i="38"/>
  <c r="BE32" i="38" s="1"/>
  <c r="BC35" i="30"/>
  <c r="BC44" i="30" s="1"/>
  <c r="BC47" i="30" s="1"/>
  <c r="BB37" i="30"/>
  <c r="BC32" i="35"/>
  <c r="BD30" i="35"/>
  <c r="BB37" i="36"/>
  <c r="BC35" i="36"/>
  <c r="BC41" i="36" s="1"/>
  <c r="BC47" i="36" s="1"/>
  <c r="BB37" i="38"/>
  <c r="BC35" i="38"/>
  <c r="BC44" i="38" s="1"/>
  <c r="BC47" i="38" s="1"/>
  <c r="BC32" i="30"/>
  <c r="BD30" i="30"/>
  <c r="BE30" i="39"/>
  <c r="BE32" i="39" s="1"/>
  <c r="BD32" i="39"/>
  <c r="BE35" i="33"/>
  <c r="BD37" i="33"/>
  <c r="BB37" i="39"/>
  <c r="BC35" i="39"/>
  <c r="BC44" i="39" s="1"/>
  <c r="BC47" i="39" s="1"/>
  <c r="BB37" i="35"/>
  <c r="BC35" i="35"/>
  <c r="BC41" i="35" s="1"/>
  <c r="BC47" i="35" s="1"/>
  <c r="BB37" i="13"/>
  <c r="BC35" i="13"/>
  <c r="BC44" i="13" s="1"/>
  <c r="BC47" i="13" s="1"/>
  <c r="BD37" i="34"/>
  <c r="BE35" i="34"/>
  <c r="BB24" i="38"/>
  <c r="BA50" i="38"/>
  <c r="BB24" i="36"/>
  <c r="BA50" i="36"/>
  <c r="BE24" i="35"/>
  <c r="BE50" i="35" s="1"/>
  <c r="BD50" i="35"/>
  <c r="E50" i="30"/>
  <c r="BE25" i="34" l="1"/>
  <c r="BD27" i="34"/>
  <c r="BD51" i="34"/>
  <c r="BE27" i="35"/>
  <c r="BE51" i="35"/>
  <c r="E51" i="35" s="1"/>
  <c r="N11" i="9" s="1"/>
  <c r="BE27" i="39"/>
  <c r="BE51" i="39"/>
  <c r="E51" i="39" s="1"/>
  <c r="N14" i="9" s="1"/>
  <c r="BD27" i="36"/>
  <c r="BD51" i="36"/>
  <c r="BE25" i="33"/>
  <c r="BD27" i="33"/>
  <c r="BD51" i="33"/>
  <c r="BD30" i="36"/>
  <c r="BC32" i="36"/>
  <c r="BC37" i="30"/>
  <c r="BD35" i="30"/>
  <c r="BD44" i="30" s="1"/>
  <c r="BD47" i="30" s="1"/>
  <c r="BE30" i="30"/>
  <c r="BE32" i="30" s="1"/>
  <c r="BD32" i="30"/>
  <c r="BE30" i="13"/>
  <c r="BE32" i="13" s="1"/>
  <c r="BD32" i="13"/>
  <c r="BE37" i="34"/>
  <c r="M10" i="9"/>
  <c r="BC37" i="38"/>
  <c r="BD35" i="38"/>
  <c r="BD44" i="38" s="1"/>
  <c r="BD47" i="38" s="1"/>
  <c r="BD30" i="32"/>
  <c r="BC32" i="32"/>
  <c r="BC37" i="13"/>
  <c r="BD35" i="13"/>
  <c r="BD44" i="13" s="1"/>
  <c r="BD47" i="13" s="1"/>
  <c r="BE30" i="33"/>
  <c r="BE32" i="33" s="1"/>
  <c r="BD32" i="33"/>
  <c r="BD35" i="35"/>
  <c r="BD41" i="35" s="1"/>
  <c r="BD47" i="35" s="1"/>
  <c r="BC37" i="35"/>
  <c r="BC32" i="34"/>
  <c r="BD30" i="34"/>
  <c r="BC37" i="39"/>
  <c r="BD35" i="39"/>
  <c r="BD44" i="39" s="1"/>
  <c r="BD47" i="39" s="1"/>
  <c r="BD32" i="35"/>
  <c r="BE30" i="35"/>
  <c r="BE32" i="35" s="1"/>
  <c r="BE35" i="32"/>
  <c r="BD37" i="32"/>
  <c r="BE37" i="33"/>
  <c r="M9" i="9"/>
  <c r="BC37" i="31"/>
  <c r="BD35" i="31"/>
  <c r="BD44" i="31" s="1"/>
  <c r="BD47" i="31" s="1"/>
  <c r="BC37" i="36"/>
  <c r="BD35" i="36"/>
  <c r="BD41" i="36" s="1"/>
  <c r="BD47" i="36" s="1"/>
  <c r="BC24" i="38"/>
  <c r="BB50" i="38"/>
  <c r="E50" i="35"/>
  <c r="BC24" i="36"/>
  <c r="BB50" i="36"/>
  <c r="BE27" i="34" l="1"/>
  <c r="BE51" i="34"/>
  <c r="E51" i="34" s="1"/>
  <c r="N10" i="9" s="1"/>
  <c r="BE27" i="36"/>
  <c r="BE51" i="36"/>
  <c r="E51" i="36" s="1"/>
  <c r="N12" i="9" s="1"/>
  <c r="BE27" i="33"/>
  <c r="BE51" i="33"/>
  <c r="E51" i="33" s="1"/>
  <c r="N9" i="9" s="1"/>
  <c r="N15" i="9" s="1"/>
  <c r="BD32" i="36"/>
  <c r="BE30" i="36"/>
  <c r="BE32" i="36" s="1"/>
  <c r="BE35" i="13"/>
  <c r="BE44" i="13" s="1"/>
  <c r="BE47" i="13" s="1"/>
  <c r="BD37" i="13"/>
  <c r="BE37" i="32"/>
  <c r="M8" i="9"/>
  <c r="BE30" i="32"/>
  <c r="BE32" i="32" s="1"/>
  <c r="BD32" i="32"/>
  <c r="BE35" i="38"/>
  <c r="BE44" i="38" s="1"/>
  <c r="BE47" i="38" s="1"/>
  <c r="BD37" i="38"/>
  <c r="BD37" i="39"/>
  <c r="BE35" i="39"/>
  <c r="BE44" i="39" s="1"/>
  <c r="BE47" i="39" s="1"/>
  <c r="BD32" i="34"/>
  <c r="BE30" i="34"/>
  <c r="BE32" i="34" s="1"/>
  <c r="BD37" i="36"/>
  <c r="BE35" i="36"/>
  <c r="BE41" i="36" s="1"/>
  <c r="BE47" i="36" s="1"/>
  <c r="BE35" i="35"/>
  <c r="BE41" i="35" s="1"/>
  <c r="BE47" i="35" s="1"/>
  <c r="BD37" i="35"/>
  <c r="BD37" i="31"/>
  <c r="BE35" i="31"/>
  <c r="BE44" i="31" s="1"/>
  <c r="BE47" i="31" s="1"/>
  <c r="BD37" i="30"/>
  <c r="BE35" i="30"/>
  <c r="BE44" i="30" s="1"/>
  <c r="BE47" i="30" s="1"/>
  <c r="BC50" i="38"/>
  <c r="BD24" i="38"/>
  <c r="BD24" i="36"/>
  <c r="BC50" i="36"/>
  <c r="BE37" i="36" l="1"/>
  <c r="M12" i="9"/>
  <c r="BE37" i="39"/>
  <c r="M14" i="9"/>
  <c r="BE37" i="38"/>
  <c r="M13" i="9"/>
  <c r="BE37" i="30"/>
  <c r="M6" i="9"/>
  <c r="BE37" i="31"/>
  <c r="M7" i="9"/>
  <c r="BE37" i="35"/>
  <c r="M11" i="9"/>
  <c r="BE37" i="13"/>
  <c r="M5" i="9"/>
  <c r="BE24" i="38"/>
  <c r="BE50" i="38" s="1"/>
  <c r="BD50" i="38"/>
  <c r="BE24" i="36"/>
  <c r="BE50" i="36" s="1"/>
  <c r="BD50" i="36"/>
  <c r="M15" i="9" l="1"/>
  <c r="E50" i="38"/>
  <c r="E50" i="36"/>
  <c r="R5" i="9" l="1"/>
  <c r="R15" i="9" s="1"/>
</calcChain>
</file>

<file path=xl/sharedStrings.xml><?xml version="1.0" encoding="utf-8"?>
<sst xmlns="http://schemas.openxmlformats.org/spreadsheetml/2006/main" count="1183" uniqueCount="349">
  <si>
    <t>Jonas Fitness</t>
  </si>
  <si>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</si>
  <si>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</si>
  <si>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</si>
  <si>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</si>
  <si>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</si>
  <si>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</si>
  <si>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</si>
  <si>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</si>
  <si>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</si>
  <si>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</si>
  <si>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</si>
  <si>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</si>
  <si>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</si>
  <si>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</si>
  <si>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</si>
  <si>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</si>
  <si>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</si>
  <si>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</si>
  <si>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</si>
  <si>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</si>
  <si>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</si>
  <si>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</si>
  <si>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</si>
  <si>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</si>
  <si>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</si>
  <si>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Claude Code Internal to all developers</t>
  </si>
  <si>
    <t>Strategic Value</t>
  </si>
  <si>
    <t>Stage Multiplier (today)</t>
  </si>
  <si>
    <t>Current Qtr</t>
  </si>
  <si>
    <t>Description (Use Case)</t>
  </si>
  <si>
    <t>Increase efficiency by 30% among customer deliverables</t>
  </si>
  <si>
    <t>Stage Last Quarter</t>
  </si>
  <si>
    <t>PROJECT SCORE</t>
  </si>
  <si>
    <t>Category</t>
  </si>
  <si>
    <t>L3.  AI-powered internal business process improvements</t>
  </si>
  <si>
    <t>R&amp;D</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</si>
  <si>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</si>
  <si>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</si>
  <si>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</si>
  <si>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</si>
  <si>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</si>
  <si>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</si>
  <si>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</si>
  <si>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</si>
  <si>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</si>
  <si>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</si>
  <si>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</si>
  <si>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</si>
  <si>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</si>
  <si>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</si>
  <si>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Claude Code</t>
  </si>
  <si>
    <t>KPI</t>
  </si>
  <si>
    <t>Employee AI Tool Adoption Rate</t>
  </si>
  <si>
    <t>Throughput</t>
  </si>
  <si>
    <t>.... Select the primary KPI (Jonas Library)</t>
  </si>
  <si>
    <t>Develop</t>
  </si>
  <si>
    <t>Technical PoC validated</t>
  </si>
  <si>
    <t>How does this Project support this KPI?</t>
  </si>
  <si>
    <t>Dev roadmap documented</t>
  </si>
  <si>
    <t>16 Developers</t>
  </si>
  <si>
    <t>30% Increase in Throughput</t>
  </si>
  <si>
    <t>Coding started</t>
  </si>
  <si>
    <t>Pilot</t>
  </si>
  <si>
    <t>Deployment to beta</t>
  </si>
  <si>
    <t>James.Peltier@jonasfitness.com</t>
  </si>
  <si>
    <t>Initial metrics/feedback</t>
  </si>
  <si>
    <t>Prod Mgr</t>
  </si>
  <si>
    <t>Karamvir Dhanoa</t>
  </si>
  <si>
    <t>How will you measure the KPI?</t>
  </si>
  <si>
    <t>Feedback affecting code</t>
  </si>
  <si>
    <t>Analyst</t>
  </si>
  <si>
    <t>Chase Winston</t>
  </si>
  <si>
    <t xml:space="preserve">All 16 developers to have Claude Code. </t>
  </si>
  <si>
    <t xml:space="preserve">Measuring kanban board KPI's.  Would expect a 30% increase in PBI throughput							
							</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</si>
  <si>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</si>
  <si>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</si>
  <si>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</si>
  <si>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</si>
  <si>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</si>
  <si>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</si>
  <si>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</si>
  <si>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</si>
  <si>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</si>
  <si>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</si>
  <si>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</si>
  <si>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</si>
  <si>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</si>
  <si>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</si>
  <si>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</si>
  <si>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</si>
  <si>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</si>
  <si>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</si>
  <si>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</si>
  <si>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</si>
  <si>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Sales Team Enterprise ChatGPT</t>
  </si>
  <si>
    <t xml:space="preserve">Reduce time needed to review contracts, complete RFP requests and conduct payment pricing reviews/comparisions. 																									
																									</t>
  </si>
  <si>
    <t>L1. Using external AI tools for basic internal productivity</t>
  </si>
  <si>
    <t>S&amp;M</t>
  </si>
  <si>
    <t>Enterprise ChatGPT</t>
  </si>
  <si>
    <t>Employee Productivity Gains</t>
  </si>
  <si>
    <t xml:space="preserve">6 Sales FTE to have access to the tool and be trained on how to use it for administrative functions. </t>
  </si>
  <si>
    <t>ChatGPT helps improve accuracy and saves considerable time by automating billing statement comparisons, answering contract questions, and drafting RFP documents.</t>
  </si>
  <si>
    <t xml:space="preserve">Confirm all 6 have access. </t>
  </si>
  <si>
    <t xml:space="preserve">Track time for completion of projects with a 20% increase in time goal. </t>
  </si>
  <si>
    <t>Operations/Maintenance Enterprise ChatGPT</t>
  </si>
  <si>
    <t xml:space="preserve">Use ChatGPT to create training documents, emails, templates creation, and assist with billing and payment reconcilation projects. </t>
  </si>
  <si>
    <t>Maintenance</t>
  </si>
  <si>
    <t>Successful Adaptation to New Use Cases</t>
  </si>
  <si>
    <t>Error Rate Reduction</t>
  </si>
  <si>
    <t xml:space="preserve">Where applicable, give access to Enterprise Chat GPT to teams to help them with day to day functions. </t>
  </si>
  <si>
    <t xml:space="preserve">Quickly generates KPI calculations not auto-generated from other tools or that will take time to develop and allows us to report more accurately apples to apples across business units. Reduces manual Excel errors. Allows training team to help compare data or help with billing. </t>
  </si>
  <si>
    <t>Kim.forster@jonasfitness.com</t>
  </si>
  <si>
    <t xml:space="preserve">First step is to measure use cases and the ability to solve them using AI with a goal of one use case identitifed and solved per month, 3 a quarter or .20 a week. </t>
  </si>
  <si>
    <t xml:space="preserve">Tracking case efficiency, turnaround time, and other support metrics that should improve as the use of these tools are better understood.  Aim to reduce errors in reconcilation cases by 20%. </t>
  </si>
  <si>
    <t>IRIS Chat Bot</t>
  </si>
  <si>
    <t>Integrated chatbot delivers real-time, in-product guidance for client “how-to” inquiries, improving user self-service and decreasing call center demand.</t>
  </si>
  <si>
    <t>L5.  Entirely new product capabilities powered by AI</t>
  </si>
  <si>
    <t>AWS</t>
  </si>
  <si>
    <t>Audit Frequency and Results</t>
  </si>
  <si>
    <t>Consistency Scores</t>
  </si>
  <si>
    <t xml:space="preserve">Provides customers with accurate information when asked from within the Compete application. </t>
  </si>
  <si>
    <t xml:space="preserve">Provides quick and easy access to customer questions and saves them time by not having to call into the call center for assitance. </t>
  </si>
  <si>
    <t>Kari Ewersen</t>
  </si>
  <si>
    <t xml:space="preserve">80% of correct answers and cases that result from a customer being routed from the chat bot to the call center for additional help. 	</t>
  </si>
  <si>
    <t xml:space="preserve">Comparision of the number of calls routed to support and metrics around the use of the tool, inital goal of 20% routed to support. 							
							</t>
  </si>
  <si>
    <t xml:space="preserve"> </t>
  </si>
  <si>
    <t>IRIS 2.0, IRIS with Voice</t>
  </si>
  <si>
    <t xml:space="preserve">Allows the end user to ask IRIS questions using voice vs. typing in a request. </t>
  </si>
  <si>
    <t xml:space="preserve">AWS, Chat Bot with voice search ability. </t>
  </si>
  <si>
    <t>Customer Satisfaction Scores (CSAT, NPS)</t>
  </si>
  <si>
    <t>Provides quick and easy access to customer questions and saves time by not having to call into the call center for assistance. Increases customer satisfaction for more immediate answers and allows less wait time for more in depth questions with an agent.</t>
  </si>
  <si>
    <t xml:space="preserve">20% of correct answers and cases that result from a customer being routed from the chat bot to the call center for additional help. </t>
  </si>
  <si>
    <t xml:space="preserve">Comparison of the number of calls routed to support and metrics around the use of the tool with 20% reduction in in person support needed. </t>
  </si>
  <si>
    <t>Compete AI Project: Phase I - Front Desk Redesign</t>
  </si>
  <si>
    <t xml:space="preserve">Addressing key attrition concern: FD is cubersome, too many clicks to complete functions and not steamlined for FD staff. 	</t>
  </si>
  <si>
    <t>L4.  Using AI to enhance existing customer-facing products</t>
  </si>
  <si>
    <t>Orbit</t>
  </si>
  <si>
    <t># of Customers using the AI</t>
  </si>
  <si>
    <t xml:space="preserve">Customers will be able to access the Front Desk in the traditional fashion but have the ability to flip to the traditional UI which will allow them to gradually get used to the new front desk. </t>
  </si>
  <si>
    <t xml:space="preserve">Usage of the new AI feature will address feedback from clients that our FD is too cubersome and involved too many clicks. </t>
  </si>
  <si>
    <t xml:space="preserve">Usage metrics in the front desk of # of users accessing and using the new interface, goal of 20% usage. </t>
  </si>
  <si>
    <t xml:space="preserve">Customer feedback in focus groups and NPS surveys with satisfaction score increase of 20%. </t>
  </si>
  <si>
    <t xml:space="preserve">Compete AI Project Phase II: Front Desk Redesign, use of APIs to appear as a web-based product. </t>
  </si>
  <si>
    <t xml:space="preserve">Addressing the key reason given for new logo lost deals:  Compete is not a true web-based product.  Currently requires a thin client to be installed to function. </t>
  </si>
  <si>
    <t>Orbit, APIs.</t>
  </si>
  <si>
    <t>Revenue Growth from AI-enhanced products</t>
  </si>
  <si>
    <t xml:space="preserve">Increase client satisfaction with our product and in turn, reduce attrition. </t>
  </si>
  <si>
    <t xml:space="preserve">Usage metrics in the front desk of # of users accessing and using the new interface.  Goal of 20%. </t>
  </si>
  <si>
    <t xml:space="preserve">Attrition metrics comparision, goal of $100K less attrition. </t>
  </si>
  <si>
    <t>Compete AI Project Phase III: Billing Analytic Tool</t>
  </si>
  <si>
    <t xml:space="preserve">Identify trends in billing data without manual intervention.  This tool can be sold to both MBS and Non MBS clients as replacement for current BI reporting solutions. </t>
  </si>
  <si>
    <t>Orbit, API</t>
  </si>
  <si>
    <t xml:space="preserve">Our billing intelligence tool will analyze patterns in billing, usage, and customer payment behaviors and will allow our clients to develop unique pricing models (e.g., usage-based, outcome-based, or predictive pricing) and make business decisions based on actual member data. </t>
  </si>
  <si>
    <t>Our tool will allow our customers to forecast future revenue streams, customer churn risk, and payment delays.  Our competitors are reactive, predictive intelligence will position JFI as proactive and data-driven.</t>
  </si>
  <si>
    <t xml:space="preserve">The tool will be sold as a seperate module and will be available to both our existing base and new customers. </t>
  </si>
  <si>
    <t xml:space="preserve">Evaluate performance through an audit of customer adoption rates, including sign-ups and active usage following the tool’s release, goal of 20% adoption. </t>
  </si>
  <si>
    <t xml:space="preserve">Feedback cycles with our Product Owner and NPS surveys of our customers of 20% increase in Satification. </t>
  </si>
  <si>
    <t xml:space="preserve">Quarterly/Monthly sales figures.  Increase of $200K in 2027,  $300K in 2028, $500K in 2029. </t>
  </si>
  <si>
    <t xml:space="preserve">AI Client/Marketing Communication Tool </t>
  </si>
  <si>
    <t>A tool that will help us automate the process of posting, texting, emailing of information for marketing and or customer update information.</t>
  </si>
  <si>
    <t>TBD</t>
  </si>
  <si>
    <t>Conversion Rates from AI-powered features</t>
  </si>
  <si>
    <t xml:space="preserve">1 marketing resource to have access and use the tool. </t>
  </si>
  <si>
    <t>Automation Reduces Manual Labor, employee currently spends significant time: Writing and scheduling social posts, formatting and sending emails and updating or maintaining blog content.  By automating these repetitive tasks, the AI tool allows employees to focus on strategic, creative, and revenue-generating activities, rather than administrative or time-consuming posting duties. This directly translates into measurable productivity gains—more output with fewer hours.</t>
  </si>
  <si>
    <t xml:space="preserve">If successful, the amount of leads and or impressions from our posts, emails and texts will increase.  </t>
  </si>
  <si>
    <t>Kim.Forster@jonasfitness.com</t>
  </si>
  <si>
    <t>Kim Forster</t>
  </si>
  <si>
    <t xml:space="preserve">Ensure resource has the tool, has been trained and then tracking progress on usage. </t>
  </si>
  <si>
    <t xml:space="preserve">Conduct time audits to log time spent on marketing activities before and after the adoption of the tool. </t>
  </si>
  <si>
    <t xml:space="preserve">Meaure number of impressions, clicks and or responses to our campaigns. </t>
  </si>
  <si>
    <t>AI Tool for Lead Generation and Qualification</t>
  </si>
  <si>
    <t xml:space="preserve"> Need a tool that can create leads and qualify them, routing them to our sales team. 																									
																									</t>
  </si>
  <si>
    <t>Data Quality Score (Valid-data ratio)</t>
  </si>
  <si>
    <t>Cost Savings</t>
  </si>
  <si>
    <t xml:space="preserve">Leads will be passed to our sales team and be qualifed as valid based on the type of product we sell. </t>
  </si>
  <si>
    <t xml:space="preserve">More qualified leads will lead to more sales and higher conversion rates. </t>
  </si>
  <si>
    <t xml:space="preserve">Saves time for our sales team to focus on more sales activities vs. lead generation activities. 							
							</t>
  </si>
  <si>
    <t>Sandra.Crutcher@jonasfitness.com</t>
  </si>
  <si>
    <t>Christian Menard</t>
  </si>
  <si>
    <t xml:space="preserve">Measure the amount of leads received compared to how many are valid, qualified leads. </t>
  </si>
  <si>
    <t xml:space="preserve">Compare our converstion rate from before the use of the tool to after the use of the tool.  Conversion rate of number of demos completed to number of sales completed. </t>
  </si>
  <si>
    <t xml:space="preserve">Number of sales compared to number of leads generated and our conversion rate. 							
							</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</si>
  <si>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</si>
  <si>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</si>
  <si>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</si>
  <si>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</si>
  <si>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</si>
  <si>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</si>
  <si>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</si>
  <si>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</si>
  <si>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</si>
  <si>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</si>
  <si>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</si>
  <si>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</si>
  <si>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</si>
  <si>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</si>
  <si>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</si>
  <si>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</si>
  <si>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</si>
  <si>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Simple Tool</t>
  </si>
  <si>
    <t xml:space="preserve">ChatGPT for content, Co-Pilot for drafting emails, AI meeting summaries </t>
  </si>
  <si>
    <t>Adoption Rate</t>
  </si>
  <si>
    <t>Productivity Gains</t>
  </si>
  <si>
    <t>Dev</t>
  </si>
  <si>
    <t>Not Def</t>
  </si>
  <si>
    <t>2025-7</t>
  </si>
  <si>
    <t>2025-Q3</t>
  </si>
  <si>
    <t>Business Impact</t>
  </si>
  <si>
    <t>L2.  Sophisticated AI tooling for development/operations but generally limited to a single department or workflow</t>
  </si>
  <si>
    <t>Complex Tool</t>
  </si>
  <si>
    <t>AI-powered code review, automated testing, advanced development environments</t>
  </si>
  <si>
    <t>Integration Depth</t>
  </si>
  <si>
    <t>Process Improvement</t>
  </si>
  <si>
    <t>Skills Development</t>
  </si>
  <si>
    <t>2025-8</t>
  </si>
  <si>
    <t>2025-Q4</t>
  </si>
  <si>
    <t>Data Readiness &amp; Governance</t>
  </si>
  <si>
    <t>Internal Process</t>
  </si>
  <si>
    <t>Automated customer support triage, intelligent lead scoring, predictive maintenance, churn analysis, scheduling</t>
  </si>
  <si>
    <t>Employee Satisfaction</t>
  </si>
  <si>
    <t>% of Customers using the AI</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</si>
  <si>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</si>
  <si>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</si>
  <si>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</si>
  <si>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</si>
  <si>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</si>
  <si>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</si>
  <si>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</si>
  <si>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</si>
  <si>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AI Literacy Initiatives Completion Rate</t>
  </si>
  <si>
    <t>Not Defined</t>
  </si>
  <si>
    <t>2025-10</t>
  </si>
  <si>
    <t>2026-Q2</t>
  </si>
  <si>
    <t>Operational Efficiency</t>
  </si>
  <si>
    <t>PS</t>
  </si>
  <si>
    <t>Customer Feature - New</t>
  </si>
  <si>
    <t>Predictive analytics modules, AI-powered workflow automation, intelligent decision support systems</t>
  </si>
  <si>
    <t>Market Differentiation</t>
  </si>
  <si>
    <t>Competitive Advantage</t>
  </si>
  <si>
    <t>2025-11</t>
  </si>
  <si>
    <t>2026-Q3</t>
  </si>
  <si>
    <t>Risk &amp; Governance</t>
  </si>
  <si>
    <t>G&amp;A</t>
  </si>
  <si>
    <t>Automation Rate</t>
  </si>
  <si>
    <t>2025-12</t>
  </si>
  <si>
    <t>2026-Q4</t>
  </si>
  <si>
    <t>Talent &amp; Culture Readiness</t>
  </si>
  <si>
    <t>M&amp;A</t>
  </si>
  <si>
    <t>2026-1</t>
  </si>
  <si>
    <t>2026-2</t>
  </si>
  <si>
    <t>2026-3</t>
  </si>
  <si>
    <t>2026-4</t>
  </si>
  <si>
    <t>Data Accessibility (Time to Data Access)</t>
  </si>
  <si>
    <t>2026-5</t>
  </si>
  <si>
    <t>2026-6</t>
  </si>
  <si>
    <t>2026-7</t>
  </si>
  <si>
    <t>2026-8</t>
  </si>
  <si>
    <t>2026-9</t>
  </si>
  <si>
    <t>Ethical Standards Adherence</t>
  </si>
  <si>
    <t>2026-10</t>
  </si>
  <si>
    <t>Hallucination Detection Rate</t>
  </si>
  <si>
    <t>2026-11</t>
  </si>
  <si>
    <t>Improvement in Decision-Making Speed</t>
  </si>
  <si>
    <t>2026-12</t>
  </si>
  <si>
    <t>Market Share Expansion / New Market Entry</t>
  </si>
  <si>
    <t>Metadata Management Maturity</t>
  </si>
  <si>
    <t>New AI-enabled Products/Features</t>
  </si>
  <si>
    <t>Performance under Increased Load</t>
  </si>
  <si>
    <t>Process Cycle Time Reduction</t>
  </si>
  <si>
    <t>Regulatory Compliance Rate (Data Privacy)</t>
  </si>
  <si>
    <t>Time Savings / Resolution Time Reduction</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</si>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</sst>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164" formatCode="_-* #,##0.00_-;\-* #,##0.00_-;_-* &quot;-&quot;??_-;_-@_-"/>
    <numFmt numFmtId="165" formatCode="_-* #,##0_-;\-* #,##0_-;_-* &quot;-&quot;??_-;_-@_-"/>
    <numFmt numFmtId="166" formatCode="mmm\ dd\ yyyy"/>
    <numFmt numFmtId="167" formatCode="mmm\-dd"/>
    <numFmt numFmtId="168" formatCode="_-* #,##0.0_-;\-* #,##0.0_-;_-* &quot;-&quot;??_-;_-@_-"/>
    <numFmt numFmtId="169" formatCode="yyyy\-\q\q"/>
    <numFmt numFmtId="170" formatCode="0.0"/>
    <numFmt numFmtId="171" formatCode="_(* #,##0.0_);_(* \(#,##0.0\);_(* &quot;-&quot;?_);_(@_)"/>
  </numFmts>
  <fonts count="28">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7">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162">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69"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7" fontId="13" fillId="13" borderId="8" xfId="0" applyNumberFormat="1" applyFont="1" applyFill="1" applyBorder="1" applyAlignment="1" applyProtection="1">
      <alignment horizontal="center" vertical="center" textRotation="90" readingOrder="1"/>
      <protection locked="0"/>
    </xf>
    <xf numFmtId="167"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5" fontId="9" fillId="0" borderId="9" xfId="3" applyNumberFormat="1" applyFont="1" applyBorder="1" applyAlignment="1">
      <alignment horizontal="right" vertical="top"/>
    </xf>
    <xf numFmtId="170" fontId="9" fillId="0" borderId="0" xfId="0" applyNumberFormat="1" applyFont="1"/>
    <xf numFmtId="165" fontId="9" fillId="0" borderId="0" xfId="1" applyNumberFormat="1" applyFont="1"/>
    <xf numFmtId="171" fontId="17" fillId="0" borderId="0" xfId="0" applyNumberFormat="1" applyFont="1" applyAlignment="1">
      <alignment readingOrder="1"/>
    </xf>
    <xf numFmtId="0" fontId="12" fillId="0" borderId="34" xfId="0" applyFont="1" applyBorder="1" applyAlignment="1">
      <alignment horizontal="center" vertical="center"/>
    </xf>
    <xf numFmtId="5" fontId="12" fillId="0" borderId="35" xfId="3" applyNumberFormat="1" applyFont="1" applyBorder="1" applyAlignment="1">
      <alignment horizontal="right" vertical="center"/>
    </xf>
    <xf numFmtId="0" fontId="12" fillId="0" borderId="39" xfId="0" applyFont="1" applyBorder="1" applyAlignment="1">
      <alignment horizontal="right" vertical="center" indent="1"/>
    </xf>
    <xf numFmtId="0" fontId="9" fillId="0" borderId="41" xfId="0" applyFont="1" applyBorder="1" applyAlignment="1">
      <alignment horizontal="left" vertical="top" indent="1"/>
    </xf>
    <xf numFmtId="0" fontId="9" fillId="0" borderId="40" xfId="0" applyFont="1" applyBorder="1" applyAlignment="1">
      <alignment horizontal="left" vertical="top" indent="1"/>
    </xf>
    <xf numFmtId="0" fontId="9" fillId="0" borderId="35" xfId="0" applyFont="1" applyBorder="1" applyAlignment="1">
      <alignment horizontal="left" vertical="top" indent="1"/>
    </xf>
    <xf numFmtId="0" fontId="9" fillId="0" borderId="35" xfId="0" applyFont="1" applyBorder="1" applyAlignment="1">
      <alignment horizontal="left" vertical="top" wrapText="1" indent="1"/>
    </xf>
    <xf numFmtId="0" fontId="9" fillId="0" borderId="42" xfId="0" applyFont="1" applyBorder="1" applyAlignment="1">
      <alignment horizontal="left" vertical="top" indent="1"/>
    </xf>
    <xf numFmtId="0" fontId="9" fillId="0" borderId="43" xfId="0" applyFont="1" applyBorder="1" applyAlignment="1">
      <alignment horizontal="left" vertical="top" indent="1"/>
    </xf>
    <xf numFmtId="0" fontId="9" fillId="0" borderId="43" xfId="0" applyFont="1" applyBorder="1" applyAlignment="1">
      <alignment horizontal="left" vertical="top" wrapText="1" indent="1"/>
    </xf>
    <xf numFmtId="5" fontId="9" fillId="0" borderId="43" xfId="3" applyNumberFormat="1" applyFont="1" applyBorder="1" applyAlignment="1">
      <alignment horizontal="right" vertical="top"/>
    </xf>
    <xf numFmtId="0" fontId="9" fillId="0" borderId="43" xfId="0" applyFont="1" applyBorder="1" applyAlignment="1">
      <alignment horizontal="right" vertical="top" indent="1"/>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5" fillId="0" borderId="46" xfId="0" applyFont="1" applyBorder="1"/>
    <xf numFmtId="0" fontId="0" fillId="0" borderId="46"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0" fillId="0" borderId="0" xfId="0" quotePrefix="1"/>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1"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9" xfId="0" applyFont="1" applyFill="1" applyBorder="1" applyAlignment="1">
      <alignment horizontal="left" vertical="center" wrapText="1" indent="1" readingOrder="1"/>
    </xf>
    <xf numFmtId="0" fontId="13" fillId="7" borderId="9" xfId="0" applyFont="1" applyFill="1" applyBorder="1" applyAlignment="1">
      <alignment horizontal="left" vertical="center" indent="1"/>
    </xf>
    <xf numFmtId="0" fontId="16" fillId="2" borderId="9" xfId="0" applyFont="1" applyFill="1" applyBorder="1" applyAlignment="1">
      <alignment horizontal="left" vertical="center" wrapText="1" indent="1" readingOrder="1"/>
    </xf>
    <xf numFmtId="168" fontId="9" fillId="10" borderId="9" xfId="1" applyNumberFormat="1" applyFont="1" applyFill="1" applyBorder="1" applyAlignment="1">
      <alignment horizontal="center" vertical="center"/>
    </xf>
    <xf numFmtId="0" fontId="17" fillId="3" borderId="0" xfId="0" applyFont="1" applyFill="1" applyAlignment="1">
      <alignment horizontal="center" vertical="center" wrapText="1" readingOrder="1"/>
    </xf>
    <xf numFmtId="0" fontId="18" fillId="7" borderId="9" xfId="0" applyFont="1" applyFill="1" applyBorder="1" applyAlignment="1">
      <alignment horizontal="center" vertical="center" wrapText="1" readingOrder="1"/>
    </xf>
    <xf numFmtId="165" fontId="9" fillId="10" borderId="11" xfId="1" applyNumberFormat="1" applyFont="1" applyFill="1" applyBorder="1" applyAlignment="1">
      <alignment horizontal="center" vertical="center"/>
    </xf>
    <xf numFmtId="165" fontId="9" fillId="10" borderId="12" xfId="1" applyNumberFormat="1" applyFont="1" applyFill="1" applyBorder="1" applyAlignment="1">
      <alignment horizontal="center" vertical="center"/>
    </xf>
    <xf numFmtId="165" fontId="9" fillId="10" borderId="13" xfId="1"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readingOrder="1"/>
    </xf>
    <xf numFmtId="166" fontId="11" fillId="2" borderId="20" xfId="0" applyNumberFormat="1" applyFont="1" applyFill="1" applyBorder="1" applyAlignment="1">
      <alignment horizontal="center" vertical="center" wrapText="1" readingOrder="1"/>
    </xf>
    <xf numFmtId="166" fontId="11" fillId="2" borderId="21" xfId="0" applyNumberFormat="1"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0" fontId="19" fillId="5" borderId="9" xfId="0" applyFont="1" applyFill="1" applyBorder="1" applyAlignment="1">
      <alignment horizontal="left" vertical="center" wrapText="1" indent="1"/>
    </xf>
    <xf numFmtId="0" fontId="11" fillId="2" borderId="9" xfId="0" applyFont="1" applyFill="1" applyBorder="1" applyAlignment="1">
      <alignment horizontal="center" vertical="center" wrapText="1" readingOrder="1"/>
    </xf>
    <xf numFmtId="164" fontId="18" fillId="10" borderId="9" xfId="1" applyFont="1" applyFill="1" applyBorder="1" applyAlignment="1">
      <alignment horizontal="center" vertical="center" wrapText="1" readingOrder="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14" fontId="9" fillId="13" borderId="9" xfId="0" applyNumberFormat="1" applyFont="1" applyFill="1" applyBorder="1" applyAlignment="1" applyProtection="1">
      <alignment horizontal="center" vertical="center"/>
      <protection locked="0"/>
    </xf>
    <xf numFmtId="164" fontId="9" fillId="0" borderId="9" xfId="1" applyFont="1" applyBorder="1" applyAlignment="1">
      <alignment horizontal="left" vertical="center" indent="1"/>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2" fillId="0" borderId="10" xfId="0" applyFont="1" applyBorder="1" applyAlignment="1">
      <alignment horizontal="center" vertical="top"/>
    </xf>
    <xf numFmtId="0" fontId="12" fillId="0" borderId="0" xfId="0" applyFont="1" applyAlignment="1">
      <alignment horizontal="center" vertical="top"/>
    </xf>
    <xf numFmtId="0" fontId="12" fillId="4" borderId="9" xfId="0" applyFont="1" applyFill="1" applyBorder="1" applyAlignment="1">
      <alignment horizontal="left" vertical="center" indent="1"/>
    </xf>
    <xf numFmtId="0" fontId="13" fillId="5" borderId="9" xfId="0" applyFont="1" applyFill="1" applyBorder="1" applyAlignment="1">
      <alignment horizontal="left" vertical="center" indent="1"/>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21" fillId="13" borderId="11" xfId="4" applyFont="1"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27" fillId="13" borderId="9" xfId="0" applyFont="1" applyFill="1" applyBorder="1" applyAlignment="1" applyProtection="1">
      <alignment horizontal="left" vertical="top"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79">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32">
    <sortCondition ref="J4:J32"/>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7">
  <autoFilter ref="B3:H8" xr:uid="{35406839-1AFA-42DD-8281-ADAA993B2AF7}"/>
  <sortState xmlns:xlrd2="http://schemas.microsoft.com/office/spreadsheetml/2017/richdata2" ref="B4:H8">
    <sortCondition ref="C3:C8"/>
  </sortState>
  <tableColumns count="7">
    <tableColumn id="1" xr3:uid="{20C2A0F0-3E92-4982-AB26-5C56C2912149}" name="Definition" dataDxfId="6"/>
    <tableColumn id="2" xr3:uid="{D5812158-3075-4D7E-B373-785C73B6D29E}" name="Value" dataDxfId="5"/>
    <tableColumn id="3" xr3:uid="{3B20F67B-DAD0-4959-9D2E-1B58CF2952C0}" name="Definition2" dataDxfId="4"/>
    <tableColumn id="4" xr3:uid="{BE61F64B-9260-42DD-9045-F03A822A0998}" name="Examples" dataDxfId="3"/>
    <tableColumn id="6" xr3:uid="{0D4F1E26-F1BA-44BB-942B-4DE3DE6499F5}" name="Assessment Criteria 2" dataDxfId="2"/>
    <tableColumn id="7" xr3:uid="{812876E9-CD08-4641-A3A7-931DA6FD7B33}" name="Assessment Criteria 3" dataDxfId="1"/>
    <tableColumn id="8" xr3:uid="{9444582A-9B58-420A-AD83-AD1EDB99051D}" name="Assessment Criteria 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4"/>
  <sheetViews>
    <sheetView showGridLines="0" zoomScaleNormal="100" workbookViewId="0">
      <selection activeCell="K24" sqref="K24"/>
    </sheetView>
  </sheetViews>
  <sheetFormatPr defaultColWidth="9" defaultRowHeight="15"/>
  <cols>
    <col min="1" max="1" width="3.42578125" style="12" customWidth="1"/>
    <col min="2" max="2" width="6" style="12" customWidth="1"/>
    <col min="3" max="3" width="12.28515625" style="12" customWidth="1"/>
    <col min="4" max="4" width="37.5703125" style="12" customWidth="1"/>
    <col min="5" max="5" width="16.5703125" style="12" customWidth="1"/>
    <col min="6" max="6" width="25" style="12" customWidth="1"/>
    <col min="7" max="7" width="11.85546875" style="12" customWidth="1"/>
    <col min="8" max="8" width="9.5703125" style="12" customWidth="1"/>
    <col min="9" max="9" width="24" style="12" bestFit="1" customWidth="1"/>
    <col min="10" max="10" width="44.7109375" style="12" customWidth="1"/>
    <col min="11" max="11" width="16.85546875" style="12" customWidth="1"/>
    <col min="12" max="12" width="40.5703125" style="12" customWidth="1"/>
    <col min="13" max="13" width="14.140625" style="12" bestFit="1" customWidth="1"/>
    <col min="14" max="18" width="11.140625" style="12" customWidth="1"/>
    <col min="19" max="16384" width="9" style="12"/>
  </cols>
  <sheetData>
    <row r="2" spans="2:18" ht="27.95" customHeight="1">
      <c r="B2" s="65" t="s">
        <v>0</v>
      </c>
      <c r="C2" s="66"/>
      <c r="D2" s="67"/>
    </row>
    <row r="3" spans="2:18" ht="15.75" thickBot="1"/>
    <row r="4" spans="2:18" ht="38.25" customHeight="1" thickBot="1">
      <c r="B4" s="35" t="s">
        <v>1</v>
      </c>
      <c r="C4" s="35" t="s">
        <v>2</v>
      </c>
      <c r="D4" s="35" t="s">
        <v>3</v>
      </c>
      <c r="E4" s="35" t="s">
        <v>4</v>
      </c>
      <c r="F4" s="35" t="s">
        <v>5</v>
      </c>
      <c r="G4" s="35" t="s">
        <v>6</v>
      </c>
      <c r="H4" s="35" t="s">
        <v>7</v>
      </c>
      <c r="I4" s="35" t="s">
        <v>8</v>
      </c>
      <c r="J4" s="35" t="s">
        <v>9</v>
      </c>
      <c r="K4" s="35" t="s">
        <v>10</v>
      </c>
      <c r="L4" s="35" t="s">
        <v>11</v>
      </c>
      <c r="M4" s="35" t="s">
        <v>12</v>
      </c>
      <c r="N4" s="35" t="s">
        <v>13</v>
      </c>
      <c r="O4" s="35" t="s">
        <v>14</v>
      </c>
      <c r="P4" s="35" t="s">
        <v>15</v>
      </c>
      <c r="Q4" s="35" t="s">
        <v>16</v>
      </c>
      <c r="R4" s="35" t="s">
        <v>17</v>
      </c>
    </row>
    <row r="5" spans="2:18" s="22" customFormat="1" ht="16.5" thickTop="1" thickBot="1">
      <c r="B5" s="50">
        <v>1</v>
      </c>
      <c r="C5" s="51" t="str">
        <f>IF(F5="","","PYXiS")</f>
        <v>PYXiS</v>
      </c>
      <c r="D5" s="51" t="str">
        <f>IF(F5="","",'P1'!$C$17)</f>
        <v>James.Peltier@jonasfitness.com</v>
      </c>
      <c r="E5" s="51" t="str">
        <f>IF(F5="","",B$2)</f>
        <v>Jonas Fitness</v>
      </c>
      <c r="F5" s="52" t="str">
        <f>IF('P1'!$F$3="","",'P1'!$F$3)</f>
        <v>Claude Code Internal to all developers</v>
      </c>
      <c r="G5" s="52" t="str">
        <f ca="1">IF(F5="","",'P1'!$AO$5)</f>
        <v>Pilot</v>
      </c>
      <c r="H5" s="52" t="str">
        <f ca="1">IF(F5="","",'P1'!$AO$4)</f>
        <v>Live</v>
      </c>
      <c r="I5" s="52" t="str">
        <f>IF(F5="","",'P1'!$F$8)</f>
        <v>Internal Process</v>
      </c>
      <c r="J5" s="52" t="str">
        <f>IF(F5="","",'P1'!$F$5)</f>
        <v>Increase efficiency by 30% among customer deliverables</v>
      </c>
      <c r="K5" s="52" t="str">
        <f>IF(F5="","",'P1'!$AC$7)</f>
        <v>R&amp;D</v>
      </c>
      <c r="L5" s="52" t="str">
        <f>IF(F5="","",'P1'!$G$13)</f>
        <v>Employee AI Tool Adoption Rate</v>
      </c>
      <c r="M5" s="53">
        <f>'P1'!$BE$35*1000</f>
        <v>0</v>
      </c>
      <c r="N5" s="53">
        <f ca="1">'P1'!$E$51*1000</f>
        <v>0</v>
      </c>
      <c r="O5" s="54">
        <f>'P1'!$AV$3</f>
        <v>50</v>
      </c>
      <c r="P5" s="54">
        <f ca="1">'P1'!$AV$4</f>
        <v>1</v>
      </c>
      <c r="Q5" s="54">
        <f ca="1">'P1'!$AV$5</f>
        <v>1.2</v>
      </c>
      <c r="R5" s="55">
        <f ca="1">O5*P5*Q5</f>
        <v>60</v>
      </c>
    </row>
    <row r="6" spans="2:18" s="22" customFormat="1" ht="15.75" thickBot="1">
      <c r="B6" s="46">
        <v>2</v>
      </c>
      <c r="C6" s="36" t="str">
        <f t="shared" ref="C6:C14" si="0">IF(F6="","","PYXiS")</f>
        <v>PYXiS</v>
      </c>
      <c r="D6" s="36" t="str">
        <f>IF(F6="","",'P2'!$C$17)</f>
        <v>James.Peltier@jonasfitness.com</v>
      </c>
      <c r="E6" s="36" t="str">
        <f t="shared" ref="E6:E14" si="1">IF(F6="","",B$2)</f>
        <v>Jonas Fitness</v>
      </c>
      <c r="F6" s="37" t="str">
        <f>IF('P2'!$F$3="","",'P2'!$F$3)</f>
        <v>Sales Team Enterprise ChatGPT</v>
      </c>
      <c r="G6" s="37" t="str">
        <f ca="1">IF(F6="","",'P2'!$AO$5)</f>
        <v>Pilot</v>
      </c>
      <c r="H6" s="37" t="str">
        <f ca="1">IF(F6="","",'P2'!$AO$4)</f>
        <v>Live</v>
      </c>
      <c r="I6" s="37" t="str">
        <f>IF(F6="","",'P2'!$F$8)</f>
        <v>Simple Tool</v>
      </c>
      <c r="J6" s="37" t="str">
        <f>IF(F6="","",'P2'!$F$5)</f>
        <v xml:space="preserve">Reduce time needed to review contracts, complete RFP requests and conduct payment pricing reviews/comparisions. 																									
																									</v>
      </c>
      <c r="K6" s="37" t="str">
        <f>IF(F6="","",'P2'!$AC$7)</f>
        <v>S&amp;M</v>
      </c>
      <c r="L6" s="37" t="str">
        <f>IF(F6="","",'P2'!$G$13)</f>
        <v>Employee AI Tool Adoption Rate</v>
      </c>
      <c r="M6" s="39">
        <f>'P2'!$BE$35*1000</f>
        <v>0</v>
      </c>
      <c r="N6" s="39">
        <f ca="1">'P2'!$E$51*1000</f>
        <v>0</v>
      </c>
      <c r="O6" s="38">
        <f>'P2'!$AV$3</f>
        <v>10</v>
      </c>
      <c r="P6" s="38">
        <f ca="1">'P2'!$AV$4</f>
        <v>1</v>
      </c>
      <c r="Q6" s="38">
        <f ca="1">'P2'!$AV$5</f>
        <v>1.2</v>
      </c>
      <c r="R6" s="56">
        <f t="shared" ref="R6:R14" ca="1" si="2">O6*P6*Q6</f>
        <v>12</v>
      </c>
    </row>
    <row r="7" spans="2:18" s="22" customFormat="1" ht="15.75" thickBot="1">
      <c r="B7" s="46">
        <v>3</v>
      </c>
      <c r="C7" s="36" t="str">
        <f t="shared" si="0"/>
        <v>PYXiS</v>
      </c>
      <c r="D7" s="36" t="str">
        <f>IF(F7="","",'P3'!$C$17)</f>
        <v>Kim.forster@jonasfitness.com</v>
      </c>
      <c r="E7" s="36" t="str">
        <f t="shared" si="1"/>
        <v>Jonas Fitness</v>
      </c>
      <c r="F7" s="37" t="str">
        <f>IF('P3'!$F$3="","",'P3'!$F$3)</f>
        <v>Operations/Maintenance Enterprise ChatGPT</v>
      </c>
      <c r="G7" s="37" t="str">
        <f ca="1">IF(F7="","",'P3'!$AO$5)</f>
        <v>Pilot</v>
      </c>
      <c r="H7" s="37" t="str">
        <f ca="1">IF(F7="","",'P3'!$AO$4)</f>
        <v>Live</v>
      </c>
      <c r="I7" s="37" t="str">
        <f>IF(F7="","",'P3'!$F$8)</f>
        <v>Simple Tool</v>
      </c>
      <c r="J7" s="37" t="str">
        <f>IF(F7="","",'P3'!$F$5)</f>
        <v xml:space="preserve">Use ChatGPT to create training documents, emails, templates creation, and assist with billing and payment reconcilation projects. </v>
      </c>
      <c r="K7" s="37" t="str">
        <f>IF(F7="","",'P3'!$AC$7)</f>
        <v>Maintenance</v>
      </c>
      <c r="L7" s="37" t="str">
        <f>IF(F7="","",'P3'!$G$13)</f>
        <v>Successful Adaptation to New Use Cases</v>
      </c>
      <c r="M7" s="39">
        <f>'P3'!$BE$35*1000</f>
        <v>0</v>
      </c>
      <c r="N7" s="39">
        <f ca="1">'P3'!$E$51*1000</f>
        <v>0</v>
      </c>
      <c r="O7" s="38">
        <f>'P3'!$AV$3</f>
        <v>10</v>
      </c>
      <c r="P7" s="38">
        <f ca="1">'P3'!$AV$4</f>
        <v>1</v>
      </c>
      <c r="Q7" s="38">
        <f ca="1">'P3'!$AV$5</f>
        <v>1.2</v>
      </c>
      <c r="R7" s="56">
        <f t="shared" ca="1" si="2"/>
        <v>12</v>
      </c>
    </row>
    <row r="8" spans="2:18" s="22" customFormat="1" ht="15.75" thickBot="1">
      <c r="B8" s="46">
        <v>4</v>
      </c>
      <c r="C8" s="36" t="str">
        <f t="shared" si="0"/>
        <v>PYXiS</v>
      </c>
      <c r="D8" s="36" t="str">
        <f>IF(F8="","",'P4'!$C$17)</f>
        <v>James.Peltier@jonasfitness.com</v>
      </c>
      <c r="E8" s="36" t="str">
        <f t="shared" si="1"/>
        <v>Jonas Fitness</v>
      </c>
      <c r="F8" s="37" t="str">
        <f>IF('P4'!$F$3="","",'P4'!$F$3)</f>
        <v>IRIS Chat Bot</v>
      </c>
      <c r="G8" s="37" t="str">
        <f ca="1">IF(F8="","",'P4'!$AO$5)</f>
        <v>Pilot</v>
      </c>
      <c r="H8" s="37" t="str">
        <f ca="1">IF(F8="","",'P4'!$AO$4)</f>
        <v>Pilot</v>
      </c>
      <c r="I8" s="37" t="str">
        <f>IF(F8="","",'P4'!$F$8)</f>
        <v>Customer Feature - New</v>
      </c>
      <c r="J8" s="37" t="str">
        <f>IF(F8="","",'P4'!$F$5)</f>
        <v>Integrated chatbot delivers real-time, in-product guidance for client “how-to” inquiries, improving user self-service and decreasing call center demand.</v>
      </c>
      <c r="K8" s="37" t="str">
        <f>IF(F8="","",'P4'!$AC$7)</f>
        <v>Maintenance</v>
      </c>
      <c r="L8" s="37" t="str">
        <f>IF(F8="","",'P4'!$G$13)</f>
        <v>Audit Frequency and Results</v>
      </c>
      <c r="M8" s="39">
        <f>'P4'!$BE$35*1000</f>
        <v>0</v>
      </c>
      <c r="N8" s="39">
        <f ca="1">'P4'!$E$51*1000</f>
        <v>0</v>
      </c>
      <c r="O8" s="38">
        <f>'P4'!$AV$3</f>
        <v>200</v>
      </c>
      <c r="P8" s="38">
        <f ca="1">'P4'!$AV$4</f>
        <v>0.7</v>
      </c>
      <c r="Q8" s="38">
        <f ca="1">'P4'!$AV$5</f>
        <v>1</v>
      </c>
      <c r="R8" s="56">
        <f t="shared" ca="1" si="2"/>
        <v>140</v>
      </c>
    </row>
    <row r="9" spans="2:18" s="22" customFormat="1" ht="15.75" thickBot="1">
      <c r="B9" s="46">
        <v>5</v>
      </c>
      <c r="C9" s="36" t="str">
        <f t="shared" si="0"/>
        <v>PYXiS</v>
      </c>
      <c r="D9" s="36" t="str">
        <f>IF(F8="","",'P4'!$C$17)</f>
        <v>James.Peltier@jonasfitness.com</v>
      </c>
      <c r="E9" s="36" t="str">
        <f t="shared" si="1"/>
        <v>Jonas Fitness</v>
      </c>
      <c r="F9" s="37" t="str">
        <f>IF('P5'!$F$3="","",'P5'!$F$3)</f>
        <v>IRIS 2.0, IRIS with Voice</v>
      </c>
      <c r="G9" s="37" t="str">
        <f ca="1">IF(F9="","",'P5'!$AO$5)</f>
        <v>Idea</v>
      </c>
      <c r="H9" s="37" t="str">
        <f ca="1">IF(F9="","",'P5'!$AO$4)</f>
        <v>Dev</v>
      </c>
      <c r="I9" s="37" t="str">
        <f>IF(F9="","",'P5'!$F$8)</f>
        <v>Internal Process</v>
      </c>
      <c r="J9" s="37" t="str">
        <f>IF(F9="","",'P5'!$F$5)</f>
        <v xml:space="preserve">Allows the end user to ask IRIS questions using voice vs. typing in a request. </v>
      </c>
      <c r="K9" s="37" t="str">
        <f>IF(F9="","",'P5'!$AC$7)</f>
        <v>Maintenance</v>
      </c>
      <c r="L9" s="37" t="str">
        <f>IF(F9="","",'P5'!$G$13)</f>
        <v>Audit Frequency and Results</v>
      </c>
      <c r="M9" s="39">
        <f>'P5'!$BE$35*1000</f>
        <v>0</v>
      </c>
      <c r="N9" s="39">
        <f ca="1">'P5'!$E$51*1000</f>
        <v>0</v>
      </c>
      <c r="O9" s="38">
        <f>'P5'!$AV$3</f>
        <v>50</v>
      </c>
      <c r="P9" s="38">
        <f ca="1">'P5'!$AV$4</f>
        <v>0.4</v>
      </c>
      <c r="Q9" s="38">
        <f ca="1">'P5'!$AV$5</f>
        <v>1.2</v>
      </c>
      <c r="R9" s="56">
        <f t="shared" ca="1" si="2"/>
        <v>24</v>
      </c>
    </row>
    <row r="10" spans="2:18" s="22" customFormat="1" ht="15.75" thickBot="1">
      <c r="B10" s="46">
        <v>6</v>
      </c>
      <c r="C10" s="36" t="str">
        <f t="shared" si="0"/>
        <v>PYXiS</v>
      </c>
      <c r="D10" s="36" t="str">
        <f>IF(F10="","",'P6'!$C$17)</f>
        <v>James.Peltier@jonasfitness.com</v>
      </c>
      <c r="E10" s="36" t="str">
        <f t="shared" si="1"/>
        <v>Jonas Fitness</v>
      </c>
      <c r="F10" s="37" t="str">
        <f>IF('P6'!$F$3="","",'P6'!$F$3)</f>
        <v>Compete AI Project: Phase I - Front Desk Redesign</v>
      </c>
      <c r="G10" s="37" t="str">
        <f ca="1">IF(F10="","",'P6'!$AO$5)</f>
        <v>Dev</v>
      </c>
      <c r="H10" s="37" t="str">
        <f ca="1">IF(F10="","",'P6'!$AO$4)</f>
        <v>Dev</v>
      </c>
      <c r="I10" s="37" t="str">
        <f>IF(F10="","",'P6'!$F$8)</f>
        <v>Customer Feature - Existing</v>
      </c>
      <c r="J10" s="37" t="str">
        <f>IF(F10="","",'P6'!$F$5)</f>
        <v xml:space="preserve">Addressing key attrition concern: FD is cubersome, too many clicks to complete functions and not steamlined for FD staff. 	</v>
      </c>
      <c r="K10" s="37" t="str">
        <f>IF(F10="","",'P6'!$AC$7)</f>
        <v>S&amp;M</v>
      </c>
      <c r="L10" s="37" t="str">
        <f>IF(F10="","",'P6'!$G$13)</f>
        <v># of Customers using the AI</v>
      </c>
      <c r="M10" s="39">
        <f>'P6'!$BE$35*1000</f>
        <v>0</v>
      </c>
      <c r="N10" s="39">
        <f ca="1">'P6'!$E$51*1000</f>
        <v>0</v>
      </c>
      <c r="O10" s="38">
        <f>'P6'!$AV$3</f>
        <v>100</v>
      </c>
      <c r="P10" s="38">
        <f ca="1">'P6'!$AV$4</f>
        <v>0.4</v>
      </c>
      <c r="Q10" s="38">
        <f ca="1">'P6'!$AV$5</f>
        <v>1</v>
      </c>
      <c r="R10" s="56">
        <f t="shared" ca="1" si="2"/>
        <v>40</v>
      </c>
    </row>
    <row r="11" spans="2:18" s="22" customFormat="1" ht="15.75" thickBot="1">
      <c r="B11" s="46">
        <v>7</v>
      </c>
      <c r="C11" s="36" t="str">
        <f t="shared" si="0"/>
        <v>PYXiS</v>
      </c>
      <c r="D11" s="36" t="str">
        <f>IF(F8="","",'P4'!$C$17)</f>
        <v>James.Peltier@jonasfitness.com</v>
      </c>
      <c r="E11" s="36" t="str">
        <f t="shared" si="1"/>
        <v>Jonas Fitness</v>
      </c>
      <c r="F11" s="37" t="str">
        <f>IF('P7'!$F$3="","",'P7'!$F$3)</f>
        <v xml:space="preserve">Compete AI Project Phase II: Front Desk Redesign, use of APIs to appear as a web-based product. </v>
      </c>
      <c r="G11" s="37" t="str">
        <f ca="1">IF(F11="","",'P7'!$AO$5)</f>
        <v>Dev</v>
      </c>
      <c r="H11" s="37" t="str">
        <f ca="1">IF(F11="","",'P7'!$AO$4)</f>
        <v>Dev</v>
      </c>
      <c r="I11" s="37" t="str">
        <f>IF(F11="","",'P7'!$F$8)</f>
        <v>Customer Feature - Existing</v>
      </c>
      <c r="J11" s="37" t="str">
        <f>IF(F11="","",'P7'!$F$5)</f>
        <v xml:space="preserve">Addressing the key reason given for new logo lost deals:  Compete is not a true web-based product.  Currently requires a thin client to be installed to function. </v>
      </c>
      <c r="K11" s="37" t="str">
        <f>IF(F11="","",'P7'!$AC$7)</f>
        <v>S&amp;M</v>
      </c>
      <c r="L11" s="37" t="str">
        <f>IF(F11="","",'P7'!$G$13)</f>
        <v>.... Select the primary KPI (Jonas Library)</v>
      </c>
      <c r="M11" s="39">
        <f>'P7'!$BE$35*1000</f>
        <v>100000</v>
      </c>
      <c r="N11" s="39">
        <f ca="1">'P7'!$E$51*1000</f>
        <v>0</v>
      </c>
      <c r="O11" s="38">
        <f>'P7'!$AV$3</f>
        <v>100</v>
      </c>
      <c r="P11" s="38">
        <f ca="1">'P7'!$AV$4</f>
        <v>0.4</v>
      </c>
      <c r="Q11" s="38">
        <f ca="1">'P7'!$AV$5</f>
        <v>1</v>
      </c>
      <c r="R11" s="56">
        <f t="shared" ca="1" si="2"/>
        <v>40</v>
      </c>
    </row>
    <row r="12" spans="2:18" s="22" customFormat="1" ht="15.75" thickBot="1">
      <c r="B12" s="46">
        <v>8</v>
      </c>
      <c r="C12" s="36" t="str">
        <f t="shared" si="0"/>
        <v>PYXiS</v>
      </c>
      <c r="D12" s="36" t="str">
        <f>IF(F12="","",'P8'!$C$17)</f>
        <v>James.Peltier@jonasfitness.com</v>
      </c>
      <c r="E12" s="36" t="str">
        <f t="shared" si="1"/>
        <v>Jonas Fitness</v>
      </c>
      <c r="F12" s="37" t="str">
        <f>IF('P8'!$F$3="","",'P8'!$F$3)</f>
        <v>Compete AI Project Phase III: Billing Analytic Tool</v>
      </c>
      <c r="G12" s="37" t="str">
        <f ca="1">IF(F12="","",'P8'!$AO$5)</f>
        <v>Idea</v>
      </c>
      <c r="H12" s="37" t="str">
        <f ca="1">IF(F12="","",'P8'!$AO$4)</f>
        <v>Dev</v>
      </c>
      <c r="I12" s="37" t="str">
        <f>IF(F12="","",'P8'!$F$8)</f>
        <v>Customer Feature - New</v>
      </c>
      <c r="J12" s="37" t="str">
        <f>IF(F12="","",'P8'!$F$5)</f>
        <v xml:space="preserve">Identify trends in billing data without manual intervention.  This tool can be sold to both MBS and Non MBS clients as replacement for current BI reporting solutions. </v>
      </c>
      <c r="K12" s="37" t="str">
        <f>IF(F12="","",'P8'!$AC$7)</f>
        <v>S&amp;M</v>
      </c>
      <c r="L12" s="37" t="str">
        <f>IF(F12="","",'P8'!$G$13)</f>
        <v># of Customers using the AI</v>
      </c>
      <c r="M12" s="39">
        <f>'P8'!$BE$35*1000</f>
        <v>200000</v>
      </c>
      <c r="N12" s="39">
        <f ca="1">'P8'!$E$51*1000</f>
        <v>0</v>
      </c>
      <c r="O12" s="38">
        <f>'P8'!$AV$3</f>
        <v>200</v>
      </c>
      <c r="P12" s="38">
        <f ca="1">'P8'!$AV$4</f>
        <v>0.4</v>
      </c>
      <c r="Q12" s="38">
        <f ca="1">'P8'!$AV$5</f>
        <v>1.2</v>
      </c>
      <c r="R12" s="56">
        <f t="shared" ca="1" si="2"/>
        <v>96</v>
      </c>
    </row>
    <row r="13" spans="2:18" s="22" customFormat="1" ht="15.75" thickBot="1">
      <c r="B13" s="46">
        <v>9</v>
      </c>
      <c r="C13" s="36" t="str">
        <f t="shared" si="0"/>
        <v>PYXiS</v>
      </c>
      <c r="D13" s="36" t="str">
        <f>IF(F13="","",'P9'!$C$17)</f>
        <v>Kim.Forster@jonasfitness.com</v>
      </c>
      <c r="E13" s="36" t="str">
        <f t="shared" si="1"/>
        <v>Jonas Fitness</v>
      </c>
      <c r="F13" s="37" t="str">
        <f>IF('P9'!$F$3="","",'P9'!$F$3)</f>
        <v xml:space="preserve">AI Client/Marketing Communication Tool </v>
      </c>
      <c r="G13" s="37" t="str">
        <f ca="1">IF(F13="","",'P9'!$AO$5)</f>
        <v>Not Def</v>
      </c>
      <c r="H13" s="37" t="str">
        <f ca="1">IF(F13="","",'P9'!$AO$4)</f>
        <v>Idea</v>
      </c>
      <c r="I13" s="37" t="str">
        <f>IF(F13="","",'P9'!$F$8)</f>
        <v>Simple Tool</v>
      </c>
      <c r="J13" s="37" t="str">
        <f>IF(F13="","",'P9'!$F$5)</f>
        <v>A tool that will help us automate the process of posting, texting, emailing of information for marketing and or customer update information.</v>
      </c>
      <c r="K13" s="37" t="str">
        <f>IF(F13="","",'P9'!$AC$7)</f>
        <v>S&amp;M</v>
      </c>
      <c r="L13" s="37" t="str">
        <f>IF(F13="","",'P9'!$G$13)</f>
        <v>Employee AI Tool Adoption Rate</v>
      </c>
      <c r="M13" s="39">
        <f>'P9'!$BE$35*1000</f>
        <v>0</v>
      </c>
      <c r="N13" s="39">
        <f ca="1">'P9'!$E$51*1000</f>
        <v>0</v>
      </c>
      <c r="O13" s="38">
        <f>'P9'!$AV$3</f>
        <v>10</v>
      </c>
      <c r="P13" s="38">
        <f ca="1">'P9'!$AV$4</f>
        <v>0.1</v>
      </c>
      <c r="Q13" s="38">
        <f ca="1">'P9'!$AV$5</f>
        <v>1.2</v>
      </c>
      <c r="R13" s="56">
        <f t="shared" ca="1" si="2"/>
        <v>1.2</v>
      </c>
    </row>
    <row r="14" spans="2:18" s="22" customFormat="1" ht="15.75" thickBot="1">
      <c r="B14" s="47">
        <v>10</v>
      </c>
      <c r="C14" s="48" t="str">
        <f t="shared" si="0"/>
        <v>PYXiS</v>
      </c>
      <c r="D14" s="48" t="str">
        <f>IF(F14="","",'P10'!$C$17)</f>
        <v>Sandra.Crutcher@jonasfitness.com</v>
      </c>
      <c r="E14" s="48" t="str">
        <f t="shared" si="1"/>
        <v>Jonas Fitness</v>
      </c>
      <c r="F14" s="49" t="str">
        <f>IF('P10'!$F$3="","",'P10'!$F$3)</f>
        <v>AI Tool for Lead Generation and Qualification</v>
      </c>
      <c r="G14" s="49" t="str">
        <f ca="1">IF(F14="","",'P10'!$AO$5)</f>
        <v>Not Def</v>
      </c>
      <c r="H14" s="49" t="str">
        <f ca="1">IF(F14="","",'P10'!$AO$4)</f>
        <v>Idea</v>
      </c>
      <c r="I14" s="49" t="str">
        <f>IF(F14="","",'P10'!$F$8)</f>
        <v>Simple Tool</v>
      </c>
      <c r="J14" s="49" t="str">
        <f>IF(F14="","",'P10'!$F$5)</f>
        <v xml:space="preserve"> Need a tool that can create leads and qualify them, routing them to our sales team. 																									
																									</v>
      </c>
      <c r="K14" s="49" t="str">
        <f>IF(F14="","",'P10'!$AC$7)</f>
        <v>S&amp;M</v>
      </c>
      <c r="L14" s="37" t="str">
        <f>IF(F14="","",'P10'!$G$13)</f>
        <v>Data Quality Score (Valid-data ratio)</v>
      </c>
      <c r="M14" s="39">
        <f>'P10'!$BE$35*1000</f>
        <v>0</v>
      </c>
      <c r="N14" s="39">
        <f ca="1">'P10'!$E$51*1000</f>
        <v>0</v>
      </c>
      <c r="O14" s="38">
        <f>'P10'!$AV$3</f>
        <v>10</v>
      </c>
      <c r="P14" s="38">
        <f ca="1">'P10'!$AV$4</f>
        <v>0.1</v>
      </c>
      <c r="Q14" s="38">
        <f ca="1">'P10'!$AV$5</f>
        <v>1.2</v>
      </c>
      <c r="R14" s="56">
        <f t="shared" ca="1" si="2"/>
        <v>1.2</v>
      </c>
    </row>
    <row r="15" spans="2:18" s="22" customFormat="1" ht="28.5" customHeight="1" thickTop="1" thickBot="1">
      <c r="B15"/>
      <c r="C15"/>
      <c r="D15"/>
      <c r="E15"/>
      <c r="F15"/>
      <c r="G15"/>
      <c r="H15"/>
      <c r="I15"/>
      <c r="J15"/>
      <c r="K15"/>
      <c r="L15" s="43" t="s">
        <v>18</v>
      </c>
      <c r="M15" s="44">
        <f>SUM(M5:M14)</f>
        <v>300000</v>
      </c>
      <c r="N15" s="44">
        <f ca="1">SUM(N5:N14)</f>
        <v>0</v>
      </c>
      <c r="O15" s="68" t="s">
        <v>19</v>
      </c>
      <c r="P15" s="69"/>
      <c r="Q15" s="70"/>
      <c r="R15" s="45">
        <f ca="1">SUM(R5:R14)</f>
        <v>426.4</v>
      </c>
    </row>
    <row r="16" spans="2:18" ht="16.5" thickTop="1" thickBot="1">
      <c r="B16" s="57" t="s">
        <v>20</v>
      </c>
      <c r="C16" s="58"/>
      <c r="D16" s="58"/>
      <c r="E16"/>
      <c r="F16"/>
      <c r="G16"/>
      <c r="H16"/>
      <c r="I16"/>
      <c r="J16"/>
      <c r="K16"/>
    </row>
    <row r="17" spans="2:8" ht="15.75" thickBot="1">
      <c r="C17"/>
      <c r="D17"/>
      <c r="E17"/>
    </row>
    <row r="18" spans="2:8" ht="15.75" thickBot="1">
      <c r="B18" s="74" t="s">
        <v>21</v>
      </c>
      <c r="C18" s="75"/>
      <c r="D18" s="76"/>
      <c r="E18"/>
    </row>
    <row r="19" spans="2:8" ht="8.4499999999999993" customHeight="1" thickBot="1">
      <c r="C19"/>
      <c r="D19"/>
      <c r="E19"/>
    </row>
    <row r="20" spans="2:8" ht="15.75" thickBot="1">
      <c r="B20" s="71" t="s">
        <v>22</v>
      </c>
      <c r="C20" s="72"/>
      <c r="D20" s="73"/>
      <c r="E20"/>
      <c r="F20"/>
      <c r="G20"/>
      <c r="H20"/>
    </row>
    <row r="21" spans="2:8" ht="8.4499999999999993" customHeight="1" thickBot="1">
      <c r="C21"/>
      <c r="D21"/>
      <c r="E21"/>
    </row>
    <row r="22" spans="2:8" ht="15.75" thickBot="1">
      <c r="B22" s="62" t="s">
        <v>23</v>
      </c>
      <c r="C22" s="63"/>
      <c r="D22" s="64"/>
      <c r="E22"/>
    </row>
    <row r="24" spans="2:8">
      <c r="B24" s="12" t="s">
        <v>24</v>
      </c>
    </row>
  </sheetData>
  <sheetProtection formatColumns="0" formatRows="0"/>
  <mergeCells count="5">
    <mergeCell ref="B22:D22"/>
    <mergeCell ref="B2:D2"/>
    <mergeCell ref="O15:Q15"/>
    <mergeCell ref="B20:D20"/>
    <mergeCell ref="B18: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tabSelected="1" zoomScale="70" zoomScaleNormal="70" workbookViewId="0">
      <pane xSplit="5" ySplit="7" topLeftCell="F27" activePane="bottomRight" state="frozen"/>
      <selection pane="bottomRight" activeCell="G41" sqref="G41"/>
      <selection pane="bottomLeft" activeCell="AJ10" sqref="AJ10:AN21"/>
      <selection pane="topRight" activeCell="AJ10" sqref="AJ10:AN21"/>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26</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Internal Process</v>
      </c>
      <c r="AP3" s="87"/>
      <c r="AQ3" s="87"/>
      <c r="AR3" s="87"/>
      <c r="AS3" s="87"/>
      <c r="AT3" s="87"/>
      <c r="AU3" s="87"/>
      <c r="AV3" s="92">
        <f>IF(F7="",0,VLOOKUP(F7,Lookups!B4:H8,3))</f>
        <v>50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Live</v>
      </c>
      <c r="AP4" s="87"/>
      <c r="AQ4" s="87"/>
      <c r="AR4" s="87"/>
      <c r="AS4" s="87"/>
      <c r="AT4" s="87"/>
      <c r="AU4" s="87"/>
      <c r="AV4" s="89">
        <f ca="1">IF(AO4="Not Def",0,VLOOKUP(AO4,Lookups!L4:M8,2))</f>
        <v>1</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31</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Pilot</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60</v>
      </c>
      <c r="AW6" s="104"/>
      <c r="AX6" s="104"/>
      <c r="AY6" s="18"/>
      <c r="AZ6" s="18"/>
      <c r="BA6" s="18"/>
      <c r="BB6" s="18"/>
      <c r="BC6" s="18"/>
      <c r="BD6" s="18"/>
      <c r="BH6" s="13"/>
      <c r="BI6" s="17"/>
      <c r="BJ6" s="17"/>
      <c r="BK6" s="17"/>
    </row>
    <row r="7" spans="2:71" ht="28.5" customHeight="1" thickBot="1">
      <c r="B7" s="99" t="s">
        <v>34</v>
      </c>
      <c r="C7" s="100"/>
      <c r="D7" s="100"/>
      <c r="E7" s="101"/>
      <c r="F7" s="105" t="s">
        <v>35</v>
      </c>
      <c r="G7" s="106"/>
      <c r="H7" s="106"/>
      <c r="I7" s="106"/>
      <c r="J7" s="106"/>
      <c r="K7" s="106"/>
      <c r="L7" s="106"/>
      <c r="M7" s="106"/>
      <c r="N7" s="106"/>
      <c r="O7" s="106"/>
      <c r="P7" s="106"/>
      <c r="Q7" s="106"/>
      <c r="R7" s="106"/>
      <c r="S7" s="106"/>
      <c r="T7" s="106"/>
      <c r="U7" s="106"/>
      <c r="V7" s="106"/>
      <c r="W7" s="106"/>
      <c r="X7" s="107"/>
      <c r="Y7" s="99" t="s">
        <v>10</v>
      </c>
      <c r="Z7" s="100"/>
      <c r="AA7" s="100"/>
      <c r="AB7" s="101"/>
      <c r="AC7" s="108" t="s">
        <v>36</v>
      </c>
      <c r="AD7" s="109"/>
      <c r="AE7" s="110"/>
      <c r="BH7" s="13"/>
      <c r="BI7" s="13"/>
      <c r="BJ7" s="17"/>
      <c r="BK7" s="17"/>
    </row>
    <row r="8" spans="2:71" ht="28.5" customHeight="1" thickBot="1">
      <c r="B8" s="99" t="s">
        <v>8</v>
      </c>
      <c r="C8" s="100"/>
      <c r="D8" s="100"/>
      <c r="E8" s="101"/>
      <c r="F8" s="111" t="str">
        <f>IF(F7="","",VLOOKUP(F7,Lookups!B4:H8,2))</f>
        <v>Internal Process</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Automated customer support triage, intelligent lead scoring, predictive maintenance, churn analysis, scheduling</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45915</v>
      </c>
      <c r="AP10" s="114"/>
      <c r="AQ10" s="114"/>
      <c r="AR10" s="114">
        <v>45915</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45915</v>
      </c>
      <c r="AP11" s="114"/>
      <c r="AQ11" s="114"/>
      <c r="AR11" s="114">
        <v>45915</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Employee Satisfaction</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45915</v>
      </c>
      <c r="AP12" s="114"/>
      <c r="AQ12" s="114"/>
      <c r="AR12" s="114">
        <v>45915</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51</v>
      </c>
      <c r="C13" s="124"/>
      <c r="D13" s="125"/>
      <c r="F13" s="24" t="s">
        <v>52</v>
      </c>
      <c r="G13" s="71" t="s">
        <v>53</v>
      </c>
      <c r="H13" s="72"/>
      <c r="I13" s="72"/>
      <c r="J13" s="72"/>
      <c r="K13" s="72"/>
      <c r="L13" s="72"/>
      <c r="M13" s="73"/>
      <c r="O13" s="24" t="s">
        <v>52</v>
      </c>
      <c r="P13" s="71" t="s">
        <v>54</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45920</v>
      </c>
      <c r="AP13" s="114"/>
      <c r="AQ13" s="114"/>
      <c r="AR13" s="114">
        <v>45920</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45920</v>
      </c>
      <c r="AP14" s="114"/>
      <c r="AQ14" s="114"/>
      <c r="AR14" s="114">
        <v>45920</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60</v>
      </c>
      <c r="G15" s="133"/>
      <c r="H15" s="133"/>
      <c r="I15" s="133"/>
      <c r="J15" s="133"/>
      <c r="K15" s="133"/>
      <c r="L15" s="133"/>
      <c r="M15" s="134"/>
      <c r="O15" s="132" t="s">
        <v>61</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v>45920</v>
      </c>
      <c r="AP15" s="114"/>
      <c r="AQ15" s="114"/>
      <c r="AR15" s="114">
        <v>45920</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45930</v>
      </c>
      <c r="AP16" s="114"/>
      <c r="AQ16" s="114"/>
      <c r="AR16" s="114">
        <v>45930</v>
      </c>
      <c r="AS16" s="114"/>
      <c r="AT16" s="114"/>
      <c r="AU16" s="115" t="str">
        <f t="shared" si="1"/>
        <v>OK</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45930</v>
      </c>
      <c r="AP17" s="114"/>
      <c r="AQ17" s="114"/>
      <c r="AR17" s="114">
        <v>45930</v>
      </c>
      <c r="AS17" s="114"/>
      <c r="AT17" s="114"/>
      <c r="AU17" s="115" t="str">
        <f t="shared" si="1"/>
        <v>OK</v>
      </c>
      <c r="AV17" s="115"/>
      <c r="AW17" s="115"/>
      <c r="AX17" s="115"/>
      <c r="AY17" s="158"/>
      <c r="AZ17" s="158"/>
      <c r="BA17" s="158"/>
      <c r="BB17" s="158"/>
      <c r="BC17" s="158"/>
      <c r="BD17" s="158"/>
      <c r="BE17" s="158"/>
      <c r="BL17" s="15"/>
      <c r="BS17" s="12"/>
    </row>
    <row r="18" spans="2:71" ht="28.5" customHeight="1" thickBot="1">
      <c r="B18" s="25" t="s">
        <v>67</v>
      </c>
      <c r="C18" s="74" t="s">
        <v>68</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45930</v>
      </c>
      <c r="AP18" s="114"/>
      <c r="AQ18" s="114"/>
      <c r="AR18" s="114">
        <v>45930</v>
      </c>
      <c r="AS18" s="114"/>
      <c r="AT18" s="114"/>
      <c r="AU18" s="115" t="str">
        <f t="shared" si="1"/>
        <v>OK</v>
      </c>
      <c r="AV18" s="115"/>
      <c r="AW18" s="115"/>
      <c r="AX18" s="115"/>
      <c r="AY18" s="158"/>
      <c r="AZ18" s="158"/>
      <c r="BA18" s="158"/>
      <c r="BB18" s="158"/>
      <c r="BC18" s="158"/>
      <c r="BD18" s="158"/>
      <c r="BE18" s="158"/>
      <c r="BL18" s="15"/>
      <c r="BS18" s="12"/>
    </row>
    <row r="19" spans="2:71" ht="28.5" customHeight="1" thickBot="1">
      <c r="B19" s="25" t="s">
        <v>71</v>
      </c>
      <c r="C19" s="74" t="s">
        <v>72</v>
      </c>
      <c r="D19" s="76"/>
      <c r="F19" s="132" t="s">
        <v>73</v>
      </c>
      <c r="G19" s="133"/>
      <c r="H19" s="133"/>
      <c r="I19" s="133"/>
      <c r="J19" s="133"/>
      <c r="K19" s="133"/>
      <c r="L19" s="133"/>
      <c r="M19" s="134"/>
      <c r="O19" s="132" t="s">
        <v>74</v>
      </c>
      <c r="P19" s="133"/>
      <c r="Q19" s="133"/>
      <c r="R19" s="133"/>
      <c r="S19" s="133"/>
      <c r="T19" s="133"/>
      <c r="U19" s="133"/>
      <c r="V19" s="134"/>
      <c r="X19" s="132"/>
      <c r="Y19" s="133"/>
      <c r="Z19" s="133"/>
      <c r="AA19" s="133"/>
      <c r="AB19" s="133"/>
      <c r="AC19" s="133"/>
      <c r="AD19" s="133"/>
      <c r="AE19" s="134"/>
      <c r="AF19" s="26"/>
      <c r="AG19" s="121" t="s">
        <v>75</v>
      </c>
      <c r="AH19" s="121"/>
      <c r="AI19" s="121"/>
      <c r="AJ19" s="122" t="s">
        <v>76</v>
      </c>
      <c r="AK19" s="122"/>
      <c r="AL19" s="122"/>
      <c r="AM19" s="122"/>
      <c r="AN19" s="122"/>
      <c r="AO19" s="114">
        <v>45931</v>
      </c>
      <c r="AP19" s="114"/>
      <c r="AQ19" s="114"/>
      <c r="AR19" s="114">
        <v>45931</v>
      </c>
      <c r="AS19" s="114"/>
      <c r="AT19" s="114"/>
      <c r="AU19" s="115" t="str">
        <f t="shared" si="1"/>
        <v>OK</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45931</v>
      </c>
      <c r="AP20" s="114"/>
      <c r="AQ20" s="114"/>
      <c r="AR20" s="114">
        <v>45931</v>
      </c>
      <c r="AS20" s="114"/>
      <c r="AT20" s="114"/>
      <c r="AU20" s="115" t="str">
        <f t="shared" si="1"/>
        <v>OK</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45931</v>
      </c>
      <c r="AP21" s="114"/>
      <c r="AQ21" s="114"/>
      <c r="AR21" s="114">
        <v>45931</v>
      </c>
      <c r="AS21" s="114"/>
      <c r="AT21" s="114"/>
      <c r="AU21" s="115" t="str">
        <f t="shared" si="1"/>
        <v>OK</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45915</v>
      </c>
      <c r="G24" s="31">
        <f>F24+7</f>
        <v>45922</v>
      </c>
      <c r="H24" s="31">
        <f t="shared" ref="H24:BE24" si="4">G24+7</f>
        <v>45929</v>
      </c>
      <c r="I24" s="31">
        <f t="shared" si="4"/>
        <v>45936</v>
      </c>
      <c r="J24" s="31">
        <f t="shared" si="4"/>
        <v>45943</v>
      </c>
      <c r="K24" s="31">
        <f t="shared" si="4"/>
        <v>45950</v>
      </c>
      <c r="L24" s="31">
        <f t="shared" si="4"/>
        <v>45957</v>
      </c>
      <c r="M24" s="31">
        <f t="shared" si="4"/>
        <v>45964</v>
      </c>
      <c r="N24" s="31">
        <f t="shared" si="4"/>
        <v>45971</v>
      </c>
      <c r="O24" s="31">
        <f t="shared" si="4"/>
        <v>45978</v>
      </c>
      <c r="P24" s="31">
        <f t="shared" si="4"/>
        <v>45985</v>
      </c>
      <c r="Q24" s="31">
        <f t="shared" si="4"/>
        <v>45992</v>
      </c>
      <c r="R24" s="31">
        <f t="shared" si="4"/>
        <v>45999</v>
      </c>
      <c r="S24" s="31">
        <f t="shared" si="4"/>
        <v>46006</v>
      </c>
      <c r="T24" s="31">
        <f t="shared" si="4"/>
        <v>46013</v>
      </c>
      <c r="U24" s="31">
        <f t="shared" si="4"/>
        <v>46020</v>
      </c>
      <c r="V24" s="31">
        <f t="shared" si="4"/>
        <v>46027</v>
      </c>
      <c r="W24" s="31">
        <f t="shared" si="4"/>
        <v>46034</v>
      </c>
      <c r="X24" s="31">
        <f t="shared" si="4"/>
        <v>46041</v>
      </c>
      <c r="Y24" s="31">
        <f t="shared" si="4"/>
        <v>46048</v>
      </c>
      <c r="Z24" s="31">
        <f t="shared" si="4"/>
        <v>46055</v>
      </c>
      <c r="AA24" s="31">
        <f t="shared" si="4"/>
        <v>46062</v>
      </c>
      <c r="AB24" s="31">
        <f t="shared" si="4"/>
        <v>46069</v>
      </c>
      <c r="AC24" s="31">
        <f t="shared" si="4"/>
        <v>46076</v>
      </c>
      <c r="AD24" s="31">
        <f t="shared" si="4"/>
        <v>46083</v>
      </c>
      <c r="AE24" s="31">
        <f t="shared" si="4"/>
        <v>46090</v>
      </c>
      <c r="AF24" s="31">
        <f t="shared" si="4"/>
        <v>46097</v>
      </c>
      <c r="AG24" s="31">
        <f t="shared" si="4"/>
        <v>46104</v>
      </c>
      <c r="AH24" s="31">
        <f t="shared" si="4"/>
        <v>46111</v>
      </c>
      <c r="AI24" s="31">
        <f t="shared" si="4"/>
        <v>46118</v>
      </c>
      <c r="AJ24" s="31">
        <f t="shared" si="4"/>
        <v>46125</v>
      </c>
      <c r="AK24" s="31">
        <f t="shared" si="4"/>
        <v>46132</v>
      </c>
      <c r="AL24" s="31">
        <f t="shared" si="4"/>
        <v>46139</v>
      </c>
      <c r="AM24" s="31">
        <f t="shared" si="4"/>
        <v>46146</v>
      </c>
      <c r="AN24" s="31">
        <f t="shared" si="4"/>
        <v>46153</v>
      </c>
      <c r="AO24" s="31">
        <f t="shared" si="4"/>
        <v>46160</v>
      </c>
      <c r="AP24" s="31">
        <f t="shared" si="4"/>
        <v>46167</v>
      </c>
      <c r="AQ24" s="31">
        <f t="shared" si="4"/>
        <v>46174</v>
      </c>
      <c r="AR24" s="31">
        <f t="shared" si="4"/>
        <v>46181</v>
      </c>
      <c r="AS24" s="31">
        <f t="shared" si="4"/>
        <v>46188</v>
      </c>
      <c r="AT24" s="31">
        <f t="shared" si="4"/>
        <v>46195</v>
      </c>
      <c r="AU24" s="31">
        <f t="shared" si="4"/>
        <v>46202</v>
      </c>
      <c r="AV24" s="31">
        <f t="shared" si="4"/>
        <v>46209</v>
      </c>
      <c r="AW24" s="31">
        <f t="shared" si="4"/>
        <v>46216</v>
      </c>
      <c r="AX24" s="31">
        <f t="shared" si="4"/>
        <v>46223</v>
      </c>
      <c r="AY24" s="31">
        <f t="shared" si="4"/>
        <v>46230</v>
      </c>
      <c r="AZ24" s="31">
        <f t="shared" si="4"/>
        <v>46237</v>
      </c>
      <c r="BA24" s="31">
        <f t="shared" si="4"/>
        <v>46244</v>
      </c>
      <c r="BB24" s="31">
        <f t="shared" si="4"/>
        <v>46251</v>
      </c>
      <c r="BC24" s="31">
        <f t="shared" si="4"/>
        <v>46258</v>
      </c>
      <c r="BD24" s="31">
        <f t="shared" si="4"/>
        <v>46265</v>
      </c>
      <c r="BE24" s="31">
        <f t="shared" si="4"/>
        <v>46272</v>
      </c>
      <c r="BJ24" s="21"/>
    </row>
    <row r="25" spans="2:71">
      <c r="B25" s="146" t="str">
        <f>G13&amp;" TARGET"</f>
        <v>Employee AI Tool Adoption Rate TARGET</v>
      </c>
      <c r="C25" s="147"/>
      <c r="D25" s="147"/>
      <c r="E25" s="148"/>
      <c r="F25" s="59">
        <v>16</v>
      </c>
      <c r="G25" s="59">
        <f>F25</f>
        <v>16</v>
      </c>
      <c r="H25" s="59">
        <f t="shared" ref="H25:M25" si="5">G25</f>
        <v>16</v>
      </c>
      <c r="I25" s="59">
        <f t="shared" si="5"/>
        <v>16</v>
      </c>
      <c r="J25" s="59">
        <f t="shared" si="5"/>
        <v>16</v>
      </c>
      <c r="K25" s="59">
        <f t="shared" si="5"/>
        <v>16</v>
      </c>
      <c r="L25" s="59">
        <f t="shared" si="5"/>
        <v>16</v>
      </c>
      <c r="M25" s="59">
        <f t="shared" si="5"/>
        <v>16</v>
      </c>
      <c r="N25" s="59">
        <v>60</v>
      </c>
      <c r="O25" s="59">
        <v>60</v>
      </c>
      <c r="P25" s="59">
        <v>65</v>
      </c>
      <c r="Q25" s="59">
        <v>65</v>
      </c>
      <c r="R25" s="59">
        <v>66</v>
      </c>
      <c r="S25" s="59">
        <v>67</v>
      </c>
      <c r="T25" s="59">
        <v>68</v>
      </c>
      <c r="U25" s="59">
        <v>69</v>
      </c>
      <c r="V25" s="59">
        <v>70</v>
      </c>
      <c r="W25" s="59">
        <v>71</v>
      </c>
      <c r="X25" s="59">
        <v>72</v>
      </c>
      <c r="Y25" s="59">
        <v>73</v>
      </c>
      <c r="Z25" s="59">
        <v>74</v>
      </c>
      <c r="AA25" s="59">
        <v>75</v>
      </c>
      <c r="AB25" s="59">
        <v>76</v>
      </c>
      <c r="AC25" s="59">
        <v>77</v>
      </c>
      <c r="AD25" s="59">
        <v>78</v>
      </c>
      <c r="AE25" s="59">
        <v>79</v>
      </c>
      <c r="AF25" s="59">
        <v>80</v>
      </c>
      <c r="AG25" s="59">
        <v>80</v>
      </c>
      <c r="AH25" s="59">
        <v>80</v>
      </c>
      <c r="AI25" s="59">
        <v>80</v>
      </c>
      <c r="AJ25" s="59">
        <v>80</v>
      </c>
      <c r="AK25" s="59">
        <v>80</v>
      </c>
      <c r="AL25" s="59">
        <v>80</v>
      </c>
      <c r="AM25" s="59">
        <v>80</v>
      </c>
      <c r="AN25" s="59">
        <v>80</v>
      </c>
      <c r="AO25" s="59">
        <v>80</v>
      </c>
      <c r="AP25" s="59">
        <v>80</v>
      </c>
      <c r="AQ25" s="59">
        <v>80</v>
      </c>
      <c r="AR25" s="59">
        <v>80</v>
      </c>
      <c r="AS25" s="59">
        <v>80</v>
      </c>
      <c r="AT25" s="59">
        <v>80</v>
      </c>
      <c r="AU25" s="59">
        <v>80</v>
      </c>
      <c r="AV25" s="59">
        <v>80</v>
      </c>
      <c r="AW25" s="59">
        <v>80</v>
      </c>
      <c r="AX25" s="59">
        <v>80</v>
      </c>
      <c r="AY25" s="59">
        <v>80</v>
      </c>
      <c r="AZ25" s="59">
        <v>80</v>
      </c>
      <c r="BA25" s="59">
        <v>80</v>
      </c>
      <c r="BB25" s="59">
        <v>80</v>
      </c>
      <c r="BC25" s="59">
        <v>80</v>
      </c>
      <c r="BD25" s="59">
        <v>80</v>
      </c>
      <c r="BE25" s="59">
        <v>80</v>
      </c>
    </row>
    <row r="26" spans="2:71">
      <c r="B26" s="146" t="s">
        <v>85</v>
      </c>
      <c r="C26" s="147"/>
      <c r="D26" s="147"/>
      <c r="E26" s="148"/>
      <c r="F26" s="59">
        <v>1</v>
      </c>
      <c r="G26" s="59">
        <v>3</v>
      </c>
      <c r="H26" s="59">
        <v>6</v>
      </c>
      <c r="I26" s="59">
        <v>16</v>
      </c>
      <c r="J26" s="59">
        <v>16</v>
      </c>
      <c r="K26" s="59">
        <v>16</v>
      </c>
      <c r="L26" s="59">
        <v>16</v>
      </c>
      <c r="M26" s="59">
        <v>16</v>
      </c>
      <c r="N26" s="59">
        <v>16</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-15</v>
      </c>
      <c r="G27" s="60">
        <f t="shared" ref="G27:BE27" si="6">G26-G25</f>
        <v>-13</v>
      </c>
      <c r="H27" s="60">
        <f t="shared" si="6"/>
        <v>-10</v>
      </c>
      <c r="I27" s="60">
        <f t="shared" si="6"/>
        <v>0</v>
      </c>
      <c r="J27" s="60">
        <f t="shared" si="6"/>
        <v>0</v>
      </c>
      <c r="K27" s="60">
        <f t="shared" si="6"/>
        <v>0</v>
      </c>
      <c r="L27" s="60">
        <f t="shared" si="6"/>
        <v>0</v>
      </c>
      <c r="M27" s="60">
        <f t="shared" si="6"/>
        <v>0</v>
      </c>
      <c r="N27" s="60">
        <f t="shared" si="6"/>
        <v>-44</v>
      </c>
      <c r="O27" s="60">
        <f t="shared" si="6"/>
        <v>-60</v>
      </c>
      <c r="P27" s="60">
        <f t="shared" si="6"/>
        <v>-65</v>
      </c>
      <c r="Q27" s="60">
        <f t="shared" si="6"/>
        <v>-65</v>
      </c>
      <c r="R27" s="60">
        <f t="shared" si="6"/>
        <v>-66</v>
      </c>
      <c r="S27" s="60">
        <f t="shared" si="6"/>
        <v>-67</v>
      </c>
      <c r="T27" s="60">
        <f t="shared" si="6"/>
        <v>-68</v>
      </c>
      <c r="U27" s="60">
        <f t="shared" si="6"/>
        <v>-69</v>
      </c>
      <c r="V27" s="60">
        <f t="shared" si="6"/>
        <v>-70</v>
      </c>
      <c r="W27" s="60">
        <f t="shared" si="6"/>
        <v>-71</v>
      </c>
      <c r="X27" s="60">
        <f t="shared" si="6"/>
        <v>-72</v>
      </c>
      <c r="Y27" s="60">
        <f t="shared" si="6"/>
        <v>-73</v>
      </c>
      <c r="Z27" s="60">
        <f t="shared" si="6"/>
        <v>-74</v>
      </c>
      <c r="AA27" s="60">
        <f t="shared" si="6"/>
        <v>-75</v>
      </c>
      <c r="AB27" s="60">
        <f t="shared" si="6"/>
        <v>-76</v>
      </c>
      <c r="AC27" s="60">
        <f t="shared" si="6"/>
        <v>-77</v>
      </c>
      <c r="AD27" s="60">
        <f t="shared" si="6"/>
        <v>-78</v>
      </c>
      <c r="AE27" s="60">
        <f t="shared" si="6"/>
        <v>-79</v>
      </c>
      <c r="AF27" s="60">
        <f t="shared" si="6"/>
        <v>-80</v>
      </c>
      <c r="AG27" s="60">
        <f t="shared" si="6"/>
        <v>-80</v>
      </c>
      <c r="AH27" s="60">
        <f t="shared" si="6"/>
        <v>-80</v>
      </c>
      <c r="AI27" s="60">
        <f t="shared" si="6"/>
        <v>-80</v>
      </c>
      <c r="AJ27" s="60">
        <f t="shared" si="6"/>
        <v>-80</v>
      </c>
      <c r="AK27" s="60">
        <f t="shared" si="6"/>
        <v>-80</v>
      </c>
      <c r="AL27" s="60">
        <f t="shared" si="6"/>
        <v>-80</v>
      </c>
      <c r="AM27" s="60">
        <f t="shared" si="6"/>
        <v>-80</v>
      </c>
      <c r="AN27" s="60">
        <f t="shared" si="6"/>
        <v>-80</v>
      </c>
      <c r="AO27" s="60">
        <f t="shared" si="6"/>
        <v>-80</v>
      </c>
      <c r="AP27" s="60">
        <f t="shared" si="6"/>
        <v>-80</v>
      </c>
      <c r="AQ27" s="60">
        <f t="shared" si="6"/>
        <v>-80</v>
      </c>
      <c r="AR27" s="60">
        <f t="shared" si="6"/>
        <v>-80</v>
      </c>
      <c r="AS27" s="60">
        <f t="shared" si="6"/>
        <v>-80</v>
      </c>
      <c r="AT27" s="60">
        <f t="shared" si="6"/>
        <v>-80</v>
      </c>
      <c r="AU27" s="60">
        <f t="shared" si="6"/>
        <v>-80</v>
      </c>
      <c r="AV27" s="60">
        <f t="shared" si="6"/>
        <v>-80</v>
      </c>
      <c r="AW27" s="60">
        <f t="shared" si="6"/>
        <v>-80</v>
      </c>
      <c r="AX27" s="60">
        <f t="shared" si="6"/>
        <v>-80</v>
      </c>
      <c r="AY27" s="60">
        <f t="shared" si="6"/>
        <v>-80</v>
      </c>
      <c r="AZ27" s="60">
        <f t="shared" si="6"/>
        <v>-80</v>
      </c>
      <c r="BA27" s="60">
        <f t="shared" si="6"/>
        <v>-80</v>
      </c>
      <c r="BB27" s="60">
        <f t="shared" si="6"/>
        <v>-80</v>
      </c>
      <c r="BC27" s="60">
        <f t="shared" si="6"/>
        <v>-80</v>
      </c>
      <c r="BD27" s="60">
        <f t="shared" si="6"/>
        <v>-80</v>
      </c>
      <c r="BE27" s="60">
        <f t="shared" si="6"/>
        <v>-80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Throughput TARGET</v>
      </c>
      <c r="C30" s="147"/>
      <c r="D30" s="147"/>
      <c r="E30" s="148"/>
      <c r="F30" s="59">
        <v>30</v>
      </c>
      <c r="G30" s="59">
        <f>F30</f>
        <v>30</v>
      </c>
      <c r="H30" s="59">
        <f t="shared" ref="H30:BE30" si="7">G30</f>
        <v>30</v>
      </c>
      <c r="I30" s="59">
        <f t="shared" si="7"/>
        <v>30</v>
      </c>
      <c r="J30" s="59">
        <f t="shared" si="7"/>
        <v>30</v>
      </c>
      <c r="K30" s="59">
        <f t="shared" si="7"/>
        <v>30</v>
      </c>
      <c r="L30" s="59">
        <f t="shared" si="7"/>
        <v>30</v>
      </c>
      <c r="M30" s="59">
        <f t="shared" si="7"/>
        <v>30</v>
      </c>
      <c r="N30" s="59">
        <f t="shared" si="7"/>
        <v>30</v>
      </c>
      <c r="O30" s="59">
        <f t="shared" si="7"/>
        <v>30</v>
      </c>
      <c r="P30" s="59">
        <f t="shared" si="7"/>
        <v>30</v>
      </c>
      <c r="Q30" s="59">
        <f t="shared" si="7"/>
        <v>30</v>
      </c>
      <c r="R30" s="59">
        <f t="shared" si="7"/>
        <v>30</v>
      </c>
      <c r="S30" s="59">
        <f t="shared" si="7"/>
        <v>30</v>
      </c>
      <c r="T30" s="59">
        <f t="shared" si="7"/>
        <v>30</v>
      </c>
      <c r="U30" s="59">
        <f t="shared" si="7"/>
        <v>30</v>
      </c>
      <c r="V30" s="59">
        <f t="shared" si="7"/>
        <v>30</v>
      </c>
      <c r="W30" s="59">
        <f t="shared" si="7"/>
        <v>30</v>
      </c>
      <c r="X30" s="59">
        <f t="shared" si="7"/>
        <v>30</v>
      </c>
      <c r="Y30" s="59">
        <f t="shared" si="7"/>
        <v>30</v>
      </c>
      <c r="Z30" s="59">
        <f t="shared" si="7"/>
        <v>30</v>
      </c>
      <c r="AA30" s="59">
        <f t="shared" si="7"/>
        <v>30</v>
      </c>
      <c r="AB30" s="59">
        <f t="shared" si="7"/>
        <v>30</v>
      </c>
      <c r="AC30" s="59">
        <f t="shared" si="7"/>
        <v>30</v>
      </c>
      <c r="AD30" s="59">
        <f t="shared" si="7"/>
        <v>30</v>
      </c>
      <c r="AE30" s="59">
        <f t="shared" si="7"/>
        <v>30</v>
      </c>
      <c r="AF30" s="59">
        <f t="shared" si="7"/>
        <v>30</v>
      </c>
      <c r="AG30" s="59">
        <f t="shared" si="7"/>
        <v>30</v>
      </c>
      <c r="AH30" s="59">
        <f t="shared" si="7"/>
        <v>30</v>
      </c>
      <c r="AI30" s="59">
        <f t="shared" si="7"/>
        <v>30</v>
      </c>
      <c r="AJ30" s="59">
        <f t="shared" si="7"/>
        <v>30</v>
      </c>
      <c r="AK30" s="59">
        <f t="shared" si="7"/>
        <v>30</v>
      </c>
      <c r="AL30" s="59">
        <f t="shared" si="7"/>
        <v>30</v>
      </c>
      <c r="AM30" s="59">
        <f t="shared" si="7"/>
        <v>30</v>
      </c>
      <c r="AN30" s="59">
        <f t="shared" si="7"/>
        <v>30</v>
      </c>
      <c r="AO30" s="59">
        <f t="shared" si="7"/>
        <v>30</v>
      </c>
      <c r="AP30" s="59">
        <f t="shared" si="7"/>
        <v>30</v>
      </c>
      <c r="AQ30" s="59">
        <f t="shared" si="7"/>
        <v>30</v>
      </c>
      <c r="AR30" s="59">
        <f t="shared" si="7"/>
        <v>30</v>
      </c>
      <c r="AS30" s="59">
        <f t="shared" si="7"/>
        <v>30</v>
      </c>
      <c r="AT30" s="59">
        <f t="shared" si="7"/>
        <v>30</v>
      </c>
      <c r="AU30" s="59">
        <f t="shared" si="7"/>
        <v>30</v>
      </c>
      <c r="AV30" s="59">
        <f t="shared" si="7"/>
        <v>30</v>
      </c>
      <c r="AW30" s="59">
        <f t="shared" si="7"/>
        <v>30</v>
      </c>
      <c r="AX30" s="59">
        <f t="shared" si="7"/>
        <v>30</v>
      </c>
      <c r="AY30" s="59">
        <f t="shared" si="7"/>
        <v>30</v>
      </c>
      <c r="AZ30" s="59">
        <f t="shared" si="7"/>
        <v>30</v>
      </c>
      <c r="BA30" s="59">
        <f t="shared" si="7"/>
        <v>30</v>
      </c>
      <c r="BB30" s="59">
        <f t="shared" si="7"/>
        <v>30</v>
      </c>
      <c r="BC30" s="59">
        <f t="shared" si="7"/>
        <v>30</v>
      </c>
      <c r="BD30" s="59">
        <f t="shared" si="7"/>
        <v>30</v>
      </c>
      <c r="BE30" s="59">
        <f t="shared" si="7"/>
        <v>30</v>
      </c>
    </row>
    <row r="31" spans="2:71">
      <c r="B31" s="146" t="s">
        <v>85</v>
      </c>
      <c r="C31" s="147"/>
      <c r="D31" s="147"/>
      <c r="E31" s="148"/>
      <c r="F31" s="59">
        <v>30</v>
      </c>
      <c r="G31" s="59">
        <v>30</v>
      </c>
      <c r="H31" s="59">
        <v>30</v>
      </c>
      <c r="I31" s="59">
        <v>30</v>
      </c>
      <c r="J31" s="59">
        <v>30</v>
      </c>
      <c r="K31" s="59">
        <v>30</v>
      </c>
      <c r="L31" s="59">
        <v>30</v>
      </c>
      <c r="M31" s="59">
        <v>0</v>
      </c>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row>
    <row r="32" spans="2:71">
      <c r="B32" s="146" t="s">
        <v>86</v>
      </c>
      <c r="C32" s="147"/>
      <c r="D32" s="147"/>
      <c r="E32" s="148"/>
      <c r="F32" s="60">
        <f>F31-F30</f>
        <v>0</v>
      </c>
      <c r="G32" s="60">
        <f t="shared" ref="G32:BE32" si="8">G31-G30</f>
        <v>0</v>
      </c>
      <c r="H32" s="60">
        <f t="shared" si="8"/>
        <v>0</v>
      </c>
      <c r="I32" s="60">
        <f t="shared" si="8"/>
        <v>0</v>
      </c>
      <c r="J32" s="60">
        <f t="shared" si="8"/>
        <v>0</v>
      </c>
      <c r="K32" s="60">
        <f t="shared" si="8"/>
        <v>0</v>
      </c>
      <c r="L32" s="60">
        <f t="shared" si="8"/>
        <v>0</v>
      </c>
      <c r="M32" s="60">
        <f t="shared" si="8"/>
        <v>-30</v>
      </c>
      <c r="N32" s="60">
        <f t="shared" si="8"/>
        <v>-30</v>
      </c>
      <c r="O32" s="60">
        <f t="shared" si="8"/>
        <v>-30</v>
      </c>
      <c r="P32" s="60">
        <f t="shared" si="8"/>
        <v>-30</v>
      </c>
      <c r="Q32" s="60">
        <f t="shared" si="8"/>
        <v>-30</v>
      </c>
      <c r="R32" s="60">
        <f t="shared" si="8"/>
        <v>-30</v>
      </c>
      <c r="S32" s="60">
        <f t="shared" si="8"/>
        <v>-30</v>
      </c>
      <c r="T32" s="60">
        <f t="shared" si="8"/>
        <v>-30</v>
      </c>
      <c r="U32" s="60">
        <f t="shared" si="8"/>
        <v>-30</v>
      </c>
      <c r="V32" s="60">
        <f t="shared" si="8"/>
        <v>-30</v>
      </c>
      <c r="W32" s="60">
        <f t="shared" si="8"/>
        <v>-30</v>
      </c>
      <c r="X32" s="60">
        <f t="shared" si="8"/>
        <v>-30</v>
      </c>
      <c r="Y32" s="60">
        <f t="shared" si="8"/>
        <v>-30</v>
      </c>
      <c r="Z32" s="60">
        <f t="shared" si="8"/>
        <v>-30</v>
      </c>
      <c r="AA32" s="60">
        <f t="shared" si="8"/>
        <v>-30</v>
      </c>
      <c r="AB32" s="60">
        <f t="shared" si="8"/>
        <v>-30</v>
      </c>
      <c r="AC32" s="60">
        <f t="shared" si="8"/>
        <v>-30</v>
      </c>
      <c r="AD32" s="60">
        <f t="shared" si="8"/>
        <v>-30</v>
      </c>
      <c r="AE32" s="60">
        <f t="shared" si="8"/>
        <v>-30</v>
      </c>
      <c r="AF32" s="60">
        <f t="shared" si="8"/>
        <v>-30</v>
      </c>
      <c r="AG32" s="60">
        <f t="shared" si="8"/>
        <v>-30</v>
      </c>
      <c r="AH32" s="60">
        <f t="shared" si="8"/>
        <v>-30</v>
      </c>
      <c r="AI32" s="60">
        <f t="shared" si="8"/>
        <v>-30</v>
      </c>
      <c r="AJ32" s="60">
        <f t="shared" si="8"/>
        <v>-30</v>
      </c>
      <c r="AK32" s="60">
        <f t="shared" si="8"/>
        <v>-30</v>
      </c>
      <c r="AL32" s="60">
        <f t="shared" si="8"/>
        <v>-30</v>
      </c>
      <c r="AM32" s="60">
        <f t="shared" si="8"/>
        <v>-30</v>
      </c>
      <c r="AN32" s="60">
        <f t="shared" si="8"/>
        <v>-30</v>
      </c>
      <c r="AO32" s="60">
        <f t="shared" si="8"/>
        <v>-30</v>
      </c>
      <c r="AP32" s="60">
        <f t="shared" si="8"/>
        <v>-30</v>
      </c>
      <c r="AQ32" s="60">
        <f t="shared" si="8"/>
        <v>-30</v>
      </c>
      <c r="AR32" s="60">
        <f t="shared" si="8"/>
        <v>-30</v>
      </c>
      <c r="AS32" s="60">
        <f t="shared" si="8"/>
        <v>-30</v>
      </c>
      <c r="AT32" s="60">
        <f t="shared" si="8"/>
        <v>-30</v>
      </c>
      <c r="AU32" s="60">
        <f t="shared" si="8"/>
        <v>-30</v>
      </c>
      <c r="AV32" s="60">
        <f t="shared" si="8"/>
        <v>-30</v>
      </c>
      <c r="AW32" s="60">
        <f t="shared" si="8"/>
        <v>-30</v>
      </c>
      <c r="AX32" s="60">
        <f t="shared" si="8"/>
        <v>-30</v>
      </c>
      <c r="AY32" s="60">
        <f t="shared" si="8"/>
        <v>-30</v>
      </c>
      <c r="AZ32" s="60">
        <f t="shared" si="8"/>
        <v>-30</v>
      </c>
      <c r="BA32" s="60">
        <f t="shared" si="8"/>
        <v>-30</v>
      </c>
      <c r="BB32" s="60">
        <f t="shared" si="8"/>
        <v>-30</v>
      </c>
      <c r="BC32" s="60">
        <f t="shared" si="8"/>
        <v>-30</v>
      </c>
      <c r="BD32" s="60">
        <f t="shared" si="8"/>
        <v>-30</v>
      </c>
      <c r="BE32" s="60">
        <f t="shared" si="8"/>
        <v>-30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v>0</v>
      </c>
      <c r="G35" s="59">
        <f>F35</f>
        <v>0</v>
      </c>
      <c r="H35" s="59">
        <f t="shared" ref="H35:BE35" si="9">G35</f>
        <v>0</v>
      </c>
      <c r="I35" s="59">
        <f t="shared" si="9"/>
        <v>0</v>
      </c>
      <c r="J35" s="59">
        <f t="shared" si="9"/>
        <v>0</v>
      </c>
      <c r="K35" s="59">
        <f t="shared" si="9"/>
        <v>0</v>
      </c>
      <c r="L35" s="59">
        <f t="shared" si="9"/>
        <v>0</v>
      </c>
      <c r="M35" s="59">
        <f t="shared" si="9"/>
        <v>0</v>
      </c>
      <c r="N35" s="59">
        <f t="shared" si="9"/>
        <v>0</v>
      </c>
      <c r="O35" s="59">
        <f t="shared" si="9"/>
        <v>0</v>
      </c>
      <c r="P35" s="59">
        <f t="shared" si="9"/>
        <v>0</v>
      </c>
      <c r="Q35" s="59">
        <f t="shared" si="9"/>
        <v>0</v>
      </c>
      <c r="R35" s="59">
        <f t="shared" si="9"/>
        <v>0</v>
      </c>
      <c r="S35" s="59">
        <f t="shared" si="9"/>
        <v>0</v>
      </c>
      <c r="T35" s="59">
        <f t="shared" si="9"/>
        <v>0</v>
      </c>
      <c r="U35" s="59">
        <f t="shared" si="9"/>
        <v>0</v>
      </c>
      <c r="V35" s="59">
        <f t="shared" si="9"/>
        <v>0</v>
      </c>
      <c r="W35" s="59">
        <f t="shared" si="9"/>
        <v>0</v>
      </c>
      <c r="X35" s="59">
        <f t="shared" si="9"/>
        <v>0</v>
      </c>
      <c r="Y35" s="59">
        <f t="shared" si="9"/>
        <v>0</v>
      </c>
      <c r="Z35" s="59">
        <f t="shared" si="9"/>
        <v>0</v>
      </c>
      <c r="AA35" s="59">
        <f t="shared" si="9"/>
        <v>0</v>
      </c>
      <c r="AB35" s="59">
        <f t="shared" si="9"/>
        <v>0</v>
      </c>
      <c r="AC35" s="59">
        <f t="shared" si="9"/>
        <v>0</v>
      </c>
      <c r="AD35" s="59">
        <f t="shared" si="9"/>
        <v>0</v>
      </c>
      <c r="AE35" s="59">
        <f t="shared" si="9"/>
        <v>0</v>
      </c>
      <c r="AF35" s="59">
        <f t="shared" si="9"/>
        <v>0</v>
      </c>
      <c r="AG35" s="59">
        <f t="shared" si="9"/>
        <v>0</v>
      </c>
      <c r="AH35" s="59">
        <f t="shared" si="9"/>
        <v>0</v>
      </c>
      <c r="AI35" s="59">
        <f t="shared" si="9"/>
        <v>0</v>
      </c>
      <c r="AJ35" s="59">
        <f t="shared" si="9"/>
        <v>0</v>
      </c>
      <c r="AK35" s="59">
        <f t="shared" si="9"/>
        <v>0</v>
      </c>
      <c r="AL35" s="59">
        <f t="shared" si="9"/>
        <v>0</v>
      </c>
      <c r="AM35" s="59">
        <f t="shared" si="9"/>
        <v>0</v>
      </c>
      <c r="AN35" s="59">
        <f t="shared" si="9"/>
        <v>0</v>
      </c>
      <c r="AO35" s="59">
        <f t="shared" si="9"/>
        <v>0</v>
      </c>
      <c r="AP35" s="59">
        <f t="shared" si="9"/>
        <v>0</v>
      </c>
      <c r="AQ35" s="59">
        <f t="shared" si="9"/>
        <v>0</v>
      </c>
      <c r="AR35" s="59">
        <f t="shared" si="9"/>
        <v>0</v>
      </c>
      <c r="AS35" s="59">
        <f t="shared" si="9"/>
        <v>0</v>
      </c>
      <c r="AT35" s="59">
        <f t="shared" si="9"/>
        <v>0</v>
      </c>
      <c r="AU35" s="59">
        <f t="shared" si="9"/>
        <v>0</v>
      </c>
      <c r="AV35" s="59">
        <f t="shared" si="9"/>
        <v>0</v>
      </c>
      <c r="AW35" s="59">
        <f t="shared" si="9"/>
        <v>0</v>
      </c>
      <c r="AX35" s="59">
        <f t="shared" si="9"/>
        <v>0</v>
      </c>
      <c r="AY35" s="59">
        <f t="shared" si="9"/>
        <v>0</v>
      </c>
      <c r="AZ35" s="59">
        <f t="shared" si="9"/>
        <v>0</v>
      </c>
      <c r="BA35" s="59">
        <f t="shared" si="9"/>
        <v>0</v>
      </c>
      <c r="BB35" s="59">
        <f t="shared" si="9"/>
        <v>0</v>
      </c>
      <c r="BC35" s="59">
        <f t="shared" si="9"/>
        <v>0</v>
      </c>
      <c r="BD35" s="59">
        <f t="shared" si="9"/>
        <v>0</v>
      </c>
      <c r="BE35" s="59">
        <f t="shared" si="9"/>
        <v>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0</v>
      </c>
      <c r="G37" s="60">
        <f t="shared" ref="G37:BE37" si="10">G36-G35</f>
        <v>0</v>
      </c>
      <c r="H37" s="60">
        <f t="shared" si="10"/>
        <v>0</v>
      </c>
      <c r="I37" s="60">
        <f t="shared" si="10"/>
        <v>0</v>
      </c>
      <c r="J37" s="60">
        <f t="shared" si="10"/>
        <v>0</v>
      </c>
      <c r="K37" s="60">
        <f t="shared" si="10"/>
        <v>0</v>
      </c>
      <c r="L37" s="60">
        <f t="shared" si="10"/>
        <v>0</v>
      </c>
      <c r="M37" s="60">
        <f t="shared" si="10"/>
        <v>0</v>
      </c>
      <c r="N37" s="60">
        <f t="shared" si="10"/>
        <v>0</v>
      </c>
      <c r="O37" s="60">
        <f t="shared" si="10"/>
        <v>0</v>
      </c>
      <c r="P37" s="60">
        <f t="shared" si="10"/>
        <v>0</v>
      </c>
      <c r="Q37" s="60">
        <f t="shared" si="10"/>
        <v>0</v>
      </c>
      <c r="R37" s="60">
        <f t="shared" si="10"/>
        <v>0</v>
      </c>
      <c r="S37" s="60">
        <f t="shared" si="10"/>
        <v>0</v>
      </c>
      <c r="T37" s="60">
        <f t="shared" si="10"/>
        <v>0</v>
      </c>
      <c r="U37" s="60">
        <f t="shared" si="10"/>
        <v>0</v>
      </c>
      <c r="V37" s="60">
        <f t="shared" si="10"/>
        <v>0</v>
      </c>
      <c r="W37" s="60">
        <f t="shared" si="10"/>
        <v>0</v>
      </c>
      <c r="X37" s="60">
        <f t="shared" si="10"/>
        <v>0</v>
      </c>
      <c r="Y37" s="60">
        <f t="shared" si="10"/>
        <v>0</v>
      </c>
      <c r="Z37" s="60">
        <f t="shared" si="10"/>
        <v>0</v>
      </c>
      <c r="AA37" s="60">
        <f t="shared" si="10"/>
        <v>0</v>
      </c>
      <c r="AB37" s="60">
        <f t="shared" si="10"/>
        <v>0</v>
      </c>
      <c r="AC37" s="60">
        <f t="shared" si="10"/>
        <v>0</v>
      </c>
      <c r="AD37" s="60">
        <f t="shared" si="10"/>
        <v>0</v>
      </c>
      <c r="AE37" s="60">
        <f t="shared" si="10"/>
        <v>0</v>
      </c>
      <c r="AF37" s="60">
        <f t="shared" si="10"/>
        <v>0</v>
      </c>
      <c r="AG37" s="60">
        <f t="shared" si="10"/>
        <v>0</v>
      </c>
      <c r="AH37" s="60">
        <f t="shared" si="10"/>
        <v>0</v>
      </c>
      <c r="AI37" s="60">
        <f t="shared" si="10"/>
        <v>0</v>
      </c>
      <c r="AJ37" s="60">
        <f t="shared" si="10"/>
        <v>0</v>
      </c>
      <c r="AK37" s="60">
        <f t="shared" si="10"/>
        <v>0</v>
      </c>
      <c r="AL37" s="60">
        <f t="shared" si="10"/>
        <v>0</v>
      </c>
      <c r="AM37" s="60">
        <f t="shared" si="10"/>
        <v>0</v>
      </c>
      <c r="AN37" s="60">
        <f t="shared" si="10"/>
        <v>0</v>
      </c>
      <c r="AO37" s="60">
        <f t="shared" si="10"/>
        <v>0</v>
      </c>
      <c r="AP37" s="60">
        <f t="shared" si="10"/>
        <v>0</v>
      </c>
      <c r="AQ37" s="60">
        <f t="shared" si="10"/>
        <v>0</v>
      </c>
      <c r="AR37" s="60">
        <f t="shared" si="10"/>
        <v>0</v>
      </c>
      <c r="AS37" s="60">
        <f t="shared" si="10"/>
        <v>0</v>
      </c>
      <c r="AT37" s="60">
        <f t="shared" si="10"/>
        <v>0</v>
      </c>
      <c r="AU37" s="60">
        <f t="shared" si="10"/>
        <v>0</v>
      </c>
      <c r="AV37" s="60">
        <f t="shared" si="10"/>
        <v>0</v>
      </c>
      <c r="AW37" s="60">
        <f t="shared" si="10"/>
        <v>0</v>
      </c>
      <c r="AX37" s="60">
        <f t="shared" si="10"/>
        <v>0</v>
      </c>
      <c r="AY37" s="60">
        <f t="shared" si="10"/>
        <v>0</v>
      </c>
      <c r="AZ37" s="60">
        <f t="shared" si="10"/>
        <v>0</v>
      </c>
      <c r="BA37" s="60">
        <f t="shared" si="10"/>
        <v>0</v>
      </c>
      <c r="BB37" s="60">
        <f t="shared" si="10"/>
        <v>0</v>
      </c>
      <c r="BC37" s="60">
        <f t="shared" si="10"/>
        <v>0</v>
      </c>
      <c r="BD37" s="60">
        <f t="shared" si="10"/>
        <v>0</v>
      </c>
      <c r="BE37" s="60">
        <f t="shared" si="10"/>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89</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91</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8" priority="1" operator="equal">
      <formula>"No Change"</formula>
    </cfRule>
    <cfRule type="cellIs" dxfId="77" priority="2" operator="equal">
      <formula>"Progression"</formula>
    </cfRule>
  </conditionalFormatting>
  <conditionalFormatting sqref="AU10:AU21">
    <cfRule type="expression" dxfId="76" priority="3">
      <formula>IFERROR(FIND("Ahead",AU10),0)&gt;0</formula>
    </cfRule>
    <cfRule type="expression" dxfId="75" priority="4">
      <formula>IFERROR(FIND("Overdue",AU10),0)&gt;0</formula>
    </cfRule>
    <cfRule type="cellIs" dxfId="74" priority="5" operator="equal">
      <formula>"Met Target"</formula>
    </cfRule>
    <cfRule type="cellIs" dxfId="73" priority="6" operator="equal">
      <formula>"Missing Target"</formula>
    </cfRule>
    <cfRule type="expression" dxfId="7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70" zoomScaleNormal="70" workbookViewId="0">
      <pane xSplit="5" ySplit="7" topLeftCell="F21" activePane="bottomRight" state="frozen"/>
      <selection pane="bottomRight" activeCell="BH31" sqref="BH3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95</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Simple Tool</v>
      </c>
      <c r="AP3" s="87"/>
      <c r="AQ3" s="87"/>
      <c r="AR3" s="87"/>
      <c r="AS3" s="87"/>
      <c r="AT3" s="87"/>
      <c r="AU3" s="87"/>
      <c r="AV3" s="92">
        <f>IF(F7="",0,VLOOKUP(F7,Lookups!B4:H8,3))</f>
        <v>10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Live</v>
      </c>
      <c r="AP4" s="87"/>
      <c r="AQ4" s="87"/>
      <c r="AR4" s="87"/>
      <c r="AS4" s="87"/>
      <c r="AT4" s="87"/>
      <c r="AU4" s="87"/>
      <c r="AV4" s="89">
        <f ca="1">IF(AO4="Not Def",0,VLOOKUP(AO4,Lookups!L4:M8,2))</f>
        <v>1</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96</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Pilot</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12</v>
      </c>
      <c r="AW6" s="104"/>
      <c r="AX6" s="104"/>
      <c r="AY6" s="18"/>
      <c r="AZ6" s="18"/>
      <c r="BA6" s="18"/>
      <c r="BB6" s="18"/>
      <c r="BC6" s="18"/>
      <c r="BD6" s="18"/>
      <c r="BH6" s="13"/>
      <c r="BI6" s="17"/>
      <c r="BJ6" s="17"/>
      <c r="BK6" s="17"/>
    </row>
    <row r="7" spans="2:71" ht="28.5" customHeight="1" thickBot="1">
      <c r="B7" s="99" t="s">
        <v>34</v>
      </c>
      <c r="C7" s="100"/>
      <c r="D7" s="100"/>
      <c r="E7" s="101"/>
      <c r="F7" s="105" t="s">
        <v>97</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Simple Tool</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 xml:space="preserve">ChatGPT for content, Co-Pilot for drafting emails, AI meeting summaries </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45870</v>
      </c>
      <c r="AP10" s="114"/>
      <c r="AQ10" s="114"/>
      <c r="AR10" s="114">
        <v>45870</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45870</v>
      </c>
      <c r="AP11" s="114"/>
      <c r="AQ11" s="114"/>
      <c r="AR11" s="114">
        <v>45870</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Adoption Rate</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45870</v>
      </c>
      <c r="AP12" s="114"/>
      <c r="AQ12" s="114"/>
      <c r="AR12" s="114">
        <v>45870</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99</v>
      </c>
      <c r="C13" s="124"/>
      <c r="D13" s="125"/>
      <c r="F13" s="24" t="s">
        <v>52</v>
      </c>
      <c r="G13" s="71" t="s">
        <v>53</v>
      </c>
      <c r="H13" s="72"/>
      <c r="I13" s="72"/>
      <c r="J13" s="72"/>
      <c r="K13" s="72"/>
      <c r="L13" s="72"/>
      <c r="M13" s="73"/>
      <c r="O13" s="24" t="s">
        <v>52</v>
      </c>
      <c r="P13" s="71" t="s">
        <v>100</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45871</v>
      </c>
      <c r="AP13" s="114"/>
      <c r="AQ13" s="114"/>
      <c r="AR13" s="114">
        <v>45871</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45872</v>
      </c>
      <c r="AP14" s="114"/>
      <c r="AQ14" s="114"/>
      <c r="AR14" s="114">
        <v>45872</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101</v>
      </c>
      <c r="G15" s="133"/>
      <c r="H15" s="133"/>
      <c r="I15" s="133"/>
      <c r="J15" s="133"/>
      <c r="K15" s="133"/>
      <c r="L15" s="133"/>
      <c r="M15" s="134"/>
      <c r="O15" s="132" t="s">
        <v>102</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v>45873</v>
      </c>
      <c r="AP15" s="114"/>
      <c r="AQ15" s="114"/>
      <c r="AR15" s="114">
        <v>45873</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45901</v>
      </c>
      <c r="AP16" s="114"/>
      <c r="AQ16" s="114"/>
      <c r="AR16" s="114">
        <v>45901</v>
      </c>
      <c r="AS16" s="114"/>
      <c r="AT16" s="114"/>
      <c r="AU16" s="115" t="str">
        <f t="shared" si="1"/>
        <v>OK</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45901</v>
      </c>
      <c r="AP17" s="114"/>
      <c r="AQ17" s="114"/>
      <c r="AR17" s="114">
        <v>45901</v>
      </c>
      <c r="AS17" s="114"/>
      <c r="AT17" s="114"/>
      <c r="AU17" s="115" t="str">
        <f t="shared" si="1"/>
        <v>OK</v>
      </c>
      <c r="AV17" s="115"/>
      <c r="AW17" s="115"/>
      <c r="AX17" s="115"/>
      <c r="AY17" s="158"/>
      <c r="AZ17" s="158"/>
      <c r="BA17" s="158"/>
      <c r="BB17" s="158"/>
      <c r="BC17" s="158"/>
      <c r="BD17" s="158"/>
      <c r="BE17" s="158"/>
      <c r="BL17" s="15"/>
      <c r="BS17" s="12"/>
    </row>
    <row r="18" spans="2:71" ht="28.5" customHeight="1" thickBot="1">
      <c r="B18" s="25" t="s">
        <v>67</v>
      </c>
      <c r="C18" s="74" t="s">
        <v>68</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45901</v>
      </c>
      <c r="AP18" s="114"/>
      <c r="AQ18" s="114"/>
      <c r="AR18" s="114">
        <v>45901</v>
      </c>
      <c r="AS18" s="114"/>
      <c r="AT18" s="114"/>
      <c r="AU18" s="115" t="str">
        <f t="shared" si="1"/>
        <v>OK</v>
      </c>
      <c r="AV18" s="115"/>
      <c r="AW18" s="115"/>
      <c r="AX18" s="115"/>
      <c r="AY18" s="158"/>
      <c r="AZ18" s="158"/>
      <c r="BA18" s="158"/>
      <c r="BB18" s="158"/>
      <c r="BC18" s="158"/>
      <c r="BD18" s="158"/>
      <c r="BE18" s="158"/>
      <c r="BL18" s="15"/>
      <c r="BS18" s="12"/>
    </row>
    <row r="19" spans="2:71" ht="28.5" customHeight="1" thickBot="1">
      <c r="B19" s="25" t="s">
        <v>71</v>
      </c>
      <c r="C19" s="74" t="s">
        <v>72</v>
      </c>
      <c r="D19" s="76"/>
      <c r="F19" s="132" t="s">
        <v>103</v>
      </c>
      <c r="G19" s="133"/>
      <c r="H19" s="133"/>
      <c r="I19" s="133"/>
      <c r="J19" s="133"/>
      <c r="K19" s="133"/>
      <c r="L19" s="133"/>
      <c r="M19" s="134"/>
      <c r="O19" s="132" t="s">
        <v>104</v>
      </c>
      <c r="P19" s="133"/>
      <c r="Q19" s="133"/>
      <c r="R19" s="133"/>
      <c r="S19" s="133"/>
      <c r="T19" s="133"/>
      <c r="U19" s="133"/>
      <c r="V19" s="134"/>
      <c r="X19" s="132"/>
      <c r="Y19" s="133"/>
      <c r="Z19" s="133"/>
      <c r="AA19" s="133"/>
      <c r="AB19" s="133"/>
      <c r="AC19" s="133"/>
      <c r="AD19" s="133"/>
      <c r="AE19" s="134"/>
      <c r="AF19" s="26"/>
      <c r="AG19" s="121" t="s">
        <v>75</v>
      </c>
      <c r="AH19" s="121"/>
      <c r="AI19" s="121"/>
      <c r="AJ19" s="122" t="s">
        <v>76</v>
      </c>
      <c r="AK19" s="122"/>
      <c r="AL19" s="122"/>
      <c r="AM19" s="122"/>
      <c r="AN19" s="122"/>
      <c r="AO19" s="114">
        <v>45931</v>
      </c>
      <c r="AP19" s="114"/>
      <c r="AQ19" s="114"/>
      <c r="AR19" s="114">
        <v>45931</v>
      </c>
      <c r="AS19" s="114"/>
      <c r="AT19" s="114"/>
      <c r="AU19" s="115" t="str">
        <f t="shared" si="1"/>
        <v>OK</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45962</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45992</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45871</v>
      </c>
      <c r="G24" s="31">
        <f>F24+7</f>
        <v>45878</v>
      </c>
      <c r="H24" s="31">
        <f t="shared" ref="H24:BE24" si="4">G24+7</f>
        <v>45885</v>
      </c>
      <c r="I24" s="31">
        <f t="shared" si="4"/>
        <v>45892</v>
      </c>
      <c r="J24" s="31">
        <f t="shared" si="4"/>
        <v>45899</v>
      </c>
      <c r="K24" s="31">
        <f t="shared" si="4"/>
        <v>45906</v>
      </c>
      <c r="L24" s="31">
        <f t="shared" si="4"/>
        <v>45913</v>
      </c>
      <c r="M24" s="31">
        <f t="shared" si="4"/>
        <v>45920</v>
      </c>
      <c r="N24" s="31">
        <f t="shared" si="4"/>
        <v>45927</v>
      </c>
      <c r="O24" s="31">
        <f t="shared" si="4"/>
        <v>45934</v>
      </c>
      <c r="P24" s="31">
        <f t="shared" si="4"/>
        <v>45941</v>
      </c>
      <c r="Q24" s="31">
        <f t="shared" si="4"/>
        <v>45948</v>
      </c>
      <c r="R24" s="31">
        <f t="shared" si="4"/>
        <v>45955</v>
      </c>
      <c r="S24" s="31">
        <f t="shared" si="4"/>
        <v>45962</v>
      </c>
      <c r="T24" s="31">
        <f t="shared" si="4"/>
        <v>45969</v>
      </c>
      <c r="U24" s="31">
        <f t="shared" si="4"/>
        <v>45976</v>
      </c>
      <c r="V24" s="31">
        <f t="shared" si="4"/>
        <v>45983</v>
      </c>
      <c r="W24" s="31">
        <f t="shared" si="4"/>
        <v>45990</v>
      </c>
      <c r="X24" s="31">
        <f t="shared" si="4"/>
        <v>45997</v>
      </c>
      <c r="Y24" s="31">
        <f t="shared" si="4"/>
        <v>46004</v>
      </c>
      <c r="Z24" s="31">
        <f t="shared" si="4"/>
        <v>46011</v>
      </c>
      <c r="AA24" s="31">
        <f t="shared" si="4"/>
        <v>46018</v>
      </c>
      <c r="AB24" s="31">
        <f t="shared" si="4"/>
        <v>46025</v>
      </c>
      <c r="AC24" s="31">
        <f t="shared" si="4"/>
        <v>46032</v>
      </c>
      <c r="AD24" s="31">
        <f t="shared" si="4"/>
        <v>46039</v>
      </c>
      <c r="AE24" s="31">
        <f t="shared" si="4"/>
        <v>46046</v>
      </c>
      <c r="AF24" s="31">
        <f t="shared" si="4"/>
        <v>46053</v>
      </c>
      <c r="AG24" s="31">
        <f t="shared" si="4"/>
        <v>46060</v>
      </c>
      <c r="AH24" s="31">
        <f t="shared" si="4"/>
        <v>46067</v>
      </c>
      <c r="AI24" s="31">
        <f t="shared" si="4"/>
        <v>46074</v>
      </c>
      <c r="AJ24" s="31">
        <f t="shared" si="4"/>
        <v>46081</v>
      </c>
      <c r="AK24" s="31">
        <f t="shared" si="4"/>
        <v>46088</v>
      </c>
      <c r="AL24" s="31">
        <f t="shared" si="4"/>
        <v>46095</v>
      </c>
      <c r="AM24" s="31">
        <f t="shared" si="4"/>
        <v>46102</v>
      </c>
      <c r="AN24" s="31">
        <f t="shared" si="4"/>
        <v>46109</v>
      </c>
      <c r="AO24" s="31">
        <f t="shared" si="4"/>
        <v>46116</v>
      </c>
      <c r="AP24" s="31">
        <f t="shared" si="4"/>
        <v>46123</v>
      </c>
      <c r="AQ24" s="31">
        <f t="shared" si="4"/>
        <v>46130</v>
      </c>
      <c r="AR24" s="31">
        <f t="shared" si="4"/>
        <v>46137</v>
      </c>
      <c r="AS24" s="31">
        <f t="shared" si="4"/>
        <v>46144</v>
      </c>
      <c r="AT24" s="31">
        <f t="shared" si="4"/>
        <v>46151</v>
      </c>
      <c r="AU24" s="31">
        <f t="shared" si="4"/>
        <v>46158</v>
      </c>
      <c r="AV24" s="31">
        <f t="shared" si="4"/>
        <v>46165</v>
      </c>
      <c r="AW24" s="31">
        <f t="shared" si="4"/>
        <v>46172</v>
      </c>
      <c r="AX24" s="31">
        <f t="shared" si="4"/>
        <v>46179</v>
      </c>
      <c r="AY24" s="31">
        <f t="shared" si="4"/>
        <v>46186</v>
      </c>
      <c r="AZ24" s="31">
        <f t="shared" si="4"/>
        <v>46193</v>
      </c>
      <c r="BA24" s="31">
        <f t="shared" si="4"/>
        <v>46200</v>
      </c>
      <c r="BB24" s="31">
        <f t="shared" si="4"/>
        <v>46207</v>
      </c>
      <c r="BC24" s="31">
        <f t="shared" si="4"/>
        <v>46214</v>
      </c>
      <c r="BD24" s="31">
        <f t="shared" si="4"/>
        <v>46221</v>
      </c>
      <c r="BE24" s="31">
        <f t="shared" si="4"/>
        <v>46228</v>
      </c>
      <c r="BJ24" s="21"/>
    </row>
    <row r="25" spans="2:71">
      <c r="B25" s="146" t="str">
        <f>G13&amp;" TARGET"</f>
        <v>Employee AI Tool Adoption Rate TARGET</v>
      </c>
      <c r="C25" s="147"/>
      <c r="D25" s="147"/>
      <c r="E25" s="148"/>
      <c r="F25" s="59">
        <v>6</v>
      </c>
      <c r="G25" s="59">
        <v>6</v>
      </c>
      <c r="H25" s="59">
        <v>6</v>
      </c>
      <c r="I25" s="59">
        <v>6</v>
      </c>
      <c r="J25" s="59">
        <v>6</v>
      </c>
      <c r="K25" s="59">
        <v>6</v>
      </c>
      <c r="L25" s="59">
        <v>6</v>
      </c>
      <c r="M25" s="59">
        <v>6</v>
      </c>
      <c r="N25" s="59">
        <v>6</v>
      </c>
      <c r="O25" s="59">
        <v>6</v>
      </c>
      <c r="P25" s="59">
        <v>6</v>
      </c>
      <c r="Q25" s="59">
        <v>6</v>
      </c>
      <c r="R25" s="59">
        <v>6</v>
      </c>
      <c r="S25" s="59">
        <v>6</v>
      </c>
      <c r="T25" s="59">
        <v>6</v>
      </c>
      <c r="U25" s="59">
        <v>6</v>
      </c>
      <c r="V25" s="59">
        <v>6</v>
      </c>
      <c r="W25" s="59">
        <v>6</v>
      </c>
      <c r="X25" s="59">
        <v>6</v>
      </c>
      <c r="Y25" s="59">
        <v>6</v>
      </c>
      <c r="Z25" s="59">
        <v>6</v>
      </c>
      <c r="AA25" s="59">
        <v>6</v>
      </c>
      <c r="AB25" s="59">
        <v>6</v>
      </c>
      <c r="AC25" s="59">
        <v>6</v>
      </c>
      <c r="AD25" s="59">
        <v>6</v>
      </c>
      <c r="AE25" s="59">
        <v>6</v>
      </c>
      <c r="AF25" s="59">
        <v>6</v>
      </c>
      <c r="AG25" s="59">
        <v>6</v>
      </c>
      <c r="AH25" s="59">
        <v>6</v>
      </c>
      <c r="AI25" s="59">
        <v>6</v>
      </c>
      <c r="AJ25" s="59">
        <v>6</v>
      </c>
      <c r="AK25" s="59">
        <v>6</v>
      </c>
      <c r="AL25" s="59">
        <v>6</v>
      </c>
      <c r="AM25" s="59">
        <v>6</v>
      </c>
      <c r="AN25" s="59">
        <v>6</v>
      </c>
      <c r="AO25" s="59">
        <v>6</v>
      </c>
      <c r="AP25" s="59">
        <v>6</v>
      </c>
      <c r="AQ25" s="59">
        <v>6</v>
      </c>
      <c r="AR25" s="59">
        <v>6</v>
      </c>
      <c r="AS25" s="59">
        <v>6</v>
      </c>
      <c r="AT25" s="59">
        <v>6</v>
      </c>
      <c r="AU25" s="59">
        <v>6</v>
      </c>
      <c r="AV25" s="59">
        <v>6</v>
      </c>
      <c r="AW25" s="59">
        <v>6</v>
      </c>
      <c r="AX25" s="59">
        <v>6</v>
      </c>
      <c r="AY25" s="59">
        <v>6</v>
      </c>
      <c r="AZ25" s="59">
        <v>6</v>
      </c>
      <c r="BA25" s="59">
        <v>6</v>
      </c>
      <c r="BB25" s="59">
        <v>6</v>
      </c>
      <c r="BC25" s="59">
        <v>6</v>
      </c>
      <c r="BD25" s="59">
        <v>6</v>
      </c>
      <c r="BE25" s="59">
        <v>6</v>
      </c>
    </row>
    <row r="26" spans="2:71">
      <c r="B26" s="146" t="s">
        <v>85</v>
      </c>
      <c r="C26" s="147"/>
      <c r="D26" s="147"/>
      <c r="E26" s="148"/>
      <c r="F26" s="59">
        <v>1</v>
      </c>
      <c r="G26" s="59">
        <v>1</v>
      </c>
      <c r="H26" s="59">
        <v>1</v>
      </c>
      <c r="I26" s="59">
        <v>1</v>
      </c>
      <c r="J26" s="59">
        <v>1</v>
      </c>
      <c r="K26" s="59">
        <v>1</v>
      </c>
      <c r="L26" s="59">
        <v>1</v>
      </c>
      <c r="M26" s="59">
        <v>1</v>
      </c>
      <c r="N26" s="59">
        <v>1</v>
      </c>
      <c r="O26" s="59">
        <v>3</v>
      </c>
      <c r="P26" s="59">
        <v>3</v>
      </c>
      <c r="Q26" s="59">
        <v>3</v>
      </c>
      <c r="R26" s="59">
        <v>4</v>
      </c>
      <c r="S26" s="59">
        <v>6</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-5</v>
      </c>
      <c r="G27" s="60">
        <f t="shared" ref="G27:BE27" si="5">G26-G25</f>
        <v>-5</v>
      </c>
      <c r="H27" s="60">
        <f t="shared" si="5"/>
        <v>-5</v>
      </c>
      <c r="I27" s="60">
        <f t="shared" si="5"/>
        <v>-5</v>
      </c>
      <c r="J27" s="60">
        <f t="shared" si="5"/>
        <v>-5</v>
      </c>
      <c r="K27" s="60">
        <f t="shared" si="5"/>
        <v>-5</v>
      </c>
      <c r="L27" s="60">
        <f t="shared" si="5"/>
        <v>-5</v>
      </c>
      <c r="M27" s="60">
        <f t="shared" si="5"/>
        <v>-5</v>
      </c>
      <c r="N27" s="60">
        <f t="shared" si="5"/>
        <v>-5</v>
      </c>
      <c r="O27" s="60">
        <f t="shared" si="5"/>
        <v>-3</v>
      </c>
      <c r="P27" s="60">
        <f t="shared" si="5"/>
        <v>-3</v>
      </c>
      <c r="Q27" s="60">
        <f t="shared" si="5"/>
        <v>-3</v>
      </c>
      <c r="R27" s="60">
        <f t="shared" si="5"/>
        <v>-2</v>
      </c>
      <c r="S27" s="60">
        <f t="shared" si="5"/>
        <v>0</v>
      </c>
      <c r="T27" s="60">
        <f t="shared" si="5"/>
        <v>-6</v>
      </c>
      <c r="U27" s="60">
        <f t="shared" si="5"/>
        <v>-6</v>
      </c>
      <c r="V27" s="60">
        <f t="shared" si="5"/>
        <v>-6</v>
      </c>
      <c r="W27" s="60">
        <f t="shared" si="5"/>
        <v>-6</v>
      </c>
      <c r="X27" s="60">
        <f t="shared" si="5"/>
        <v>-6</v>
      </c>
      <c r="Y27" s="60">
        <f t="shared" si="5"/>
        <v>-6</v>
      </c>
      <c r="Z27" s="60">
        <f t="shared" si="5"/>
        <v>-6</v>
      </c>
      <c r="AA27" s="60">
        <f t="shared" si="5"/>
        <v>-6</v>
      </c>
      <c r="AB27" s="60">
        <f t="shared" si="5"/>
        <v>-6</v>
      </c>
      <c r="AC27" s="60">
        <f t="shared" si="5"/>
        <v>-6</v>
      </c>
      <c r="AD27" s="60">
        <f t="shared" si="5"/>
        <v>-6</v>
      </c>
      <c r="AE27" s="60">
        <f t="shared" si="5"/>
        <v>-6</v>
      </c>
      <c r="AF27" s="60">
        <f t="shared" si="5"/>
        <v>-6</v>
      </c>
      <c r="AG27" s="60">
        <f t="shared" si="5"/>
        <v>-6</v>
      </c>
      <c r="AH27" s="60">
        <f t="shared" si="5"/>
        <v>-6</v>
      </c>
      <c r="AI27" s="60">
        <f t="shared" si="5"/>
        <v>-6</v>
      </c>
      <c r="AJ27" s="60">
        <f t="shared" si="5"/>
        <v>-6</v>
      </c>
      <c r="AK27" s="60">
        <f t="shared" si="5"/>
        <v>-6</v>
      </c>
      <c r="AL27" s="60">
        <f t="shared" si="5"/>
        <v>-6</v>
      </c>
      <c r="AM27" s="60">
        <f t="shared" si="5"/>
        <v>-6</v>
      </c>
      <c r="AN27" s="60">
        <f t="shared" si="5"/>
        <v>-6</v>
      </c>
      <c r="AO27" s="60">
        <f t="shared" si="5"/>
        <v>-6</v>
      </c>
      <c r="AP27" s="60">
        <f t="shared" si="5"/>
        <v>-6</v>
      </c>
      <c r="AQ27" s="60">
        <f t="shared" si="5"/>
        <v>-6</v>
      </c>
      <c r="AR27" s="60">
        <f t="shared" si="5"/>
        <v>-6</v>
      </c>
      <c r="AS27" s="60">
        <f t="shared" si="5"/>
        <v>-6</v>
      </c>
      <c r="AT27" s="60">
        <f t="shared" si="5"/>
        <v>-6</v>
      </c>
      <c r="AU27" s="60">
        <f t="shared" si="5"/>
        <v>-6</v>
      </c>
      <c r="AV27" s="60">
        <f t="shared" si="5"/>
        <v>-6</v>
      </c>
      <c r="AW27" s="60">
        <f t="shared" si="5"/>
        <v>-6</v>
      </c>
      <c r="AX27" s="60">
        <f t="shared" si="5"/>
        <v>-6</v>
      </c>
      <c r="AY27" s="60">
        <f t="shared" si="5"/>
        <v>-6</v>
      </c>
      <c r="AZ27" s="60">
        <f t="shared" si="5"/>
        <v>-6</v>
      </c>
      <c r="BA27" s="60">
        <f t="shared" si="5"/>
        <v>-6</v>
      </c>
      <c r="BB27" s="60">
        <f t="shared" si="5"/>
        <v>-6</v>
      </c>
      <c r="BC27" s="60">
        <f t="shared" si="5"/>
        <v>-6</v>
      </c>
      <c r="BD27" s="60">
        <f t="shared" si="5"/>
        <v>-6</v>
      </c>
      <c r="BE27" s="60">
        <f t="shared" si="5"/>
        <v>-6</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Employee Productivity Gains TARGET</v>
      </c>
      <c r="C30" s="147"/>
      <c r="D30" s="147"/>
      <c r="E30" s="148"/>
      <c r="F30" s="59">
        <v>20</v>
      </c>
      <c r="G30" s="59">
        <f>F30</f>
        <v>20</v>
      </c>
      <c r="H30" s="59">
        <f t="shared" ref="H30:BE30" si="6">G30</f>
        <v>20</v>
      </c>
      <c r="I30" s="59">
        <f t="shared" si="6"/>
        <v>20</v>
      </c>
      <c r="J30" s="59">
        <f t="shared" si="6"/>
        <v>20</v>
      </c>
      <c r="K30" s="59">
        <f t="shared" si="6"/>
        <v>20</v>
      </c>
      <c r="L30" s="59">
        <f t="shared" si="6"/>
        <v>20</v>
      </c>
      <c r="M30" s="59">
        <f t="shared" si="6"/>
        <v>20</v>
      </c>
      <c r="N30" s="59">
        <f t="shared" si="6"/>
        <v>20</v>
      </c>
      <c r="O30" s="59">
        <f t="shared" si="6"/>
        <v>20</v>
      </c>
      <c r="P30" s="59">
        <f t="shared" si="6"/>
        <v>20</v>
      </c>
      <c r="Q30" s="59">
        <f t="shared" si="6"/>
        <v>20</v>
      </c>
      <c r="R30" s="59">
        <f t="shared" si="6"/>
        <v>20</v>
      </c>
      <c r="S30" s="59">
        <f t="shared" si="6"/>
        <v>20</v>
      </c>
      <c r="T30" s="59">
        <f t="shared" si="6"/>
        <v>20</v>
      </c>
      <c r="U30" s="59">
        <f t="shared" si="6"/>
        <v>20</v>
      </c>
      <c r="V30" s="59">
        <f t="shared" si="6"/>
        <v>20</v>
      </c>
      <c r="W30" s="59">
        <f t="shared" si="6"/>
        <v>20</v>
      </c>
      <c r="X30" s="59">
        <f t="shared" si="6"/>
        <v>20</v>
      </c>
      <c r="Y30" s="59">
        <f t="shared" si="6"/>
        <v>20</v>
      </c>
      <c r="Z30" s="59">
        <f t="shared" si="6"/>
        <v>20</v>
      </c>
      <c r="AA30" s="59">
        <f t="shared" si="6"/>
        <v>20</v>
      </c>
      <c r="AB30" s="59">
        <f t="shared" si="6"/>
        <v>20</v>
      </c>
      <c r="AC30" s="59">
        <f t="shared" si="6"/>
        <v>20</v>
      </c>
      <c r="AD30" s="59">
        <f t="shared" si="6"/>
        <v>20</v>
      </c>
      <c r="AE30" s="59">
        <f t="shared" si="6"/>
        <v>20</v>
      </c>
      <c r="AF30" s="59">
        <f t="shared" si="6"/>
        <v>20</v>
      </c>
      <c r="AG30" s="59">
        <f t="shared" si="6"/>
        <v>20</v>
      </c>
      <c r="AH30" s="59">
        <f t="shared" si="6"/>
        <v>20</v>
      </c>
      <c r="AI30" s="59">
        <f t="shared" si="6"/>
        <v>20</v>
      </c>
      <c r="AJ30" s="59">
        <f t="shared" si="6"/>
        <v>20</v>
      </c>
      <c r="AK30" s="59">
        <f t="shared" si="6"/>
        <v>20</v>
      </c>
      <c r="AL30" s="59">
        <f t="shared" si="6"/>
        <v>20</v>
      </c>
      <c r="AM30" s="59">
        <f t="shared" si="6"/>
        <v>20</v>
      </c>
      <c r="AN30" s="59">
        <f t="shared" si="6"/>
        <v>20</v>
      </c>
      <c r="AO30" s="59">
        <f t="shared" si="6"/>
        <v>20</v>
      </c>
      <c r="AP30" s="59">
        <f t="shared" si="6"/>
        <v>20</v>
      </c>
      <c r="AQ30" s="59">
        <f t="shared" si="6"/>
        <v>20</v>
      </c>
      <c r="AR30" s="59">
        <f t="shared" si="6"/>
        <v>20</v>
      </c>
      <c r="AS30" s="59">
        <f t="shared" si="6"/>
        <v>20</v>
      </c>
      <c r="AT30" s="59">
        <f t="shared" si="6"/>
        <v>20</v>
      </c>
      <c r="AU30" s="59">
        <f t="shared" si="6"/>
        <v>20</v>
      </c>
      <c r="AV30" s="59">
        <f t="shared" si="6"/>
        <v>20</v>
      </c>
      <c r="AW30" s="59">
        <f t="shared" si="6"/>
        <v>20</v>
      </c>
      <c r="AX30" s="59">
        <f t="shared" si="6"/>
        <v>20</v>
      </c>
      <c r="AY30" s="59">
        <f t="shared" si="6"/>
        <v>20</v>
      </c>
      <c r="AZ30" s="59">
        <f t="shared" si="6"/>
        <v>20</v>
      </c>
      <c r="BA30" s="59">
        <f t="shared" si="6"/>
        <v>20</v>
      </c>
      <c r="BB30" s="59">
        <f t="shared" si="6"/>
        <v>20</v>
      </c>
      <c r="BC30" s="59">
        <f t="shared" si="6"/>
        <v>20</v>
      </c>
      <c r="BD30" s="59">
        <f t="shared" si="6"/>
        <v>20</v>
      </c>
      <c r="BE30" s="59">
        <f t="shared" si="6"/>
        <v>20</v>
      </c>
    </row>
    <row r="31" spans="2:71">
      <c r="B31" s="146" t="s">
        <v>85</v>
      </c>
      <c r="C31" s="147"/>
      <c r="D31" s="147"/>
      <c r="E31" s="148"/>
      <c r="F31" s="59">
        <v>5</v>
      </c>
      <c r="G31" s="59">
        <v>5</v>
      </c>
      <c r="H31" s="59">
        <v>5</v>
      </c>
      <c r="I31" s="59">
        <v>5</v>
      </c>
      <c r="J31" s="59">
        <v>5</v>
      </c>
      <c r="K31" s="59">
        <v>5</v>
      </c>
      <c r="L31" s="59">
        <v>5</v>
      </c>
      <c r="M31" s="59">
        <v>5</v>
      </c>
      <c r="N31" s="59">
        <v>5</v>
      </c>
      <c r="O31" s="59">
        <v>15</v>
      </c>
      <c r="P31" s="59">
        <v>15</v>
      </c>
      <c r="Q31" s="59">
        <v>20</v>
      </c>
      <c r="R31" s="59">
        <v>20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-15</v>
      </c>
      <c r="G32" s="60">
        <f t="shared" ref="G32:BE32" si="7">G31-G30</f>
        <v>-15</v>
      </c>
      <c r="H32" s="60">
        <f t="shared" si="7"/>
        <v>-15</v>
      </c>
      <c r="I32" s="60">
        <f t="shared" si="7"/>
        <v>-15</v>
      </c>
      <c r="J32" s="60">
        <f t="shared" si="7"/>
        <v>-15</v>
      </c>
      <c r="K32" s="60">
        <f t="shared" si="7"/>
        <v>-15</v>
      </c>
      <c r="L32" s="60">
        <f t="shared" si="7"/>
        <v>-15</v>
      </c>
      <c r="M32" s="60">
        <f t="shared" si="7"/>
        <v>-15</v>
      </c>
      <c r="N32" s="60">
        <f t="shared" si="7"/>
        <v>-15</v>
      </c>
      <c r="O32" s="60">
        <f t="shared" si="7"/>
        <v>-5</v>
      </c>
      <c r="P32" s="60">
        <f t="shared" si="7"/>
        <v>-5</v>
      </c>
      <c r="Q32" s="60">
        <f t="shared" si="7"/>
        <v>0</v>
      </c>
      <c r="R32" s="60">
        <f t="shared" si="7"/>
        <v>0</v>
      </c>
      <c r="S32" s="60">
        <f t="shared" si="7"/>
        <v>-20</v>
      </c>
      <c r="T32" s="60">
        <f t="shared" si="7"/>
        <v>-20</v>
      </c>
      <c r="U32" s="60">
        <f t="shared" si="7"/>
        <v>-20</v>
      </c>
      <c r="V32" s="60">
        <f t="shared" si="7"/>
        <v>-20</v>
      </c>
      <c r="W32" s="60">
        <f t="shared" si="7"/>
        <v>-20</v>
      </c>
      <c r="X32" s="60">
        <f t="shared" si="7"/>
        <v>-20</v>
      </c>
      <c r="Y32" s="60">
        <f t="shared" si="7"/>
        <v>-20</v>
      </c>
      <c r="Z32" s="60">
        <f t="shared" si="7"/>
        <v>-20</v>
      </c>
      <c r="AA32" s="60">
        <f t="shared" si="7"/>
        <v>-20</v>
      </c>
      <c r="AB32" s="60">
        <f t="shared" si="7"/>
        <v>-20</v>
      </c>
      <c r="AC32" s="60">
        <f t="shared" si="7"/>
        <v>-20</v>
      </c>
      <c r="AD32" s="60">
        <f t="shared" si="7"/>
        <v>-20</v>
      </c>
      <c r="AE32" s="60">
        <f t="shared" si="7"/>
        <v>-20</v>
      </c>
      <c r="AF32" s="60">
        <f t="shared" si="7"/>
        <v>-20</v>
      </c>
      <c r="AG32" s="60">
        <f t="shared" si="7"/>
        <v>-20</v>
      </c>
      <c r="AH32" s="60">
        <f t="shared" si="7"/>
        <v>-20</v>
      </c>
      <c r="AI32" s="60">
        <f t="shared" si="7"/>
        <v>-20</v>
      </c>
      <c r="AJ32" s="60">
        <f t="shared" si="7"/>
        <v>-20</v>
      </c>
      <c r="AK32" s="60">
        <f t="shared" si="7"/>
        <v>-20</v>
      </c>
      <c r="AL32" s="60">
        <f t="shared" si="7"/>
        <v>-20</v>
      </c>
      <c r="AM32" s="60">
        <f t="shared" si="7"/>
        <v>-20</v>
      </c>
      <c r="AN32" s="60">
        <f t="shared" si="7"/>
        <v>-20</v>
      </c>
      <c r="AO32" s="60">
        <f t="shared" si="7"/>
        <v>-20</v>
      </c>
      <c r="AP32" s="60">
        <f t="shared" si="7"/>
        <v>-20</v>
      </c>
      <c r="AQ32" s="60">
        <f t="shared" si="7"/>
        <v>-20</v>
      </c>
      <c r="AR32" s="60">
        <f t="shared" si="7"/>
        <v>-20</v>
      </c>
      <c r="AS32" s="60">
        <f t="shared" si="7"/>
        <v>-20</v>
      </c>
      <c r="AT32" s="60">
        <f t="shared" si="7"/>
        <v>-20</v>
      </c>
      <c r="AU32" s="60">
        <f t="shared" si="7"/>
        <v>-20</v>
      </c>
      <c r="AV32" s="60">
        <f t="shared" si="7"/>
        <v>-20</v>
      </c>
      <c r="AW32" s="60">
        <f t="shared" si="7"/>
        <v>-20</v>
      </c>
      <c r="AX32" s="60">
        <f t="shared" si="7"/>
        <v>-20</v>
      </c>
      <c r="AY32" s="60">
        <f t="shared" si="7"/>
        <v>-20</v>
      </c>
      <c r="AZ32" s="60">
        <f t="shared" si="7"/>
        <v>-20</v>
      </c>
      <c r="BA32" s="60">
        <f t="shared" si="7"/>
        <v>-20</v>
      </c>
      <c r="BB32" s="60">
        <f t="shared" si="7"/>
        <v>-20</v>
      </c>
      <c r="BC32" s="60">
        <f t="shared" si="7"/>
        <v>-20</v>
      </c>
      <c r="BD32" s="60">
        <f t="shared" si="7"/>
        <v>-20</v>
      </c>
      <c r="BE32" s="60">
        <f t="shared" si="7"/>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v>0</v>
      </c>
      <c r="G35" s="59">
        <f>F35</f>
        <v>0</v>
      </c>
      <c r="H35" s="59">
        <f t="shared" ref="H35:BE35" si="8">G35</f>
        <v>0</v>
      </c>
      <c r="I35" s="59">
        <f t="shared" si="8"/>
        <v>0</v>
      </c>
      <c r="J35" s="59">
        <f t="shared" si="8"/>
        <v>0</v>
      </c>
      <c r="K35" s="59">
        <f t="shared" si="8"/>
        <v>0</v>
      </c>
      <c r="L35" s="59">
        <f t="shared" si="8"/>
        <v>0</v>
      </c>
      <c r="M35" s="59">
        <f t="shared" si="8"/>
        <v>0</v>
      </c>
      <c r="N35" s="59">
        <f t="shared" si="8"/>
        <v>0</v>
      </c>
      <c r="O35" s="59">
        <f t="shared" si="8"/>
        <v>0</v>
      </c>
      <c r="P35" s="59">
        <f t="shared" si="8"/>
        <v>0</v>
      </c>
      <c r="Q35" s="59">
        <f t="shared" si="8"/>
        <v>0</v>
      </c>
      <c r="R35" s="59">
        <f t="shared" si="8"/>
        <v>0</v>
      </c>
      <c r="S35" s="59">
        <f t="shared" si="8"/>
        <v>0</v>
      </c>
      <c r="T35" s="59">
        <f t="shared" si="8"/>
        <v>0</v>
      </c>
      <c r="U35" s="59">
        <f t="shared" si="8"/>
        <v>0</v>
      </c>
      <c r="V35" s="59">
        <f t="shared" si="8"/>
        <v>0</v>
      </c>
      <c r="W35" s="59">
        <f t="shared" si="8"/>
        <v>0</v>
      </c>
      <c r="X35" s="59">
        <f t="shared" si="8"/>
        <v>0</v>
      </c>
      <c r="Y35" s="59">
        <f t="shared" si="8"/>
        <v>0</v>
      </c>
      <c r="Z35" s="59">
        <f t="shared" si="8"/>
        <v>0</v>
      </c>
      <c r="AA35" s="59">
        <f t="shared" si="8"/>
        <v>0</v>
      </c>
      <c r="AB35" s="59">
        <f t="shared" si="8"/>
        <v>0</v>
      </c>
      <c r="AC35" s="59">
        <f t="shared" si="8"/>
        <v>0</v>
      </c>
      <c r="AD35" s="59">
        <f t="shared" si="8"/>
        <v>0</v>
      </c>
      <c r="AE35" s="59">
        <f t="shared" si="8"/>
        <v>0</v>
      </c>
      <c r="AF35" s="59">
        <f t="shared" si="8"/>
        <v>0</v>
      </c>
      <c r="AG35" s="59">
        <f t="shared" si="8"/>
        <v>0</v>
      </c>
      <c r="AH35" s="59">
        <f t="shared" si="8"/>
        <v>0</v>
      </c>
      <c r="AI35" s="59">
        <f t="shared" si="8"/>
        <v>0</v>
      </c>
      <c r="AJ35" s="59">
        <f t="shared" si="8"/>
        <v>0</v>
      </c>
      <c r="AK35" s="59">
        <f t="shared" si="8"/>
        <v>0</v>
      </c>
      <c r="AL35" s="59">
        <f t="shared" si="8"/>
        <v>0</v>
      </c>
      <c r="AM35" s="59">
        <f t="shared" si="8"/>
        <v>0</v>
      </c>
      <c r="AN35" s="59">
        <f t="shared" si="8"/>
        <v>0</v>
      </c>
      <c r="AO35" s="59">
        <f t="shared" si="8"/>
        <v>0</v>
      </c>
      <c r="AP35" s="59">
        <f t="shared" si="8"/>
        <v>0</v>
      </c>
      <c r="AQ35" s="59">
        <f t="shared" si="8"/>
        <v>0</v>
      </c>
      <c r="AR35" s="59">
        <f t="shared" si="8"/>
        <v>0</v>
      </c>
      <c r="AS35" s="59">
        <f t="shared" si="8"/>
        <v>0</v>
      </c>
      <c r="AT35" s="59">
        <f t="shared" si="8"/>
        <v>0</v>
      </c>
      <c r="AU35" s="59">
        <f t="shared" si="8"/>
        <v>0</v>
      </c>
      <c r="AV35" s="59">
        <f t="shared" si="8"/>
        <v>0</v>
      </c>
      <c r="AW35" s="59">
        <f t="shared" si="8"/>
        <v>0</v>
      </c>
      <c r="AX35" s="59">
        <f t="shared" si="8"/>
        <v>0</v>
      </c>
      <c r="AY35" s="59">
        <f t="shared" si="8"/>
        <v>0</v>
      </c>
      <c r="AZ35" s="59">
        <f t="shared" si="8"/>
        <v>0</v>
      </c>
      <c r="BA35" s="59">
        <f t="shared" si="8"/>
        <v>0</v>
      </c>
      <c r="BB35" s="59">
        <f t="shared" si="8"/>
        <v>0</v>
      </c>
      <c r="BC35" s="59">
        <f t="shared" si="8"/>
        <v>0</v>
      </c>
      <c r="BD35" s="59">
        <f t="shared" si="8"/>
        <v>0</v>
      </c>
      <c r="BE35" s="59">
        <f t="shared" si="8"/>
        <v>0</v>
      </c>
    </row>
    <row r="36" spans="2:62">
      <c r="B36" s="146" t="s">
        <v>85</v>
      </c>
      <c r="C36" s="147"/>
      <c r="D36" s="147"/>
      <c r="E36" s="148"/>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59">
        <v>0</v>
      </c>
      <c r="AE36" s="59">
        <v>0</v>
      </c>
      <c r="AF36" s="59">
        <v>0</v>
      </c>
      <c r="AG36" s="59">
        <v>0</v>
      </c>
      <c r="AH36" s="59">
        <v>0</v>
      </c>
      <c r="AI36" s="59">
        <v>0</v>
      </c>
      <c r="AJ36" s="59">
        <v>0</v>
      </c>
      <c r="AK36" s="59">
        <v>0</v>
      </c>
      <c r="AL36" s="59">
        <v>0</v>
      </c>
      <c r="AM36" s="59">
        <v>0</v>
      </c>
      <c r="AN36" s="59">
        <v>0</v>
      </c>
      <c r="AO36" s="59">
        <v>0</v>
      </c>
      <c r="AP36" s="59">
        <v>0</v>
      </c>
      <c r="AQ36" s="59">
        <v>0</v>
      </c>
      <c r="AR36" s="59">
        <v>0</v>
      </c>
      <c r="AS36" s="59">
        <v>0</v>
      </c>
      <c r="AT36" s="59">
        <v>0</v>
      </c>
      <c r="AU36" s="59">
        <v>0</v>
      </c>
      <c r="AV36" s="59">
        <v>0</v>
      </c>
      <c r="AW36" s="59">
        <v>0</v>
      </c>
      <c r="AX36" s="59">
        <v>0</v>
      </c>
      <c r="AY36" s="59">
        <v>0</v>
      </c>
      <c r="AZ36" s="59">
        <v>0</v>
      </c>
      <c r="BA36" s="59">
        <v>0</v>
      </c>
      <c r="BB36" s="59">
        <v>0</v>
      </c>
      <c r="BC36" s="59">
        <v>0</v>
      </c>
      <c r="BD36" s="59">
        <v>0</v>
      </c>
      <c r="BE36" s="59">
        <v>0</v>
      </c>
    </row>
    <row r="37" spans="2:62">
      <c r="B37" s="146" t="s">
        <v>86</v>
      </c>
      <c r="C37" s="147"/>
      <c r="D37" s="147"/>
      <c r="E37" s="148"/>
      <c r="F37" s="60">
        <f>F36-F35</f>
        <v>0</v>
      </c>
      <c r="G37" s="60">
        <f t="shared" ref="G37:BE37" si="9">G36-G35</f>
        <v>0</v>
      </c>
      <c r="H37" s="60">
        <f t="shared" si="9"/>
        <v>0</v>
      </c>
      <c r="I37" s="60">
        <f t="shared" si="9"/>
        <v>0</v>
      </c>
      <c r="J37" s="60">
        <f t="shared" si="9"/>
        <v>0</v>
      </c>
      <c r="K37" s="60">
        <f t="shared" si="9"/>
        <v>0</v>
      </c>
      <c r="L37" s="60">
        <f t="shared" si="9"/>
        <v>0</v>
      </c>
      <c r="M37" s="60">
        <f t="shared" si="9"/>
        <v>0</v>
      </c>
      <c r="N37" s="60">
        <f t="shared" si="9"/>
        <v>0</v>
      </c>
      <c r="O37" s="60">
        <f t="shared" si="9"/>
        <v>0</v>
      </c>
      <c r="P37" s="60">
        <f t="shared" si="9"/>
        <v>0</v>
      </c>
      <c r="Q37" s="60">
        <f t="shared" si="9"/>
        <v>0</v>
      </c>
      <c r="R37" s="60">
        <f t="shared" si="9"/>
        <v>0</v>
      </c>
      <c r="S37" s="60">
        <f t="shared" si="9"/>
        <v>0</v>
      </c>
      <c r="T37" s="60">
        <f t="shared" si="9"/>
        <v>0</v>
      </c>
      <c r="U37" s="60">
        <f t="shared" si="9"/>
        <v>0</v>
      </c>
      <c r="V37" s="60">
        <f t="shared" si="9"/>
        <v>0</v>
      </c>
      <c r="W37" s="60">
        <f t="shared" si="9"/>
        <v>0</v>
      </c>
      <c r="X37" s="60">
        <f t="shared" si="9"/>
        <v>0</v>
      </c>
      <c r="Y37" s="60">
        <f t="shared" si="9"/>
        <v>0</v>
      </c>
      <c r="Z37" s="60">
        <f t="shared" si="9"/>
        <v>0</v>
      </c>
      <c r="AA37" s="60">
        <f t="shared" si="9"/>
        <v>0</v>
      </c>
      <c r="AB37" s="60">
        <f t="shared" si="9"/>
        <v>0</v>
      </c>
      <c r="AC37" s="60">
        <f t="shared" si="9"/>
        <v>0</v>
      </c>
      <c r="AD37" s="60">
        <f t="shared" si="9"/>
        <v>0</v>
      </c>
      <c r="AE37" s="60">
        <f t="shared" si="9"/>
        <v>0</v>
      </c>
      <c r="AF37" s="60">
        <f t="shared" si="9"/>
        <v>0</v>
      </c>
      <c r="AG37" s="60">
        <f t="shared" si="9"/>
        <v>0</v>
      </c>
      <c r="AH37" s="60">
        <f t="shared" si="9"/>
        <v>0</v>
      </c>
      <c r="AI37" s="60">
        <f t="shared" si="9"/>
        <v>0</v>
      </c>
      <c r="AJ37" s="60">
        <f t="shared" si="9"/>
        <v>0</v>
      </c>
      <c r="AK37" s="60">
        <f t="shared" si="9"/>
        <v>0</v>
      </c>
      <c r="AL37" s="60">
        <f t="shared" si="9"/>
        <v>0</v>
      </c>
      <c r="AM37" s="60">
        <f t="shared" si="9"/>
        <v>0</v>
      </c>
      <c r="AN37" s="60">
        <f t="shared" si="9"/>
        <v>0</v>
      </c>
      <c r="AO37" s="60">
        <f t="shared" si="9"/>
        <v>0</v>
      </c>
      <c r="AP37" s="60">
        <f t="shared" si="9"/>
        <v>0</v>
      </c>
      <c r="AQ37" s="60">
        <f t="shared" si="9"/>
        <v>0</v>
      </c>
      <c r="AR37" s="60">
        <f t="shared" si="9"/>
        <v>0</v>
      </c>
      <c r="AS37" s="60">
        <f t="shared" si="9"/>
        <v>0</v>
      </c>
      <c r="AT37" s="60">
        <f t="shared" si="9"/>
        <v>0</v>
      </c>
      <c r="AU37" s="60">
        <f t="shared" si="9"/>
        <v>0</v>
      </c>
      <c r="AV37" s="60">
        <f t="shared" si="9"/>
        <v>0</v>
      </c>
      <c r="AW37" s="60">
        <f t="shared" si="9"/>
        <v>0</v>
      </c>
      <c r="AX37" s="60">
        <f t="shared" si="9"/>
        <v>0</v>
      </c>
      <c r="AY37" s="60">
        <f t="shared" si="9"/>
        <v>0</v>
      </c>
      <c r="AZ37" s="60">
        <f t="shared" si="9"/>
        <v>0</v>
      </c>
      <c r="BA37" s="60">
        <f t="shared" si="9"/>
        <v>0</v>
      </c>
      <c r="BB37" s="60">
        <f t="shared" si="9"/>
        <v>0</v>
      </c>
      <c r="BC37" s="60">
        <f t="shared" si="9"/>
        <v>0</v>
      </c>
      <c r="BD37" s="60">
        <f t="shared" si="9"/>
        <v>0</v>
      </c>
      <c r="BE37" s="60">
        <f t="shared" si="9"/>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10">IF($X$12="Revenue Impact",F35,0)</f>
        <v>0</v>
      </c>
      <c r="G41" s="33">
        <f t="shared" si="10"/>
        <v>0</v>
      </c>
      <c r="H41" s="33">
        <f t="shared" si="10"/>
        <v>0</v>
      </c>
      <c r="I41" s="33">
        <f t="shared" si="10"/>
        <v>0</v>
      </c>
      <c r="J41" s="33">
        <f t="shared" si="10"/>
        <v>0</v>
      </c>
      <c r="K41" s="33">
        <f t="shared" si="10"/>
        <v>0</v>
      </c>
      <c r="L41" s="33">
        <f t="shared" si="10"/>
        <v>0</v>
      </c>
      <c r="M41" s="33">
        <f t="shared" si="10"/>
        <v>0</v>
      </c>
      <c r="N41" s="33">
        <f t="shared" si="10"/>
        <v>0</v>
      </c>
      <c r="O41" s="33">
        <f t="shared" si="10"/>
        <v>0</v>
      </c>
      <c r="P41" s="33">
        <f t="shared" si="10"/>
        <v>0</v>
      </c>
      <c r="Q41" s="33">
        <f t="shared" si="10"/>
        <v>0</v>
      </c>
      <c r="R41" s="33">
        <f t="shared" si="10"/>
        <v>0</v>
      </c>
      <c r="S41" s="33">
        <f t="shared" si="10"/>
        <v>0</v>
      </c>
      <c r="T41" s="33">
        <f t="shared" si="10"/>
        <v>0</v>
      </c>
      <c r="U41" s="33">
        <f t="shared" si="10"/>
        <v>0</v>
      </c>
      <c r="V41" s="33">
        <f t="shared" si="10"/>
        <v>0</v>
      </c>
      <c r="W41" s="33">
        <f t="shared" si="10"/>
        <v>0</v>
      </c>
      <c r="X41" s="33">
        <f t="shared" si="10"/>
        <v>0</v>
      </c>
      <c r="Y41" s="33">
        <f t="shared" si="10"/>
        <v>0</v>
      </c>
      <c r="Z41" s="33">
        <f t="shared" si="10"/>
        <v>0</v>
      </c>
      <c r="AA41" s="33">
        <f t="shared" si="10"/>
        <v>0</v>
      </c>
      <c r="AB41" s="33">
        <f t="shared" si="10"/>
        <v>0</v>
      </c>
      <c r="AC41" s="33">
        <f t="shared" si="10"/>
        <v>0</v>
      </c>
      <c r="AD41" s="33">
        <f t="shared" si="10"/>
        <v>0</v>
      </c>
      <c r="AE41" s="33">
        <f t="shared" si="10"/>
        <v>0</v>
      </c>
      <c r="AF41" s="33">
        <f t="shared" si="10"/>
        <v>0</v>
      </c>
      <c r="AG41" s="33">
        <f t="shared" si="10"/>
        <v>0</v>
      </c>
      <c r="AH41" s="33">
        <f t="shared" si="10"/>
        <v>0</v>
      </c>
      <c r="AI41" s="33">
        <f t="shared" si="10"/>
        <v>0</v>
      </c>
      <c r="AJ41" s="33">
        <f t="shared" si="10"/>
        <v>0</v>
      </c>
      <c r="AK41" s="33">
        <f t="shared" si="10"/>
        <v>0</v>
      </c>
      <c r="AL41" s="33">
        <f t="shared" ref="AL41:BE41" si="11">IF($X$12="Revenue Impact",AL35,0)</f>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89</v>
      </c>
      <c r="C42" s="33"/>
      <c r="D42" s="33"/>
      <c r="E42" s="33"/>
      <c r="F42" s="33">
        <f t="shared" ref="F42:AK42" si="12">IF($X$12="Revenue Impact",F36,0)</f>
        <v>0</v>
      </c>
      <c r="G42" s="33">
        <f t="shared" si="12"/>
        <v>0</v>
      </c>
      <c r="H42" s="33">
        <f t="shared" si="12"/>
        <v>0</v>
      </c>
      <c r="I42" s="33">
        <f t="shared" si="12"/>
        <v>0</v>
      </c>
      <c r="J42" s="33">
        <f t="shared" si="12"/>
        <v>0</v>
      </c>
      <c r="K42" s="33">
        <f t="shared" si="12"/>
        <v>0</v>
      </c>
      <c r="L42" s="33">
        <f t="shared" si="12"/>
        <v>0</v>
      </c>
      <c r="M42" s="33">
        <f t="shared" si="12"/>
        <v>0</v>
      </c>
      <c r="N42" s="33">
        <f t="shared" si="12"/>
        <v>0</v>
      </c>
      <c r="O42" s="33">
        <f t="shared" si="12"/>
        <v>0</v>
      </c>
      <c r="P42" s="33">
        <f t="shared" si="12"/>
        <v>0</v>
      </c>
      <c r="Q42" s="33">
        <f t="shared" si="12"/>
        <v>0</v>
      </c>
      <c r="R42" s="33">
        <f t="shared" si="12"/>
        <v>0</v>
      </c>
      <c r="S42" s="33">
        <f t="shared" si="12"/>
        <v>0</v>
      </c>
      <c r="T42" s="33">
        <f t="shared" si="12"/>
        <v>0</v>
      </c>
      <c r="U42" s="33">
        <f t="shared" si="12"/>
        <v>0</v>
      </c>
      <c r="V42" s="33">
        <f t="shared" si="12"/>
        <v>0</v>
      </c>
      <c r="W42" s="33">
        <f t="shared" si="12"/>
        <v>0</v>
      </c>
      <c r="X42" s="33">
        <f t="shared" si="12"/>
        <v>0</v>
      </c>
      <c r="Y42" s="33">
        <f t="shared" si="12"/>
        <v>0</v>
      </c>
      <c r="Z42" s="33">
        <f t="shared" si="12"/>
        <v>0</v>
      </c>
      <c r="AA42" s="33">
        <f t="shared" si="12"/>
        <v>0</v>
      </c>
      <c r="AB42" s="33">
        <f t="shared" si="12"/>
        <v>0</v>
      </c>
      <c r="AC42" s="33">
        <f t="shared" si="12"/>
        <v>0</v>
      </c>
      <c r="AD42" s="33">
        <f t="shared" si="12"/>
        <v>0</v>
      </c>
      <c r="AE42" s="33">
        <f t="shared" si="12"/>
        <v>0</v>
      </c>
      <c r="AF42" s="33">
        <f t="shared" si="12"/>
        <v>0</v>
      </c>
      <c r="AG42" s="33">
        <f t="shared" si="12"/>
        <v>0</v>
      </c>
      <c r="AH42" s="33">
        <f t="shared" si="12"/>
        <v>0</v>
      </c>
      <c r="AI42" s="33">
        <f t="shared" si="12"/>
        <v>0</v>
      </c>
      <c r="AJ42" s="33">
        <f t="shared" si="12"/>
        <v>0</v>
      </c>
      <c r="AK42" s="33">
        <f t="shared" si="12"/>
        <v>0</v>
      </c>
      <c r="AL42" s="33">
        <f t="shared" ref="AL42:BE42" si="13">IF($X$12="Revenue Impact",AL36,0)</f>
        <v>0</v>
      </c>
      <c r="AM42" s="33">
        <f t="shared" si="13"/>
        <v>0</v>
      </c>
      <c r="AN42" s="33">
        <f t="shared" si="13"/>
        <v>0</v>
      </c>
      <c r="AO42" s="33">
        <f t="shared" si="13"/>
        <v>0</v>
      </c>
      <c r="AP42" s="33">
        <f t="shared" si="13"/>
        <v>0</v>
      </c>
      <c r="AQ42" s="33">
        <f t="shared" si="13"/>
        <v>0</v>
      </c>
      <c r="AR42" s="33">
        <f t="shared" si="13"/>
        <v>0</v>
      </c>
      <c r="AS42" s="33">
        <f t="shared" si="13"/>
        <v>0</v>
      </c>
      <c r="AT42" s="33">
        <f t="shared" si="13"/>
        <v>0</v>
      </c>
      <c r="AU42" s="33">
        <f t="shared" si="13"/>
        <v>0</v>
      </c>
      <c r="AV42" s="33">
        <f t="shared" si="13"/>
        <v>0</v>
      </c>
      <c r="AW42" s="33">
        <f t="shared" si="13"/>
        <v>0</v>
      </c>
      <c r="AX42" s="33">
        <f t="shared" si="13"/>
        <v>0</v>
      </c>
      <c r="AY42" s="33">
        <f t="shared" si="13"/>
        <v>0</v>
      </c>
      <c r="AZ42" s="33">
        <f t="shared" si="13"/>
        <v>0</v>
      </c>
      <c r="BA42" s="33">
        <f t="shared" si="13"/>
        <v>0</v>
      </c>
      <c r="BB42" s="33">
        <f t="shared" si="13"/>
        <v>0</v>
      </c>
      <c r="BC42" s="33">
        <f t="shared" si="13"/>
        <v>0</v>
      </c>
      <c r="BD42" s="33">
        <f t="shared" si="13"/>
        <v>0</v>
      </c>
      <c r="BE42" s="33">
        <f t="shared" si="13"/>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14">IF($X$12="Cost Savings",F35,0)</f>
        <v>0</v>
      </c>
      <c r="G44" s="33">
        <f t="shared" si="14"/>
        <v>0</v>
      </c>
      <c r="H44" s="33">
        <f t="shared" si="14"/>
        <v>0</v>
      </c>
      <c r="I44" s="33">
        <f t="shared" si="14"/>
        <v>0</v>
      </c>
      <c r="J44" s="33">
        <f t="shared" si="14"/>
        <v>0</v>
      </c>
      <c r="K44" s="33">
        <f t="shared" si="14"/>
        <v>0</v>
      </c>
      <c r="L44" s="33">
        <f t="shared" si="14"/>
        <v>0</v>
      </c>
      <c r="M44" s="33">
        <f t="shared" si="14"/>
        <v>0</v>
      </c>
      <c r="N44" s="33">
        <f t="shared" si="14"/>
        <v>0</v>
      </c>
      <c r="O44" s="33">
        <f t="shared" si="14"/>
        <v>0</v>
      </c>
      <c r="P44" s="33">
        <f t="shared" si="14"/>
        <v>0</v>
      </c>
      <c r="Q44" s="33">
        <f t="shared" si="14"/>
        <v>0</v>
      </c>
      <c r="R44" s="33">
        <f t="shared" si="14"/>
        <v>0</v>
      </c>
      <c r="S44" s="33">
        <f t="shared" si="14"/>
        <v>0</v>
      </c>
      <c r="T44" s="33">
        <f t="shared" si="14"/>
        <v>0</v>
      </c>
      <c r="U44" s="33">
        <f t="shared" si="14"/>
        <v>0</v>
      </c>
      <c r="V44" s="33">
        <f t="shared" si="14"/>
        <v>0</v>
      </c>
      <c r="W44" s="33">
        <f t="shared" si="14"/>
        <v>0</v>
      </c>
      <c r="X44" s="33">
        <f t="shared" si="14"/>
        <v>0</v>
      </c>
      <c r="Y44" s="33">
        <f t="shared" si="14"/>
        <v>0</v>
      </c>
      <c r="Z44" s="33">
        <f t="shared" si="14"/>
        <v>0</v>
      </c>
      <c r="AA44" s="33">
        <f t="shared" si="14"/>
        <v>0</v>
      </c>
      <c r="AB44" s="33">
        <f t="shared" si="14"/>
        <v>0</v>
      </c>
      <c r="AC44" s="33">
        <f t="shared" si="14"/>
        <v>0</v>
      </c>
      <c r="AD44" s="33">
        <f t="shared" si="14"/>
        <v>0</v>
      </c>
      <c r="AE44" s="33">
        <f t="shared" si="14"/>
        <v>0</v>
      </c>
      <c r="AF44" s="33">
        <f t="shared" si="14"/>
        <v>0</v>
      </c>
      <c r="AG44" s="33">
        <f t="shared" si="14"/>
        <v>0</v>
      </c>
      <c r="AH44" s="33">
        <f t="shared" si="14"/>
        <v>0</v>
      </c>
      <c r="AI44" s="33">
        <f t="shared" si="14"/>
        <v>0</v>
      </c>
      <c r="AJ44" s="33">
        <f t="shared" si="14"/>
        <v>0</v>
      </c>
      <c r="AK44" s="33">
        <f t="shared" si="14"/>
        <v>0</v>
      </c>
      <c r="AL44" s="33">
        <f t="shared" ref="AL44:BE44" si="15">IF($X$12="Cost Savings",AL35,0)</f>
        <v>0</v>
      </c>
      <c r="AM44" s="33">
        <f t="shared" si="15"/>
        <v>0</v>
      </c>
      <c r="AN44" s="33">
        <f t="shared" si="15"/>
        <v>0</v>
      </c>
      <c r="AO44" s="33">
        <f t="shared" si="15"/>
        <v>0</v>
      </c>
      <c r="AP44" s="33">
        <f t="shared" si="15"/>
        <v>0</v>
      </c>
      <c r="AQ44" s="33">
        <f t="shared" si="15"/>
        <v>0</v>
      </c>
      <c r="AR44" s="33">
        <f t="shared" si="15"/>
        <v>0</v>
      </c>
      <c r="AS44" s="33">
        <f t="shared" si="15"/>
        <v>0</v>
      </c>
      <c r="AT44" s="33">
        <f t="shared" si="15"/>
        <v>0</v>
      </c>
      <c r="AU44" s="33">
        <f t="shared" si="15"/>
        <v>0</v>
      </c>
      <c r="AV44" s="33">
        <f t="shared" si="15"/>
        <v>0</v>
      </c>
      <c r="AW44" s="33">
        <f t="shared" si="15"/>
        <v>0</v>
      </c>
      <c r="AX44" s="33">
        <f t="shared" si="15"/>
        <v>0</v>
      </c>
      <c r="AY44" s="33">
        <f t="shared" si="15"/>
        <v>0</v>
      </c>
      <c r="AZ44" s="33">
        <f t="shared" si="15"/>
        <v>0</v>
      </c>
      <c r="BA44" s="33">
        <f t="shared" si="15"/>
        <v>0</v>
      </c>
      <c r="BB44" s="33">
        <f t="shared" si="15"/>
        <v>0</v>
      </c>
      <c r="BC44" s="33">
        <f t="shared" si="15"/>
        <v>0</v>
      </c>
      <c r="BD44" s="33">
        <f t="shared" si="15"/>
        <v>0</v>
      </c>
      <c r="BE44" s="33">
        <f t="shared" si="15"/>
        <v>0</v>
      </c>
      <c r="BI44" s="21"/>
      <c r="BJ44" s="21"/>
    </row>
    <row r="45" spans="2:62">
      <c r="B45" s="33" t="s">
        <v>91</v>
      </c>
      <c r="C45" s="33"/>
      <c r="D45" s="33"/>
      <c r="E45" s="33"/>
      <c r="F45" s="33">
        <f t="shared" ref="F45:AK45" si="16">IF($X$12="Cost Savings",F36,0)</f>
        <v>0</v>
      </c>
      <c r="G45" s="33">
        <f t="shared" si="16"/>
        <v>0</v>
      </c>
      <c r="H45" s="33">
        <f t="shared" si="16"/>
        <v>0</v>
      </c>
      <c r="I45" s="33">
        <f t="shared" si="16"/>
        <v>0</v>
      </c>
      <c r="J45" s="33">
        <f t="shared" si="16"/>
        <v>0</v>
      </c>
      <c r="K45" s="33">
        <f t="shared" si="16"/>
        <v>0</v>
      </c>
      <c r="L45" s="33">
        <f t="shared" si="16"/>
        <v>0</v>
      </c>
      <c r="M45" s="33">
        <f t="shared" si="16"/>
        <v>0</v>
      </c>
      <c r="N45" s="33">
        <f t="shared" si="16"/>
        <v>0</v>
      </c>
      <c r="O45" s="33">
        <f t="shared" si="16"/>
        <v>0</v>
      </c>
      <c r="P45" s="33">
        <f t="shared" si="16"/>
        <v>0</v>
      </c>
      <c r="Q45" s="33">
        <f t="shared" si="16"/>
        <v>0</v>
      </c>
      <c r="R45" s="33">
        <f t="shared" si="16"/>
        <v>0</v>
      </c>
      <c r="S45" s="33">
        <f t="shared" si="16"/>
        <v>0</v>
      </c>
      <c r="T45" s="33">
        <f t="shared" si="16"/>
        <v>0</v>
      </c>
      <c r="U45" s="33">
        <f t="shared" si="16"/>
        <v>0</v>
      </c>
      <c r="V45" s="33">
        <f t="shared" si="16"/>
        <v>0</v>
      </c>
      <c r="W45" s="33">
        <f t="shared" si="16"/>
        <v>0</v>
      </c>
      <c r="X45" s="33">
        <f t="shared" si="16"/>
        <v>0</v>
      </c>
      <c r="Y45" s="33">
        <f t="shared" si="16"/>
        <v>0</v>
      </c>
      <c r="Z45" s="33">
        <f t="shared" si="16"/>
        <v>0</v>
      </c>
      <c r="AA45" s="33">
        <f t="shared" si="16"/>
        <v>0</v>
      </c>
      <c r="AB45" s="33">
        <f t="shared" si="16"/>
        <v>0</v>
      </c>
      <c r="AC45" s="33">
        <f t="shared" si="16"/>
        <v>0</v>
      </c>
      <c r="AD45" s="33">
        <f t="shared" si="16"/>
        <v>0</v>
      </c>
      <c r="AE45" s="33">
        <f t="shared" si="16"/>
        <v>0</v>
      </c>
      <c r="AF45" s="33">
        <f t="shared" si="16"/>
        <v>0</v>
      </c>
      <c r="AG45" s="33">
        <f t="shared" si="16"/>
        <v>0</v>
      </c>
      <c r="AH45" s="33">
        <f t="shared" si="16"/>
        <v>0</v>
      </c>
      <c r="AI45" s="33">
        <f t="shared" si="16"/>
        <v>0</v>
      </c>
      <c r="AJ45" s="33">
        <f t="shared" si="16"/>
        <v>0</v>
      </c>
      <c r="AK45" s="33">
        <f t="shared" si="16"/>
        <v>0</v>
      </c>
      <c r="AL45" s="33">
        <f t="shared" ref="AL45:BE45" si="17">IF($X$12="Cost Savings",AL36,0)</f>
        <v>0</v>
      </c>
      <c r="AM45" s="33">
        <f t="shared" si="17"/>
        <v>0</v>
      </c>
      <c r="AN45" s="33">
        <f t="shared" si="17"/>
        <v>0</v>
      </c>
      <c r="AO45" s="33">
        <f t="shared" si="17"/>
        <v>0</v>
      </c>
      <c r="AP45" s="33">
        <f t="shared" si="17"/>
        <v>0</v>
      </c>
      <c r="AQ45" s="33">
        <f t="shared" si="17"/>
        <v>0</v>
      </c>
      <c r="AR45" s="33">
        <f t="shared" si="17"/>
        <v>0</v>
      </c>
      <c r="AS45" s="33">
        <f t="shared" si="17"/>
        <v>0</v>
      </c>
      <c r="AT45" s="33">
        <f t="shared" si="17"/>
        <v>0</v>
      </c>
      <c r="AU45" s="33">
        <f t="shared" si="17"/>
        <v>0</v>
      </c>
      <c r="AV45" s="33">
        <f t="shared" si="17"/>
        <v>0</v>
      </c>
      <c r="AW45" s="33">
        <f t="shared" si="17"/>
        <v>0</v>
      </c>
      <c r="AX45" s="33">
        <f t="shared" si="17"/>
        <v>0</v>
      </c>
      <c r="AY45" s="33">
        <f t="shared" si="17"/>
        <v>0</v>
      </c>
      <c r="AZ45" s="33">
        <f t="shared" si="17"/>
        <v>0</v>
      </c>
      <c r="BA45" s="33">
        <f t="shared" si="17"/>
        <v>0</v>
      </c>
      <c r="BB45" s="33">
        <f t="shared" si="17"/>
        <v>0</v>
      </c>
      <c r="BC45" s="33">
        <f t="shared" si="17"/>
        <v>0</v>
      </c>
      <c r="BD45" s="33">
        <f t="shared" si="17"/>
        <v>0</v>
      </c>
      <c r="BE45" s="33">
        <f t="shared" si="17"/>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8">G41+G44</f>
        <v>0</v>
      </c>
      <c r="H47" s="33">
        <f t="shared" si="18"/>
        <v>0</v>
      </c>
      <c r="I47" s="33">
        <f t="shared" si="18"/>
        <v>0</v>
      </c>
      <c r="J47" s="33">
        <f t="shared" si="18"/>
        <v>0</v>
      </c>
      <c r="K47" s="33">
        <f t="shared" si="18"/>
        <v>0</v>
      </c>
      <c r="L47" s="33">
        <f t="shared" si="18"/>
        <v>0</v>
      </c>
      <c r="M47" s="33">
        <f t="shared" si="18"/>
        <v>0</v>
      </c>
      <c r="N47" s="33">
        <f t="shared" si="18"/>
        <v>0</v>
      </c>
      <c r="O47" s="33">
        <f t="shared" si="18"/>
        <v>0</v>
      </c>
      <c r="P47" s="33">
        <f t="shared" si="18"/>
        <v>0</v>
      </c>
      <c r="Q47" s="33">
        <f t="shared" si="18"/>
        <v>0</v>
      </c>
      <c r="R47" s="33">
        <f t="shared" si="18"/>
        <v>0</v>
      </c>
      <c r="S47" s="33">
        <f t="shared" si="18"/>
        <v>0</v>
      </c>
      <c r="T47" s="33">
        <f t="shared" si="18"/>
        <v>0</v>
      </c>
      <c r="U47" s="33">
        <f t="shared" si="18"/>
        <v>0</v>
      </c>
      <c r="V47" s="33">
        <f t="shared" si="18"/>
        <v>0</v>
      </c>
      <c r="W47" s="33">
        <f t="shared" si="18"/>
        <v>0</v>
      </c>
      <c r="X47" s="33">
        <f t="shared" si="18"/>
        <v>0</v>
      </c>
      <c r="Y47" s="33">
        <f t="shared" si="18"/>
        <v>0</v>
      </c>
      <c r="Z47" s="33">
        <f t="shared" si="18"/>
        <v>0</v>
      </c>
      <c r="AA47" s="33">
        <f t="shared" si="18"/>
        <v>0</v>
      </c>
      <c r="AB47" s="33">
        <f t="shared" si="18"/>
        <v>0</v>
      </c>
      <c r="AC47" s="33">
        <f t="shared" si="18"/>
        <v>0</v>
      </c>
      <c r="AD47" s="33">
        <f t="shared" si="18"/>
        <v>0</v>
      </c>
      <c r="AE47" s="33">
        <f t="shared" si="18"/>
        <v>0</v>
      </c>
      <c r="AF47" s="33">
        <f t="shared" si="18"/>
        <v>0</v>
      </c>
      <c r="AG47" s="33">
        <f t="shared" si="18"/>
        <v>0</v>
      </c>
      <c r="AH47" s="33">
        <f t="shared" si="18"/>
        <v>0</v>
      </c>
      <c r="AI47" s="33">
        <f t="shared" si="18"/>
        <v>0</v>
      </c>
      <c r="AJ47" s="33">
        <f t="shared" si="18"/>
        <v>0</v>
      </c>
      <c r="AK47" s="33">
        <f t="shared" si="18"/>
        <v>0</v>
      </c>
      <c r="AL47" s="33">
        <f t="shared" si="18"/>
        <v>0</v>
      </c>
      <c r="AM47" s="33">
        <f t="shared" si="18"/>
        <v>0</v>
      </c>
      <c r="AN47" s="33">
        <f t="shared" si="18"/>
        <v>0</v>
      </c>
      <c r="AO47" s="33">
        <f t="shared" si="18"/>
        <v>0</v>
      </c>
      <c r="AP47" s="33">
        <f t="shared" si="18"/>
        <v>0</v>
      </c>
      <c r="AQ47" s="33">
        <f t="shared" si="18"/>
        <v>0</v>
      </c>
      <c r="AR47" s="33">
        <f t="shared" si="18"/>
        <v>0</v>
      </c>
      <c r="AS47" s="33">
        <f t="shared" si="18"/>
        <v>0</v>
      </c>
      <c r="AT47" s="33">
        <f t="shared" si="18"/>
        <v>0</v>
      </c>
      <c r="AU47" s="33">
        <f t="shared" si="18"/>
        <v>0</v>
      </c>
      <c r="AV47" s="33">
        <f t="shared" si="18"/>
        <v>0</v>
      </c>
      <c r="AW47" s="33">
        <f t="shared" si="18"/>
        <v>0</v>
      </c>
      <c r="AX47" s="33">
        <f t="shared" si="18"/>
        <v>0</v>
      </c>
      <c r="AY47" s="33">
        <f t="shared" si="18"/>
        <v>0</v>
      </c>
      <c r="AZ47" s="33">
        <f t="shared" si="18"/>
        <v>0</v>
      </c>
      <c r="BA47" s="33">
        <f t="shared" si="18"/>
        <v>0</v>
      </c>
      <c r="BB47" s="33">
        <f t="shared" si="18"/>
        <v>0</v>
      </c>
      <c r="BC47" s="33">
        <f t="shared" si="18"/>
        <v>0</v>
      </c>
      <c r="BD47" s="33">
        <f t="shared" si="18"/>
        <v>0</v>
      </c>
      <c r="BE47" s="33">
        <f t="shared" si="18"/>
        <v>0</v>
      </c>
    </row>
    <row r="48" spans="2:62">
      <c r="B48" s="33" t="s">
        <v>13</v>
      </c>
      <c r="C48" s="33"/>
      <c r="D48" s="33"/>
      <c r="E48" s="33"/>
      <c r="F48" s="33">
        <f t="shared" ref="F48:BE48" si="19">F42+F45</f>
        <v>0</v>
      </c>
      <c r="G48" s="33">
        <f t="shared" si="19"/>
        <v>0</v>
      </c>
      <c r="H48" s="33">
        <f t="shared" si="19"/>
        <v>0</v>
      </c>
      <c r="I48" s="33">
        <f t="shared" si="19"/>
        <v>0</v>
      </c>
      <c r="J48" s="33">
        <f t="shared" si="19"/>
        <v>0</v>
      </c>
      <c r="K48" s="33">
        <f t="shared" si="19"/>
        <v>0</v>
      </c>
      <c r="L48" s="33">
        <f t="shared" si="19"/>
        <v>0</v>
      </c>
      <c r="M48" s="33">
        <f t="shared" si="19"/>
        <v>0</v>
      </c>
      <c r="N48" s="33">
        <f t="shared" si="19"/>
        <v>0</v>
      </c>
      <c r="O48" s="33">
        <f t="shared" si="19"/>
        <v>0</v>
      </c>
      <c r="P48" s="33">
        <f t="shared" si="19"/>
        <v>0</v>
      </c>
      <c r="Q48" s="33">
        <f t="shared" si="19"/>
        <v>0</v>
      </c>
      <c r="R48" s="33">
        <f t="shared" si="19"/>
        <v>0</v>
      </c>
      <c r="S48" s="33">
        <f t="shared" si="19"/>
        <v>0</v>
      </c>
      <c r="T48" s="33">
        <f t="shared" si="19"/>
        <v>0</v>
      </c>
      <c r="U48" s="33">
        <f t="shared" si="19"/>
        <v>0</v>
      </c>
      <c r="V48" s="33">
        <f t="shared" si="19"/>
        <v>0</v>
      </c>
      <c r="W48" s="33">
        <f t="shared" si="19"/>
        <v>0</v>
      </c>
      <c r="X48" s="33">
        <f t="shared" si="19"/>
        <v>0</v>
      </c>
      <c r="Y48" s="33">
        <f t="shared" si="19"/>
        <v>0</v>
      </c>
      <c r="Z48" s="33">
        <f t="shared" si="19"/>
        <v>0</v>
      </c>
      <c r="AA48" s="33">
        <f t="shared" si="19"/>
        <v>0</v>
      </c>
      <c r="AB48" s="33">
        <f t="shared" si="19"/>
        <v>0</v>
      </c>
      <c r="AC48" s="33">
        <f t="shared" si="19"/>
        <v>0</v>
      </c>
      <c r="AD48" s="33">
        <f t="shared" si="19"/>
        <v>0</v>
      </c>
      <c r="AE48" s="33">
        <f t="shared" si="19"/>
        <v>0</v>
      </c>
      <c r="AF48" s="33">
        <f t="shared" si="19"/>
        <v>0</v>
      </c>
      <c r="AG48" s="33">
        <f t="shared" si="19"/>
        <v>0</v>
      </c>
      <c r="AH48" s="33">
        <f t="shared" si="19"/>
        <v>0</v>
      </c>
      <c r="AI48" s="33">
        <f t="shared" si="19"/>
        <v>0</v>
      </c>
      <c r="AJ48" s="33">
        <f t="shared" si="19"/>
        <v>0</v>
      </c>
      <c r="AK48" s="33">
        <f t="shared" si="19"/>
        <v>0</v>
      </c>
      <c r="AL48" s="33">
        <f t="shared" si="19"/>
        <v>0</v>
      </c>
      <c r="AM48" s="33">
        <f t="shared" si="19"/>
        <v>0</v>
      </c>
      <c r="AN48" s="33">
        <f t="shared" si="19"/>
        <v>0</v>
      </c>
      <c r="AO48" s="33">
        <f t="shared" si="19"/>
        <v>0</v>
      </c>
      <c r="AP48" s="33">
        <f t="shared" si="19"/>
        <v>0</v>
      </c>
      <c r="AQ48" s="33">
        <f t="shared" si="19"/>
        <v>0</v>
      </c>
      <c r="AR48" s="33">
        <f t="shared" si="19"/>
        <v>0</v>
      </c>
      <c r="AS48" s="33">
        <f t="shared" si="19"/>
        <v>0</v>
      </c>
      <c r="AT48" s="33">
        <f t="shared" si="19"/>
        <v>0</v>
      </c>
      <c r="AU48" s="33">
        <f t="shared" si="19"/>
        <v>0</v>
      </c>
      <c r="AV48" s="33">
        <f t="shared" si="19"/>
        <v>0</v>
      </c>
      <c r="AW48" s="33">
        <f t="shared" si="19"/>
        <v>0</v>
      </c>
      <c r="AX48" s="33">
        <f t="shared" si="19"/>
        <v>0</v>
      </c>
      <c r="AY48" s="33">
        <f t="shared" si="19"/>
        <v>0</v>
      </c>
      <c r="AZ48" s="33">
        <f t="shared" si="19"/>
        <v>0</v>
      </c>
      <c r="BA48" s="33">
        <f t="shared" si="19"/>
        <v>0</v>
      </c>
      <c r="BB48" s="33">
        <f t="shared" si="19"/>
        <v>0</v>
      </c>
      <c r="BC48" s="33">
        <f t="shared" si="19"/>
        <v>0</v>
      </c>
      <c r="BD48" s="33">
        <f t="shared" si="19"/>
        <v>0</v>
      </c>
      <c r="BE48" s="33">
        <f t="shared" si="19"/>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20">IF($AZ$3&gt;F24,F47,0)</f>
        <v>0</v>
      </c>
      <c r="G50" s="33">
        <f t="shared" ca="1" si="20"/>
        <v>0</v>
      </c>
      <c r="H50" s="33">
        <f t="shared" ca="1" si="20"/>
        <v>0</v>
      </c>
      <c r="I50" s="33">
        <f t="shared" ca="1" si="20"/>
        <v>0</v>
      </c>
      <c r="J50" s="33">
        <f t="shared" ca="1" si="20"/>
        <v>0</v>
      </c>
      <c r="K50" s="33">
        <f t="shared" ca="1" si="20"/>
        <v>0</v>
      </c>
      <c r="L50" s="33">
        <f t="shared" ca="1" si="20"/>
        <v>0</v>
      </c>
      <c r="M50" s="33">
        <f t="shared" ca="1" si="20"/>
        <v>0</v>
      </c>
      <c r="N50" s="33">
        <f t="shared" ca="1" si="20"/>
        <v>0</v>
      </c>
      <c r="O50" s="33">
        <f t="shared" ca="1" si="20"/>
        <v>0</v>
      </c>
      <c r="P50" s="33">
        <f t="shared" ca="1" si="20"/>
        <v>0</v>
      </c>
      <c r="Q50" s="33">
        <f t="shared" ca="1" si="20"/>
        <v>0</v>
      </c>
      <c r="R50" s="33">
        <f t="shared" ca="1" si="20"/>
        <v>0</v>
      </c>
      <c r="S50" s="33">
        <f t="shared" ca="1" si="20"/>
        <v>0</v>
      </c>
      <c r="T50" s="33">
        <f t="shared" ca="1" si="20"/>
        <v>0</v>
      </c>
      <c r="U50" s="33">
        <f t="shared" ca="1" si="20"/>
        <v>0</v>
      </c>
      <c r="V50" s="33">
        <f t="shared" ca="1" si="20"/>
        <v>0</v>
      </c>
      <c r="W50" s="33">
        <f t="shared" ca="1" si="20"/>
        <v>0</v>
      </c>
      <c r="X50" s="33">
        <f t="shared" ca="1" si="20"/>
        <v>0</v>
      </c>
      <c r="Y50" s="33">
        <f t="shared" ca="1" si="20"/>
        <v>0</v>
      </c>
      <c r="Z50" s="33">
        <f t="shared" ca="1" si="20"/>
        <v>0</v>
      </c>
      <c r="AA50" s="33">
        <f t="shared" ca="1" si="20"/>
        <v>0</v>
      </c>
      <c r="AB50" s="33">
        <f t="shared" ca="1" si="20"/>
        <v>0</v>
      </c>
      <c r="AC50" s="33">
        <f t="shared" ca="1" si="20"/>
        <v>0</v>
      </c>
      <c r="AD50" s="33">
        <f t="shared" ca="1" si="20"/>
        <v>0</v>
      </c>
      <c r="AE50" s="33">
        <f t="shared" ca="1" si="20"/>
        <v>0</v>
      </c>
      <c r="AF50" s="33">
        <f t="shared" ca="1" si="20"/>
        <v>0</v>
      </c>
      <c r="AG50" s="33">
        <f t="shared" ca="1" si="20"/>
        <v>0</v>
      </c>
      <c r="AH50" s="33">
        <f t="shared" ca="1" si="20"/>
        <v>0</v>
      </c>
      <c r="AI50" s="33">
        <f t="shared" ca="1" si="20"/>
        <v>0</v>
      </c>
      <c r="AJ50" s="33">
        <f t="shared" ca="1" si="20"/>
        <v>0</v>
      </c>
      <c r="AK50" s="33">
        <f t="shared" ca="1" si="20"/>
        <v>0</v>
      </c>
      <c r="AL50" s="33">
        <f t="shared" ref="AL50:BE50" ca="1" si="21">IF($AZ$3&gt;AL24,AL47,0)</f>
        <v>0</v>
      </c>
      <c r="AM50" s="33">
        <f t="shared" ca="1" si="21"/>
        <v>0</v>
      </c>
      <c r="AN50" s="33">
        <f t="shared" ca="1" si="21"/>
        <v>0</v>
      </c>
      <c r="AO50" s="33">
        <f t="shared" ca="1" si="21"/>
        <v>0</v>
      </c>
      <c r="AP50" s="33">
        <f t="shared" ca="1" si="21"/>
        <v>0</v>
      </c>
      <c r="AQ50" s="33">
        <f t="shared" ca="1" si="21"/>
        <v>0</v>
      </c>
      <c r="AR50" s="33">
        <f t="shared" ca="1" si="21"/>
        <v>0</v>
      </c>
      <c r="AS50" s="33">
        <f t="shared" ca="1" si="21"/>
        <v>0</v>
      </c>
      <c r="AT50" s="33">
        <f t="shared" ca="1" si="21"/>
        <v>0</v>
      </c>
      <c r="AU50" s="33">
        <f t="shared" ca="1" si="21"/>
        <v>0</v>
      </c>
      <c r="AV50" s="33">
        <f t="shared" ca="1" si="21"/>
        <v>0</v>
      </c>
      <c r="AW50" s="33">
        <f t="shared" ca="1" si="21"/>
        <v>0</v>
      </c>
      <c r="AX50" s="33">
        <f t="shared" ca="1" si="21"/>
        <v>0</v>
      </c>
      <c r="AY50" s="33">
        <f t="shared" ca="1" si="21"/>
        <v>0</v>
      </c>
      <c r="AZ50" s="33">
        <f t="shared" ca="1" si="21"/>
        <v>0</v>
      </c>
      <c r="BA50" s="33">
        <f t="shared" ca="1" si="21"/>
        <v>0</v>
      </c>
      <c r="BB50" s="33">
        <f t="shared" ca="1" si="21"/>
        <v>0</v>
      </c>
      <c r="BC50" s="33">
        <f t="shared" ca="1" si="21"/>
        <v>0</v>
      </c>
      <c r="BD50" s="33">
        <f t="shared" ca="1" si="21"/>
        <v>0</v>
      </c>
      <c r="BE50" s="33">
        <f t="shared" ca="1" si="21"/>
        <v>0</v>
      </c>
    </row>
    <row r="51" spans="2:57">
      <c r="B51" s="33" t="s">
        <v>94</v>
      </c>
      <c r="C51" s="33"/>
      <c r="D51" s="33"/>
      <c r="E51" s="33">
        <f ca="1">MAX(F51:BE51)</f>
        <v>0</v>
      </c>
      <c r="F51" s="33">
        <f t="shared" ref="F51:AK51" ca="1" si="22">IF($AZ$3&gt;F25,F48,0)</f>
        <v>0</v>
      </c>
      <c r="G51" s="33">
        <f t="shared" ca="1" si="22"/>
        <v>0</v>
      </c>
      <c r="H51" s="33">
        <f t="shared" ca="1" si="22"/>
        <v>0</v>
      </c>
      <c r="I51" s="33">
        <f t="shared" ca="1" si="22"/>
        <v>0</v>
      </c>
      <c r="J51" s="33">
        <f t="shared" ca="1" si="22"/>
        <v>0</v>
      </c>
      <c r="K51" s="33">
        <f t="shared" ca="1" si="22"/>
        <v>0</v>
      </c>
      <c r="L51" s="33">
        <f t="shared" ca="1" si="22"/>
        <v>0</v>
      </c>
      <c r="M51" s="33">
        <f t="shared" ca="1" si="22"/>
        <v>0</v>
      </c>
      <c r="N51" s="33">
        <f t="shared" ca="1" si="22"/>
        <v>0</v>
      </c>
      <c r="O51" s="33">
        <f t="shared" ca="1" si="22"/>
        <v>0</v>
      </c>
      <c r="P51" s="33">
        <f t="shared" ca="1" si="22"/>
        <v>0</v>
      </c>
      <c r="Q51" s="33">
        <f t="shared" ca="1" si="22"/>
        <v>0</v>
      </c>
      <c r="R51" s="33">
        <f t="shared" ca="1" si="22"/>
        <v>0</v>
      </c>
      <c r="S51" s="33">
        <f t="shared" ca="1" si="22"/>
        <v>0</v>
      </c>
      <c r="T51" s="33">
        <f t="shared" ca="1" si="22"/>
        <v>0</v>
      </c>
      <c r="U51" s="33">
        <f t="shared" ca="1" si="22"/>
        <v>0</v>
      </c>
      <c r="V51" s="33">
        <f t="shared" ca="1" si="22"/>
        <v>0</v>
      </c>
      <c r="W51" s="33">
        <f t="shared" ca="1" si="22"/>
        <v>0</v>
      </c>
      <c r="X51" s="33">
        <f t="shared" ca="1" si="22"/>
        <v>0</v>
      </c>
      <c r="Y51" s="33">
        <f t="shared" ca="1" si="22"/>
        <v>0</v>
      </c>
      <c r="Z51" s="33">
        <f t="shared" ca="1" si="22"/>
        <v>0</v>
      </c>
      <c r="AA51" s="33">
        <f t="shared" ca="1" si="22"/>
        <v>0</v>
      </c>
      <c r="AB51" s="33">
        <f t="shared" ca="1" si="22"/>
        <v>0</v>
      </c>
      <c r="AC51" s="33">
        <f t="shared" ca="1" si="22"/>
        <v>0</v>
      </c>
      <c r="AD51" s="33">
        <f t="shared" ca="1" si="22"/>
        <v>0</v>
      </c>
      <c r="AE51" s="33">
        <f t="shared" ca="1" si="22"/>
        <v>0</v>
      </c>
      <c r="AF51" s="33">
        <f t="shared" ca="1" si="22"/>
        <v>0</v>
      </c>
      <c r="AG51" s="33">
        <f t="shared" ca="1" si="22"/>
        <v>0</v>
      </c>
      <c r="AH51" s="33">
        <f t="shared" ca="1" si="22"/>
        <v>0</v>
      </c>
      <c r="AI51" s="33">
        <f t="shared" ca="1" si="22"/>
        <v>0</v>
      </c>
      <c r="AJ51" s="33">
        <f t="shared" ca="1" si="22"/>
        <v>0</v>
      </c>
      <c r="AK51" s="33">
        <f t="shared" ca="1" si="22"/>
        <v>0</v>
      </c>
      <c r="AL51" s="33">
        <f t="shared" ref="AL51:BE51" ca="1" si="23">IF($AZ$3&gt;AL25,AL48,0)</f>
        <v>0</v>
      </c>
      <c r="AM51" s="33">
        <f t="shared" ca="1" si="23"/>
        <v>0</v>
      </c>
      <c r="AN51" s="33">
        <f t="shared" ca="1" si="23"/>
        <v>0</v>
      </c>
      <c r="AO51" s="33">
        <f t="shared" ca="1" si="23"/>
        <v>0</v>
      </c>
      <c r="AP51" s="33">
        <f t="shared" ca="1" si="23"/>
        <v>0</v>
      </c>
      <c r="AQ51" s="33">
        <f t="shared" ca="1" si="23"/>
        <v>0</v>
      </c>
      <c r="AR51" s="33">
        <f t="shared" ca="1" si="23"/>
        <v>0</v>
      </c>
      <c r="AS51" s="33">
        <f t="shared" ca="1" si="23"/>
        <v>0</v>
      </c>
      <c r="AT51" s="33">
        <f t="shared" ca="1" si="23"/>
        <v>0</v>
      </c>
      <c r="AU51" s="33">
        <f t="shared" ca="1" si="23"/>
        <v>0</v>
      </c>
      <c r="AV51" s="33">
        <f t="shared" ca="1" si="23"/>
        <v>0</v>
      </c>
      <c r="AW51" s="33">
        <f t="shared" ca="1" si="23"/>
        <v>0</v>
      </c>
      <c r="AX51" s="33">
        <f t="shared" ca="1" si="23"/>
        <v>0</v>
      </c>
      <c r="AY51" s="33">
        <f t="shared" ca="1" si="23"/>
        <v>0</v>
      </c>
      <c r="AZ51" s="33">
        <f t="shared" ca="1" si="23"/>
        <v>0</v>
      </c>
      <c r="BA51" s="33">
        <f t="shared" ca="1" si="23"/>
        <v>0</v>
      </c>
      <c r="BB51" s="33">
        <f t="shared" ca="1" si="23"/>
        <v>0</v>
      </c>
      <c r="BC51" s="33">
        <f t="shared" ca="1" si="23"/>
        <v>0</v>
      </c>
      <c r="BD51" s="33">
        <f t="shared" ca="1" si="23"/>
        <v>0</v>
      </c>
      <c r="BE51" s="33">
        <f t="shared" ca="1" si="23"/>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1" priority="1" operator="equal">
      <formula>"No Change"</formula>
    </cfRule>
    <cfRule type="cellIs" dxfId="70" priority="2" operator="equal">
      <formula>"Progression"</formula>
    </cfRule>
  </conditionalFormatting>
  <conditionalFormatting sqref="AU10:AU21">
    <cfRule type="expression" dxfId="69" priority="3">
      <formula>IFERROR(FIND("Ahead",AU10),0)&gt;0</formula>
    </cfRule>
    <cfRule type="expression" dxfId="68" priority="4">
      <formula>IFERROR(FIND("Overdue",AU10),0)&gt;0</formula>
    </cfRule>
    <cfRule type="cellIs" dxfId="67" priority="5" operator="equal">
      <formula>"Met Target"</formula>
    </cfRule>
    <cfRule type="cellIs" dxfId="66" priority="6" operator="equal">
      <formula>"Missing Target"</formula>
    </cfRule>
    <cfRule type="expression" dxfId="6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70" zoomScaleNormal="70" workbookViewId="0">
      <pane xSplit="5" ySplit="7" topLeftCell="F27" activePane="bottomRight" state="frozen"/>
      <selection pane="bottomRight" activeCell="H43" sqref="H43"/>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105</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Simple Tool</v>
      </c>
      <c r="AP3" s="87"/>
      <c r="AQ3" s="87"/>
      <c r="AR3" s="87"/>
      <c r="AS3" s="87"/>
      <c r="AT3" s="87"/>
      <c r="AU3" s="87"/>
      <c r="AV3" s="92">
        <f>IF(F7="",0,VLOOKUP(F7,Lookups!B4:H8,3))</f>
        <v>10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Live</v>
      </c>
      <c r="AP4" s="87"/>
      <c r="AQ4" s="87"/>
      <c r="AR4" s="87"/>
      <c r="AS4" s="87"/>
      <c r="AT4" s="87"/>
      <c r="AU4" s="87"/>
      <c r="AV4" s="89">
        <f ca="1">IF(AO4="Not Def",0,VLOOKUP(AO4,Lookups!L4:M8,2))</f>
        <v>1</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106</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Pilot</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12</v>
      </c>
      <c r="AW6" s="104"/>
      <c r="AX6" s="104"/>
      <c r="AY6" s="18"/>
      <c r="AZ6" s="18"/>
      <c r="BA6" s="18"/>
      <c r="BB6" s="18"/>
      <c r="BC6" s="18"/>
      <c r="BD6" s="18"/>
      <c r="BH6" s="13"/>
      <c r="BI6" s="17"/>
      <c r="BJ6" s="17"/>
      <c r="BK6" s="17"/>
    </row>
    <row r="7" spans="2:71" ht="28.5" customHeight="1" thickBot="1">
      <c r="B7" s="99" t="s">
        <v>34</v>
      </c>
      <c r="C7" s="100"/>
      <c r="D7" s="100"/>
      <c r="E7" s="101"/>
      <c r="F7" s="105" t="s">
        <v>97</v>
      </c>
      <c r="G7" s="106"/>
      <c r="H7" s="106"/>
      <c r="I7" s="106"/>
      <c r="J7" s="106"/>
      <c r="K7" s="106"/>
      <c r="L7" s="106"/>
      <c r="M7" s="106"/>
      <c r="N7" s="106"/>
      <c r="O7" s="106"/>
      <c r="P7" s="106"/>
      <c r="Q7" s="106"/>
      <c r="R7" s="106"/>
      <c r="S7" s="106"/>
      <c r="T7" s="106"/>
      <c r="U7" s="106"/>
      <c r="V7" s="106"/>
      <c r="W7" s="106"/>
      <c r="X7" s="107"/>
      <c r="Y7" s="99" t="s">
        <v>10</v>
      </c>
      <c r="Z7" s="100"/>
      <c r="AA7" s="100"/>
      <c r="AB7" s="101"/>
      <c r="AC7" s="108" t="s">
        <v>107</v>
      </c>
      <c r="AD7" s="109"/>
      <c r="AE7" s="110"/>
      <c r="BH7" s="13"/>
      <c r="BI7" s="13"/>
      <c r="BJ7" s="17"/>
      <c r="BK7" s="17"/>
    </row>
    <row r="8" spans="2:71" ht="28.5" customHeight="1" thickBot="1">
      <c r="B8" s="99" t="s">
        <v>8</v>
      </c>
      <c r="C8" s="100"/>
      <c r="D8" s="100"/>
      <c r="E8" s="101"/>
      <c r="F8" s="111" t="str">
        <f>IF(F7="","",VLOOKUP(F7,Lookups!B4:H8,2))</f>
        <v>Simple Tool</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 xml:space="preserve">ChatGPT for content, Co-Pilot for drafting emails, AI meeting summaries </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45870</v>
      </c>
      <c r="AP10" s="114"/>
      <c r="AQ10" s="114"/>
      <c r="AR10" s="114">
        <v>45870</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45870</v>
      </c>
      <c r="AP11" s="114"/>
      <c r="AQ11" s="114"/>
      <c r="AR11" s="114">
        <v>45870</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Adoption Rate</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45870</v>
      </c>
      <c r="AP12" s="114"/>
      <c r="AQ12" s="114"/>
      <c r="AR12" s="114">
        <v>45870</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99</v>
      </c>
      <c r="C13" s="124"/>
      <c r="D13" s="125"/>
      <c r="F13" s="24" t="s">
        <v>52</v>
      </c>
      <c r="G13" s="71" t="s">
        <v>108</v>
      </c>
      <c r="H13" s="72"/>
      <c r="I13" s="72"/>
      <c r="J13" s="72"/>
      <c r="K13" s="72"/>
      <c r="L13" s="72"/>
      <c r="M13" s="73"/>
      <c r="O13" s="24" t="s">
        <v>52</v>
      </c>
      <c r="P13" s="71" t="s">
        <v>109</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45870</v>
      </c>
      <c r="AP13" s="114"/>
      <c r="AQ13" s="114"/>
      <c r="AR13" s="114">
        <v>45870</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45870</v>
      </c>
      <c r="AP14" s="114"/>
      <c r="AQ14" s="114"/>
      <c r="AR14" s="114">
        <v>45870</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110</v>
      </c>
      <c r="G15" s="133"/>
      <c r="H15" s="133"/>
      <c r="I15" s="133"/>
      <c r="J15" s="133"/>
      <c r="K15" s="133"/>
      <c r="L15" s="133"/>
      <c r="M15" s="134"/>
      <c r="O15" s="132" t="s">
        <v>111</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v>45870</v>
      </c>
      <c r="AP15" s="114"/>
      <c r="AQ15" s="114"/>
      <c r="AR15" s="114">
        <v>45870</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45901</v>
      </c>
      <c r="AP16" s="114"/>
      <c r="AQ16" s="114"/>
      <c r="AR16" s="114">
        <v>45901</v>
      </c>
      <c r="AS16" s="114"/>
      <c r="AT16" s="114"/>
      <c r="AU16" s="115" t="str">
        <f t="shared" si="1"/>
        <v>OK</v>
      </c>
      <c r="AV16" s="115"/>
      <c r="AW16" s="115"/>
      <c r="AX16" s="115"/>
      <c r="AY16" s="158"/>
      <c r="AZ16" s="158"/>
      <c r="BA16" s="158"/>
      <c r="BB16" s="158"/>
      <c r="BC16" s="158"/>
      <c r="BD16" s="158"/>
      <c r="BE16" s="158"/>
      <c r="BL16" s="15"/>
      <c r="BS16" s="12"/>
    </row>
    <row r="17" spans="2:71" ht="28.5" customHeight="1" thickBot="1">
      <c r="B17" s="25" t="s">
        <v>3</v>
      </c>
      <c r="C17" s="141" t="s">
        <v>112</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45901</v>
      </c>
      <c r="AP17" s="114"/>
      <c r="AQ17" s="114"/>
      <c r="AR17" s="114">
        <v>45901</v>
      </c>
      <c r="AS17" s="114"/>
      <c r="AT17" s="114"/>
      <c r="AU17" s="115" t="str">
        <f t="shared" si="1"/>
        <v>OK</v>
      </c>
      <c r="AV17" s="115"/>
      <c r="AW17" s="115"/>
      <c r="AX17" s="115"/>
      <c r="AY17" s="158"/>
      <c r="AZ17" s="158"/>
      <c r="BA17" s="158"/>
      <c r="BB17" s="158"/>
      <c r="BC17" s="158"/>
      <c r="BD17" s="158"/>
      <c r="BE17" s="158"/>
      <c r="BL17" s="15"/>
      <c r="BS17" s="12"/>
    </row>
    <row r="18" spans="2:71" ht="28.5" customHeight="1" thickBot="1">
      <c r="B18" s="25" t="s">
        <v>67</v>
      </c>
      <c r="C18" s="74" t="s">
        <v>68</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45901</v>
      </c>
      <c r="AP18" s="114"/>
      <c r="AQ18" s="114"/>
      <c r="AR18" s="114">
        <v>45901</v>
      </c>
      <c r="AS18" s="114"/>
      <c r="AT18" s="114"/>
      <c r="AU18" s="115" t="str">
        <f t="shared" si="1"/>
        <v>OK</v>
      </c>
      <c r="AV18" s="115"/>
      <c r="AW18" s="115"/>
      <c r="AX18" s="115"/>
      <c r="AY18" s="158"/>
      <c r="AZ18" s="158"/>
      <c r="BA18" s="158"/>
      <c r="BB18" s="158"/>
      <c r="BC18" s="158"/>
      <c r="BD18" s="158"/>
      <c r="BE18" s="158"/>
      <c r="BL18" s="15"/>
      <c r="BS18" s="12"/>
    </row>
    <row r="19" spans="2:71" ht="28.5" customHeight="1" thickBot="1">
      <c r="B19" s="25" t="s">
        <v>71</v>
      </c>
      <c r="C19" s="74" t="s">
        <v>72</v>
      </c>
      <c r="D19" s="76"/>
      <c r="F19" s="132" t="s">
        <v>113</v>
      </c>
      <c r="G19" s="133"/>
      <c r="H19" s="133"/>
      <c r="I19" s="133"/>
      <c r="J19" s="133"/>
      <c r="K19" s="133"/>
      <c r="L19" s="133"/>
      <c r="M19" s="134"/>
      <c r="O19" s="132" t="s">
        <v>114</v>
      </c>
      <c r="P19" s="133"/>
      <c r="Q19" s="133"/>
      <c r="R19" s="133"/>
      <c r="S19" s="133"/>
      <c r="T19" s="133"/>
      <c r="U19" s="133"/>
      <c r="V19" s="134"/>
      <c r="X19" s="132"/>
      <c r="Y19" s="133"/>
      <c r="Z19" s="133"/>
      <c r="AA19" s="133"/>
      <c r="AB19" s="133"/>
      <c r="AC19" s="133"/>
      <c r="AD19" s="133"/>
      <c r="AE19" s="134"/>
      <c r="AF19" s="26"/>
      <c r="AG19" s="121" t="s">
        <v>75</v>
      </c>
      <c r="AH19" s="121"/>
      <c r="AI19" s="121"/>
      <c r="AJ19" s="122" t="s">
        <v>76</v>
      </c>
      <c r="AK19" s="122"/>
      <c r="AL19" s="122"/>
      <c r="AM19" s="122"/>
      <c r="AN19" s="122"/>
      <c r="AO19" s="114">
        <v>45931</v>
      </c>
      <c r="AP19" s="114"/>
      <c r="AQ19" s="114"/>
      <c r="AR19" s="114">
        <v>45931</v>
      </c>
      <c r="AS19" s="114"/>
      <c r="AT19" s="114"/>
      <c r="AU19" s="115" t="str">
        <f t="shared" si="1"/>
        <v>OK</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45962</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46022</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45870</v>
      </c>
      <c r="G24" s="31">
        <f>F24+7</f>
        <v>45877</v>
      </c>
      <c r="H24" s="31">
        <f t="shared" ref="H24:BE24" si="4">G24+7</f>
        <v>45884</v>
      </c>
      <c r="I24" s="31">
        <f t="shared" si="4"/>
        <v>45891</v>
      </c>
      <c r="J24" s="31">
        <f t="shared" si="4"/>
        <v>45898</v>
      </c>
      <c r="K24" s="31">
        <f t="shared" si="4"/>
        <v>45905</v>
      </c>
      <c r="L24" s="31">
        <f t="shared" si="4"/>
        <v>45912</v>
      </c>
      <c r="M24" s="31">
        <f t="shared" si="4"/>
        <v>45919</v>
      </c>
      <c r="N24" s="31">
        <f t="shared" si="4"/>
        <v>45926</v>
      </c>
      <c r="O24" s="31">
        <f t="shared" si="4"/>
        <v>45933</v>
      </c>
      <c r="P24" s="31">
        <f t="shared" si="4"/>
        <v>45940</v>
      </c>
      <c r="Q24" s="31">
        <f t="shared" si="4"/>
        <v>45947</v>
      </c>
      <c r="R24" s="31">
        <f t="shared" si="4"/>
        <v>45954</v>
      </c>
      <c r="S24" s="31">
        <f t="shared" si="4"/>
        <v>45961</v>
      </c>
      <c r="T24" s="31">
        <f t="shared" si="4"/>
        <v>45968</v>
      </c>
      <c r="U24" s="31">
        <f t="shared" si="4"/>
        <v>45975</v>
      </c>
      <c r="V24" s="31">
        <f t="shared" si="4"/>
        <v>45982</v>
      </c>
      <c r="W24" s="31">
        <f t="shared" si="4"/>
        <v>45989</v>
      </c>
      <c r="X24" s="31">
        <f t="shared" si="4"/>
        <v>45996</v>
      </c>
      <c r="Y24" s="31">
        <f t="shared" si="4"/>
        <v>46003</v>
      </c>
      <c r="Z24" s="31">
        <f t="shared" si="4"/>
        <v>46010</v>
      </c>
      <c r="AA24" s="31">
        <f t="shared" si="4"/>
        <v>46017</v>
      </c>
      <c r="AB24" s="31">
        <f t="shared" si="4"/>
        <v>46024</v>
      </c>
      <c r="AC24" s="31">
        <f t="shared" si="4"/>
        <v>46031</v>
      </c>
      <c r="AD24" s="31">
        <f t="shared" si="4"/>
        <v>46038</v>
      </c>
      <c r="AE24" s="31">
        <f t="shared" si="4"/>
        <v>46045</v>
      </c>
      <c r="AF24" s="31">
        <f t="shared" si="4"/>
        <v>46052</v>
      </c>
      <c r="AG24" s="31">
        <f t="shared" si="4"/>
        <v>46059</v>
      </c>
      <c r="AH24" s="31">
        <f t="shared" si="4"/>
        <v>46066</v>
      </c>
      <c r="AI24" s="31">
        <f t="shared" si="4"/>
        <v>46073</v>
      </c>
      <c r="AJ24" s="31">
        <f t="shared" si="4"/>
        <v>46080</v>
      </c>
      <c r="AK24" s="31">
        <f t="shared" si="4"/>
        <v>46087</v>
      </c>
      <c r="AL24" s="31">
        <f t="shared" si="4"/>
        <v>46094</v>
      </c>
      <c r="AM24" s="31">
        <f t="shared" si="4"/>
        <v>46101</v>
      </c>
      <c r="AN24" s="31">
        <f t="shared" si="4"/>
        <v>46108</v>
      </c>
      <c r="AO24" s="31">
        <f t="shared" si="4"/>
        <v>46115</v>
      </c>
      <c r="AP24" s="31">
        <f t="shared" si="4"/>
        <v>46122</v>
      </c>
      <c r="AQ24" s="31">
        <f t="shared" si="4"/>
        <v>46129</v>
      </c>
      <c r="AR24" s="31">
        <f t="shared" si="4"/>
        <v>46136</v>
      </c>
      <c r="AS24" s="31">
        <f t="shared" si="4"/>
        <v>46143</v>
      </c>
      <c r="AT24" s="31">
        <f t="shared" si="4"/>
        <v>46150</v>
      </c>
      <c r="AU24" s="31">
        <f t="shared" si="4"/>
        <v>46157</v>
      </c>
      <c r="AV24" s="31">
        <f t="shared" si="4"/>
        <v>46164</v>
      </c>
      <c r="AW24" s="31">
        <f t="shared" si="4"/>
        <v>46171</v>
      </c>
      <c r="AX24" s="31">
        <f t="shared" si="4"/>
        <v>46178</v>
      </c>
      <c r="AY24" s="31">
        <f t="shared" si="4"/>
        <v>46185</v>
      </c>
      <c r="AZ24" s="31">
        <f t="shared" si="4"/>
        <v>46192</v>
      </c>
      <c r="BA24" s="31">
        <f t="shared" si="4"/>
        <v>46199</v>
      </c>
      <c r="BB24" s="31">
        <f t="shared" si="4"/>
        <v>46206</v>
      </c>
      <c r="BC24" s="31">
        <f t="shared" si="4"/>
        <v>46213</v>
      </c>
      <c r="BD24" s="31">
        <f t="shared" si="4"/>
        <v>46220</v>
      </c>
      <c r="BE24" s="31">
        <f t="shared" si="4"/>
        <v>46227</v>
      </c>
      <c r="BJ24" s="21"/>
    </row>
    <row r="25" spans="2:71">
      <c r="B25" s="146" t="str">
        <f>G13&amp;" TARGET"</f>
        <v>Successful Adaptation to New Use Cases TARGET</v>
      </c>
      <c r="C25" s="147"/>
      <c r="D25" s="147"/>
      <c r="E25" s="148"/>
      <c r="F25" s="59">
        <v>20</v>
      </c>
      <c r="G25" s="59">
        <f>F25</f>
        <v>20</v>
      </c>
      <c r="H25" s="59">
        <f t="shared" ref="H25:M25" si="5">G25</f>
        <v>20</v>
      </c>
      <c r="I25" s="59">
        <f t="shared" si="5"/>
        <v>20</v>
      </c>
      <c r="J25" s="59">
        <f t="shared" si="5"/>
        <v>20</v>
      </c>
      <c r="K25" s="59">
        <f t="shared" si="5"/>
        <v>20</v>
      </c>
      <c r="L25" s="59">
        <f t="shared" si="5"/>
        <v>20</v>
      </c>
      <c r="M25" s="59">
        <f t="shared" ref="M25" si="6">L25</f>
        <v>20</v>
      </c>
      <c r="N25" s="59">
        <f t="shared" ref="N25" si="7">M25</f>
        <v>20</v>
      </c>
      <c r="O25" s="59">
        <f t="shared" ref="O25" si="8">N25</f>
        <v>20</v>
      </c>
      <c r="P25" s="59">
        <f t="shared" ref="P25" si="9">O25</f>
        <v>20</v>
      </c>
      <c r="Q25" s="59">
        <f t="shared" ref="Q25" si="10">P25</f>
        <v>20</v>
      </c>
      <c r="R25" s="59">
        <f t="shared" ref="R25" si="11">Q25</f>
        <v>20</v>
      </c>
      <c r="S25" s="59">
        <f t="shared" ref="S25" si="12">R25</f>
        <v>20</v>
      </c>
      <c r="T25" s="59">
        <f t="shared" ref="T25" si="13">S25</f>
        <v>20</v>
      </c>
      <c r="U25" s="59">
        <f t="shared" ref="U25" si="14">T25</f>
        <v>20</v>
      </c>
      <c r="V25" s="59">
        <f t="shared" ref="V25" si="15">U25</f>
        <v>20</v>
      </c>
      <c r="W25" s="59">
        <f t="shared" ref="W25" si="16">V25</f>
        <v>20</v>
      </c>
      <c r="X25" s="59">
        <f t="shared" ref="X25" si="17">W25</f>
        <v>20</v>
      </c>
      <c r="Y25" s="59">
        <f t="shared" ref="Y25" si="18">X25</f>
        <v>20</v>
      </c>
      <c r="Z25" s="59">
        <f t="shared" ref="Z25" si="19">Y25</f>
        <v>20</v>
      </c>
      <c r="AA25" s="59">
        <f t="shared" ref="AA25" si="20">Z25</f>
        <v>20</v>
      </c>
      <c r="AB25" s="59">
        <f t="shared" ref="AB25" si="21">AA25</f>
        <v>20</v>
      </c>
      <c r="AC25" s="59">
        <f t="shared" ref="AC25" si="22">AB25</f>
        <v>20</v>
      </c>
      <c r="AD25" s="59">
        <f t="shared" ref="AD25" si="23">AC25</f>
        <v>20</v>
      </c>
      <c r="AE25" s="59">
        <f t="shared" ref="AE25" si="24">AD25</f>
        <v>20</v>
      </c>
      <c r="AF25" s="59">
        <f t="shared" ref="AF25" si="25">AE25</f>
        <v>20</v>
      </c>
      <c r="AG25" s="59">
        <f t="shared" ref="AG25" si="26">AF25</f>
        <v>20</v>
      </c>
      <c r="AH25" s="59">
        <f t="shared" ref="AH25" si="27">AG25</f>
        <v>20</v>
      </c>
      <c r="AI25" s="59">
        <f t="shared" ref="AI25" si="28">AH25</f>
        <v>20</v>
      </c>
      <c r="AJ25" s="59">
        <f t="shared" ref="AJ25" si="29">AI25</f>
        <v>20</v>
      </c>
      <c r="AK25" s="59">
        <f t="shared" ref="AK25" si="30">AJ25</f>
        <v>20</v>
      </c>
      <c r="AL25" s="59">
        <f t="shared" ref="AL25" si="31">AK25</f>
        <v>20</v>
      </c>
      <c r="AM25" s="59">
        <f t="shared" ref="AM25" si="32">AL25</f>
        <v>20</v>
      </c>
      <c r="AN25" s="59">
        <f t="shared" ref="AN25" si="33">AM25</f>
        <v>20</v>
      </c>
      <c r="AO25" s="59">
        <f t="shared" ref="AO25" si="34">AN25</f>
        <v>20</v>
      </c>
      <c r="AP25" s="59">
        <f t="shared" ref="AP25" si="35">AO25</f>
        <v>20</v>
      </c>
      <c r="AQ25" s="59">
        <f t="shared" ref="AQ25" si="36">AP25</f>
        <v>20</v>
      </c>
      <c r="AR25" s="59">
        <f t="shared" ref="AR25" si="37">AQ25</f>
        <v>20</v>
      </c>
      <c r="AS25" s="59">
        <f t="shared" ref="AS25" si="38">AR25</f>
        <v>20</v>
      </c>
      <c r="AT25" s="59">
        <f t="shared" ref="AT25" si="39">AS25</f>
        <v>20</v>
      </c>
      <c r="AU25" s="59">
        <f t="shared" ref="AU25" si="40">AT25</f>
        <v>20</v>
      </c>
      <c r="AV25" s="59">
        <f t="shared" ref="AV25" si="41">AU25</f>
        <v>20</v>
      </c>
      <c r="AW25" s="59">
        <f t="shared" ref="AW25" si="42">AV25</f>
        <v>20</v>
      </c>
      <c r="AX25" s="59">
        <f t="shared" ref="AX25" si="43">AW25</f>
        <v>20</v>
      </c>
      <c r="AY25" s="59">
        <f t="shared" ref="AY25" si="44">AX25</f>
        <v>20</v>
      </c>
      <c r="AZ25" s="59">
        <f t="shared" ref="AZ25" si="45">AY25</f>
        <v>20</v>
      </c>
      <c r="BA25" s="59">
        <f t="shared" ref="BA25" si="46">AZ25</f>
        <v>20</v>
      </c>
      <c r="BB25" s="59">
        <f t="shared" ref="BB25" si="47">BA25</f>
        <v>20</v>
      </c>
      <c r="BC25" s="59">
        <f t="shared" ref="BC25" si="48">BB25</f>
        <v>20</v>
      </c>
      <c r="BD25" s="59">
        <f t="shared" ref="BD25" si="49">BC25</f>
        <v>20</v>
      </c>
      <c r="BE25" s="59">
        <f t="shared" ref="BE25" si="50">BD25</f>
        <v>20</v>
      </c>
    </row>
    <row r="26" spans="2:71">
      <c r="B26" s="146" t="s">
        <v>85</v>
      </c>
      <c r="C26" s="147"/>
      <c r="D26" s="147"/>
      <c r="E26" s="148"/>
      <c r="F26" s="59">
        <v>20</v>
      </c>
      <c r="G26" s="59">
        <v>20</v>
      </c>
      <c r="H26" s="59">
        <v>20</v>
      </c>
      <c r="I26" s="59">
        <v>20</v>
      </c>
      <c r="J26" s="59">
        <v>20</v>
      </c>
      <c r="K26" s="59">
        <v>20</v>
      </c>
      <c r="L26" s="59">
        <v>20</v>
      </c>
      <c r="M26" s="59">
        <v>20</v>
      </c>
      <c r="N26" s="59">
        <v>20</v>
      </c>
      <c r="O26" s="59">
        <v>20</v>
      </c>
      <c r="P26" s="59">
        <v>20</v>
      </c>
      <c r="Q26" s="59">
        <v>20</v>
      </c>
      <c r="R26" s="59">
        <v>20</v>
      </c>
      <c r="S26" s="59">
        <v>20</v>
      </c>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row>
    <row r="27" spans="2:71">
      <c r="B27" s="146" t="s">
        <v>86</v>
      </c>
      <c r="C27" s="147"/>
      <c r="D27" s="147"/>
      <c r="E27" s="148"/>
      <c r="F27" s="60">
        <f>F26-F25</f>
        <v>0</v>
      </c>
      <c r="G27" s="60">
        <f t="shared" ref="G27:BE27" si="51">G26-G25</f>
        <v>0</v>
      </c>
      <c r="H27" s="60">
        <f t="shared" si="51"/>
        <v>0</v>
      </c>
      <c r="I27" s="60">
        <f t="shared" si="51"/>
        <v>0</v>
      </c>
      <c r="J27" s="60">
        <f t="shared" si="51"/>
        <v>0</v>
      </c>
      <c r="K27" s="60">
        <f t="shared" si="51"/>
        <v>0</v>
      </c>
      <c r="L27" s="60">
        <f t="shared" si="51"/>
        <v>0</v>
      </c>
      <c r="M27" s="60">
        <f t="shared" si="51"/>
        <v>0</v>
      </c>
      <c r="N27" s="60">
        <f t="shared" si="51"/>
        <v>0</v>
      </c>
      <c r="O27" s="60">
        <f t="shared" si="51"/>
        <v>0</v>
      </c>
      <c r="P27" s="60">
        <f t="shared" si="51"/>
        <v>0</v>
      </c>
      <c r="Q27" s="60">
        <f t="shared" si="51"/>
        <v>0</v>
      </c>
      <c r="R27" s="60">
        <f t="shared" si="51"/>
        <v>0</v>
      </c>
      <c r="S27" s="60">
        <f t="shared" si="51"/>
        <v>0</v>
      </c>
      <c r="T27" s="60">
        <f t="shared" si="51"/>
        <v>-20</v>
      </c>
      <c r="U27" s="60">
        <f t="shared" si="51"/>
        <v>-20</v>
      </c>
      <c r="V27" s="60">
        <f t="shared" si="51"/>
        <v>-20</v>
      </c>
      <c r="W27" s="60">
        <f t="shared" si="51"/>
        <v>-20</v>
      </c>
      <c r="X27" s="60">
        <f t="shared" si="51"/>
        <v>-20</v>
      </c>
      <c r="Y27" s="60">
        <f t="shared" si="51"/>
        <v>-20</v>
      </c>
      <c r="Z27" s="60">
        <f t="shared" si="51"/>
        <v>-20</v>
      </c>
      <c r="AA27" s="60">
        <f t="shared" si="51"/>
        <v>-20</v>
      </c>
      <c r="AB27" s="60">
        <f t="shared" si="51"/>
        <v>-20</v>
      </c>
      <c r="AC27" s="60">
        <f t="shared" si="51"/>
        <v>-20</v>
      </c>
      <c r="AD27" s="60">
        <f t="shared" si="51"/>
        <v>-20</v>
      </c>
      <c r="AE27" s="60">
        <f t="shared" si="51"/>
        <v>-20</v>
      </c>
      <c r="AF27" s="60">
        <f t="shared" si="51"/>
        <v>-20</v>
      </c>
      <c r="AG27" s="60">
        <f t="shared" si="51"/>
        <v>-20</v>
      </c>
      <c r="AH27" s="60">
        <f t="shared" si="51"/>
        <v>-20</v>
      </c>
      <c r="AI27" s="60">
        <f t="shared" si="51"/>
        <v>-20</v>
      </c>
      <c r="AJ27" s="60">
        <f t="shared" si="51"/>
        <v>-20</v>
      </c>
      <c r="AK27" s="60">
        <f t="shared" si="51"/>
        <v>-20</v>
      </c>
      <c r="AL27" s="60">
        <f t="shared" si="51"/>
        <v>-20</v>
      </c>
      <c r="AM27" s="60">
        <f t="shared" si="51"/>
        <v>-20</v>
      </c>
      <c r="AN27" s="60">
        <f t="shared" si="51"/>
        <v>-20</v>
      </c>
      <c r="AO27" s="60">
        <f t="shared" si="51"/>
        <v>-20</v>
      </c>
      <c r="AP27" s="60">
        <f t="shared" si="51"/>
        <v>-20</v>
      </c>
      <c r="AQ27" s="60">
        <f t="shared" si="51"/>
        <v>-20</v>
      </c>
      <c r="AR27" s="60">
        <f t="shared" si="51"/>
        <v>-20</v>
      </c>
      <c r="AS27" s="60">
        <f t="shared" si="51"/>
        <v>-20</v>
      </c>
      <c r="AT27" s="60">
        <f t="shared" si="51"/>
        <v>-20</v>
      </c>
      <c r="AU27" s="60">
        <f t="shared" si="51"/>
        <v>-20</v>
      </c>
      <c r="AV27" s="60">
        <f t="shared" si="51"/>
        <v>-20</v>
      </c>
      <c r="AW27" s="60">
        <f t="shared" si="51"/>
        <v>-20</v>
      </c>
      <c r="AX27" s="60">
        <f t="shared" si="51"/>
        <v>-20</v>
      </c>
      <c r="AY27" s="60">
        <f t="shared" si="51"/>
        <v>-20</v>
      </c>
      <c r="AZ27" s="60">
        <f t="shared" si="51"/>
        <v>-20</v>
      </c>
      <c r="BA27" s="60">
        <f t="shared" si="51"/>
        <v>-20</v>
      </c>
      <c r="BB27" s="60">
        <f t="shared" si="51"/>
        <v>-20</v>
      </c>
      <c r="BC27" s="60">
        <f t="shared" si="51"/>
        <v>-20</v>
      </c>
      <c r="BD27" s="60">
        <f t="shared" si="51"/>
        <v>-20</v>
      </c>
      <c r="BE27" s="60">
        <f t="shared" si="51"/>
        <v>-20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Error Rate Reduction TARGET</v>
      </c>
      <c r="C30" s="147"/>
      <c r="D30" s="147"/>
      <c r="E30" s="148"/>
      <c r="F30" s="59">
        <v>20</v>
      </c>
      <c r="G30" s="59">
        <f>F30</f>
        <v>20</v>
      </c>
      <c r="H30" s="59">
        <f t="shared" ref="H30:BE30" si="52">G30</f>
        <v>20</v>
      </c>
      <c r="I30" s="59">
        <f t="shared" si="52"/>
        <v>20</v>
      </c>
      <c r="J30" s="59">
        <f t="shared" si="52"/>
        <v>20</v>
      </c>
      <c r="K30" s="59">
        <f t="shared" si="52"/>
        <v>20</v>
      </c>
      <c r="L30" s="59">
        <f t="shared" si="52"/>
        <v>20</v>
      </c>
      <c r="M30" s="59">
        <f t="shared" si="52"/>
        <v>20</v>
      </c>
      <c r="N30" s="59">
        <f t="shared" si="52"/>
        <v>20</v>
      </c>
      <c r="O30" s="59">
        <f t="shared" si="52"/>
        <v>20</v>
      </c>
      <c r="P30" s="59">
        <f t="shared" si="52"/>
        <v>20</v>
      </c>
      <c r="Q30" s="59">
        <f t="shared" si="52"/>
        <v>20</v>
      </c>
      <c r="R30" s="59">
        <f t="shared" si="52"/>
        <v>20</v>
      </c>
      <c r="S30" s="59">
        <f t="shared" si="52"/>
        <v>20</v>
      </c>
      <c r="T30" s="59">
        <f t="shared" si="52"/>
        <v>20</v>
      </c>
      <c r="U30" s="59">
        <f t="shared" si="52"/>
        <v>20</v>
      </c>
      <c r="V30" s="59">
        <f t="shared" si="52"/>
        <v>20</v>
      </c>
      <c r="W30" s="59">
        <f t="shared" si="52"/>
        <v>20</v>
      </c>
      <c r="X30" s="59">
        <f t="shared" si="52"/>
        <v>20</v>
      </c>
      <c r="Y30" s="59">
        <f t="shared" si="52"/>
        <v>20</v>
      </c>
      <c r="Z30" s="59">
        <f t="shared" si="52"/>
        <v>20</v>
      </c>
      <c r="AA30" s="59">
        <f t="shared" si="52"/>
        <v>20</v>
      </c>
      <c r="AB30" s="59">
        <f t="shared" si="52"/>
        <v>20</v>
      </c>
      <c r="AC30" s="59">
        <f t="shared" si="52"/>
        <v>20</v>
      </c>
      <c r="AD30" s="59">
        <f t="shared" si="52"/>
        <v>20</v>
      </c>
      <c r="AE30" s="59">
        <f t="shared" si="52"/>
        <v>20</v>
      </c>
      <c r="AF30" s="59">
        <f t="shared" si="52"/>
        <v>20</v>
      </c>
      <c r="AG30" s="59">
        <f t="shared" si="52"/>
        <v>20</v>
      </c>
      <c r="AH30" s="59">
        <f t="shared" si="52"/>
        <v>20</v>
      </c>
      <c r="AI30" s="59">
        <f t="shared" si="52"/>
        <v>20</v>
      </c>
      <c r="AJ30" s="59">
        <f t="shared" si="52"/>
        <v>20</v>
      </c>
      <c r="AK30" s="59">
        <f t="shared" si="52"/>
        <v>20</v>
      </c>
      <c r="AL30" s="59">
        <f t="shared" si="52"/>
        <v>20</v>
      </c>
      <c r="AM30" s="59">
        <f t="shared" si="52"/>
        <v>20</v>
      </c>
      <c r="AN30" s="59">
        <f t="shared" si="52"/>
        <v>20</v>
      </c>
      <c r="AO30" s="59">
        <f t="shared" si="52"/>
        <v>20</v>
      </c>
      <c r="AP30" s="59">
        <f t="shared" si="52"/>
        <v>20</v>
      </c>
      <c r="AQ30" s="59">
        <f t="shared" si="52"/>
        <v>20</v>
      </c>
      <c r="AR30" s="59">
        <f t="shared" si="52"/>
        <v>20</v>
      </c>
      <c r="AS30" s="59">
        <f t="shared" si="52"/>
        <v>20</v>
      </c>
      <c r="AT30" s="59">
        <f t="shared" si="52"/>
        <v>20</v>
      </c>
      <c r="AU30" s="59">
        <f t="shared" si="52"/>
        <v>20</v>
      </c>
      <c r="AV30" s="59">
        <f t="shared" si="52"/>
        <v>20</v>
      </c>
      <c r="AW30" s="59">
        <f t="shared" si="52"/>
        <v>20</v>
      </c>
      <c r="AX30" s="59">
        <f t="shared" si="52"/>
        <v>20</v>
      </c>
      <c r="AY30" s="59">
        <f t="shared" si="52"/>
        <v>20</v>
      </c>
      <c r="AZ30" s="59">
        <f t="shared" si="52"/>
        <v>20</v>
      </c>
      <c r="BA30" s="59">
        <f t="shared" si="52"/>
        <v>20</v>
      </c>
      <c r="BB30" s="59">
        <f t="shared" si="52"/>
        <v>20</v>
      </c>
      <c r="BC30" s="59">
        <f t="shared" si="52"/>
        <v>20</v>
      </c>
      <c r="BD30" s="59">
        <f t="shared" si="52"/>
        <v>20</v>
      </c>
      <c r="BE30" s="59">
        <f t="shared" si="52"/>
        <v>20</v>
      </c>
    </row>
    <row r="31" spans="2:71">
      <c r="B31" s="146" t="s">
        <v>85</v>
      </c>
      <c r="C31" s="147"/>
      <c r="D31" s="147"/>
      <c r="E31" s="148"/>
      <c r="F31" s="59">
        <v>10</v>
      </c>
      <c r="G31" s="59">
        <v>10</v>
      </c>
      <c r="H31" s="59">
        <v>10</v>
      </c>
      <c r="I31" s="59">
        <v>10</v>
      </c>
      <c r="J31" s="59">
        <v>10</v>
      </c>
      <c r="K31" s="59">
        <v>10</v>
      </c>
      <c r="L31" s="59">
        <v>10</v>
      </c>
      <c r="M31" s="59">
        <v>10</v>
      </c>
      <c r="N31" s="59">
        <v>15</v>
      </c>
      <c r="O31" s="59">
        <v>15</v>
      </c>
      <c r="P31" s="59">
        <v>15</v>
      </c>
      <c r="Q31" s="59">
        <v>15</v>
      </c>
      <c r="R31" s="59">
        <v>15</v>
      </c>
      <c r="S31" s="59">
        <v>15</v>
      </c>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row>
    <row r="32" spans="2:71">
      <c r="B32" s="146" t="s">
        <v>86</v>
      </c>
      <c r="C32" s="147"/>
      <c r="D32" s="147"/>
      <c r="E32" s="148"/>
      <c r="F32" s="60">
        <f>F31-F30</f>
        <v>-10</v>
      </c>
      <c r="G32" s="60">
        <f t="shared" ref="G32:BE32" si="53">G31-G30</f>
        <v>-10</v>
      </c>
      <c r="H32" s="60">
        <f t="shared" si="53"/>
        <v>-10</v>
      </c>
      <c r="I32" s="60">
        <f t="shared" si="53"/>
        <v>-10</v>
      </c>
      <c r="J32" s="60">
        <f t="shared" si="53"/>
        <v>-10</v>
      </c>
      <c r="K32" s="60">
        <f t="shared" si="53"/>
        <v>-10</v>
      </c>
      <c r="L32" s="60">
        <f t="shared" si="53"/>
        <v>-10</v>
      </c>
      <c r="M32" s="60">
        <f t="shared" si="53"/>
        <v>-10</v>
      </c>
      <c r="N32" s="60">
        <f t="shared" si="53"/>
        <v>-5</v>
      </c>
      <c r="O32" s="60">
        <f t="shared" si="53"/>
        <v>-5</v>
      </c>
      <c r="P32" s="60">
        <f t="shared" si="53"/>
        <v>-5</v>
      </c>
      <c r="Q32" s="60">
        <f t="shared" si="53"/>
        <v>-5</v>
      </c>
      <c r="R32" s="60">
        <f t="shared" si="53"/>
        <v>-5</v>
      </c>
      <c r="S32" s="60">
        <f t="shared" si="53"/>
        <v>-5</v>
      </c>
      <c r="T32" s="60">
        <f t="shared" si="53"/>
        <v>-20</v>
      </c>
      <c r="U32" s="60">
        <f t="shared" si="53"/>
        <v>-20</v>
      </c>
      <c r="V32" s="60">
        <f t="shared" si="53"/>
        <v>-20</v>
      </c>
      <c r="W32" s="60">
        <f t="shared" si="53"/>
        <v>-20</v>
      </c>
      <c r="X32" s="60">
        <f t="shared" si="53"/>
        <v>-20</v>
      </c>
      <c r="Y32" s="60">
        <f t="shared" si="53"/>
        <v>-20</v>
      </c>
      <c r="Z32" s="60">
        <f t="shared" si="53"/>
        <v>-20</v>
      </c>
      <c r="AA32" s="60">
        <f t="shared" si="53"/>
        <v>-20</v>
      </c>
      <c r="AB32" s="60">
        <f t="shared" si="53"/>
        <v>-20</v>
      </c>
      <c r="AC32" s="60">
        <f t="shared" si="53"/>
        <v>-20</v>
      </c>
      <c r="AD32" s="60">
        <f t="shared" si="53"/>
        <v>-20</v>
      </c>
      <c r="AE32" s="60">
        <f t="shared" si="53"/>
        <v>-20</v>
      </c>
      <c r="AF32" s="60">
        <f t="shared" si="53"/>
        <v>-20</v>
      </c>
      <c r="AG32" s="60">
        <f t="shared" si="53"/>
        <v>-20</v>
      </c>
      <c r="AH32" s="60">
        <f t="shared" si="53"/>
        <v>-20</v>
      </c>
      <c r="AI32" s="60">
        <f t="shared" si="53"/>
        <v>-20</v>
      </c>
      <c r="AJ32" s="60">
        <f t="shared" si="53"/>
        <v>-20</v>
      </c>
      <c r="AK32" s="60">
        <f t="shared" si="53"/>
        <v>-20</v>
      </c>
      <c r="AL32" s="60">
        <f t="shared" si="53"/>
        <v>-20</v>
      </c>
      <c r="AM32" s="60">
        <f t="shared" si="53"/>
        <v>-20</v>
      </c>
      <c r="AN32" s="60">
        <f t="shared" si="53"/>
        <v>-20</v>
      </c>
      <c r="AO32" s="60">
        <f t="shared" si="53"/>
        <v>-20</v>
      </c>
      <c r="AP32" s="60">
        <f t="shared" si="53"/>
        <v>-20</v>
      </c>
      <c r="AQ32" s="60">
        <f t="shared" si="53"/>
        <v>-20</v>
      </c>
      <c r="AR32" s="60">
        <f t="shared" si="53"/>
        <v>-20</v>
      </c>
      <c r="AS32" s="60">
        <f t="shared" si="53"/>
        <v>-20</v>
      </c>
      <c r="AT32" s="60">
        <f t="shared" si="53"/>
        <v>-20</v>
      </c>
      <c r="AU32" s="60">
        <f t="shared" si="53"/>
        <v>-20</v>
      </c>
      <c r="AV32" s="60">
        <f t="shared" si="53"/>
        <v>-20</v>
      </c>
      <c r="AW32" s="60">
        <f t="shared" si="53"/>
        <v>-20</v>
      </c>
      <c r="AX32" s="60">
        <f t="shared" si="53"/>
        <v>-20</v>
      </c>
      <c r="AY32" s="60">
        <f t="shared" si="53"/>
        <v>-20</v>
      </c>
      <c r="AZ32" s="60">
        <f t="shared" si="53"/>
        <v>-20</v>
      </c>
      <c r="BA32" s="60">
        <f t="shared" si="53"/>
        <v>-20</v>
      </c>
      <c r="BB32" s="60">
        <f t="shared" si="53"/>
        <v>-20</v>
      </c>
      <c r="BC32" s="60">
        <f t="shared" si="53"/>
        <v>-20</v>
      </c>
      <c r="BD32" s="60">
        <f t="shared" si="53"/>
        <v>-20</v>
      </c>
      <c r="BE32" s="60">
        <f t="shared" si="53"/>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v>0</v>
      </c>
      <c r="G35" s="59">
        <f>F35</f>
        <v>0</v>
      </c>
      <c r="H35" s="59">
        <f t="shared" ref="H35:BE35" si="54">G35</f>
        <v>0</v>
      </c>
      <c r="I35" s="59">
        <f t="shared" si="54"/>
        <v>0</v>
      </c>
      <c r="J35" s="59">
        <f t="shared" si="54"/>
        <v>0</v>
      </c>
      <c r="K35" s="59">
        <f t="shared" si="54"/>
        <v>0</v>
      </c>
      <c r="L35" s="59">
        <f t="shared" si="54"/>
        <v>0</v>
      </c>
      <c r="M35" s="59">
        <f t="shared" si="54"/>
        <v>0</v>
      </c>
      <c r="N35" s="59">
        <f t="shared" si="54"/>
        <v>0</v>
      </c>
      <c r="O35" s="59">
        <f t="shared" si="54"/>
        <v>0</v>
      </c>
      <c r="P35" s="59">
        <f t="shared" si="54"/>
        <v>0</v>
      </c>
      <c r="Q35" s="59">
        <f t="shared" si="54"/>
        <v>0</v>
      </c>
      <c r="R35" s="59">
        <f t="shared" si="54"/>
        <v>0</v>
      </c>
      <c r="S35" s="59">
        <f t="shared" si="54"/>
        <v>0</v>
      </c>
      <c r="T35" s="59">
        <f t="shared" si="54"/>
        <v>0</v>
      </c>
      <c r="U35" s="59">
        <f t="shared" si="54"/>
        <v>0</v>
      </c>
      <c r="V35" s="59">
        <f t="shared" si="54"/>
        <v>0</v>
      </c>
      <c r="W35" s="59">
        <f t="shared" si="54"/>
        <v>0</v>
      </c>
      <c r="X35" s="59">
        <f t="shared" si="54"/>
        <v>0</v>
      </c>
      <c r="Y35" s="59">
        <f t="shared" si="54"/>
        <v>0</v>
      </c>
      <c r="Z35" s="59">
        <f t="shared" si="54"/>
        <v>0</v>
      </c>
      <c r="AA35" s="59">
        <f t="shared" si="54"/>
        <v>0</v>
      </c>
      <c r="AB35" s="59">
        <f t="shared" si="54"/>
        <v>0</v>
      </c>
      <c r="AC35" s="59">
        <f t="shared" si="54"/>
        <v>0</v>
      </c>
      <c r="AD35" s="59">
        <f t="shared" si="54"/>
        <v>0</v>
      </c>
      <c r="AE35" s="59">
        <f t="shared" si="54"/>
        <v>0</v>
      </c>
      <c r="AF35" s="59">
        <f t="shared" si="54"/>
        <v>0</v>
      </c>
      <c r="AG35" s="59">
        <f t="shared" si="54"/>
        <v>0</v>
      </c>
      <c r="AH35" s="59">
        <f t="shared" si="54"/>
        <v>0</v>
      </c>
      <c r="AI35" s="59">
        <f t="shared" si="54"/>
        <v>0</v>
      </c>
      <c r="AJ35" s="59">
        <f t="shared" si="54"/>
        <v>0</v>
      </c>
      <c r="AK35" s="59">
        <f t="shared" si="54"/>
        <v>0</v>
      </c>
      <c r="AL35" s="59">
        <f t="shared" si="54"/>
        <v>0</v>
      </c>
      <c r="AM35" s="59">
        <f t="shared" si="54"/>
        <v>0</v>
      </c>
      <c r="AN35" s="59">
        <f t="shared" si="54"/>
        <v>0</v>
      </c>
      <c r="AO35" s="59">
        <f t="shared" si="54"/>
        <v>0</v>
      </c>
      <c r="AP35" s="59">
        <f t="shared" si="54"/>
        <v>0</v>
      </c>
      <c r="AQ35" s="59">
        <f t="shared" si="54"/>
        <v>0</v>
      </c>
      <c r="AR35" s="59">
        <f t="shared" si="54"/>
        <v>0</v>
      </c>
      <c r="AS35" s="59">
        <f t="shared" si="54"/>
        <v>0</v>
      </c>
      <c r="AT35" s="59">
        <f t="shared" si="54"/>
        <v>0</v>
      </c>
      <c r="AU35" s="59">
        <f t="shared" si="54"/>
        <v>0</v>
      </c>
      <c r="AV35" s="59">
        <f t="shared" si="54"/>
        <v>0</v>
      </c>
      <c r="AW35" s="59">
        <f t="shared" si="54"/>
        <v>0</v>
      </c>
      <c r="AX35" s="59">
        <f t="shared" si="54"/>
        <v>0</v>
      </c>
      <c r="AY35" s="59">
        <f t="shared" si="54"/>
        <v>0</v>
      </c>
      <c r="AZ35" s="59">
        <f t="shared" si="54"/>
        <v>0</v>
      </c>
      <c r="BA35" s="59">
        <f t="shared" si="54"/>
        <v>0</v>
      </c>
      <c r="BB35" s="59">
        <f t="shared" si="54"/>
        <v>0</v>
      </c>
      <c r="BC35" s="59">
        <f t="shared" si="54"/>
        <v>0</v>
      </c>
      <c r="BD35" s="59">
        <f t="shared" si="54"/>
        <v>0</v>
      </c>
      <c r="BE35" s="59">
        <f t="shared" si="54"/>
        <v>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0</v>
      </c>
      <c r="G37" s="60">
        <f t="shared" ref="G37:BE37" si="55">G36-G35</f>
        <v>0</v>
      </c>
      <c r="H37" s="60">
        <f t="shared" si="55"/>
        <v>0</v>
      </c>
      <c r="I37" s="60">
        <f t="shared" si="55"/>
        <v>0</v>
      </c>
      <c r="J37" s="60">
        <f t="shared" si="55"/>
        <v>0</v>
      </c>
      <c r="K37" s="60">
        <f t="shared" si="55"/>
        <v>0</v>
      </c>
      <c r="L37" s="60">
        <f t="shared" si="55"/>
        <v>0</v>
      </c>
      <c r="M37" s="60">
        <f t="shared" si="55"/>
        <v>0</v>
      </c>
      <c r="N37" s="60">
        <f t="shared" si="55"/>
        <v>0</v>
      </c>
      <c r="O37" s="60">
        <f t="shared" si="55"/>
        <v>0</v>
      </c>
      <c r="P37" s="60">
        <f t="shared" si="55"/>
        <v>0</v>
      </c>
      <c r="Q37" s="60">
        <f t="shared" si="55"/>
        <v>0</v>
      </c>
      <c r="R37" s="60">
        <f t="shared" si="55"/>
        <v>0</v>
      </c>
      <c r="S37" s="60">
        <f t="shared" si="55"/>
        <v>0</v>
      </c>
      <c r="T37" s="60">
        <f t="shared" si="55"/>
        <v>0</v>
      </c>
      <c r="U37" s="60">
        <f t="shared" si="55"/>
        <v>0</v>
      </c>
      <c r="V37" s="60">
        <f t="shared" si="55"/>
        <v>0</v>
      </c>
      <c r="W37" s="60">
        <f t="shared" si="55"/>
        <v>0</v>
      </c>
      <c r="X37" s="60">
        <f t="shared" si="55"/>
        <v>0</v>
      </c>
      <c r="Y37" s="60">
        <f t="shared" si="55"/>
        <v>0</v>
      </c>
      <c r="Z37" s="60">
        <f t="shared" si="55"/>
        <v>0</v>
      </c>
      <c r="AA37" s="60">
        <f t="shared" si="55"/>
        <v>0</v>
      </c>
      <c r="AB37" s="60">
        <f t="shared" si="55"/>
        <v>0</v>
      </c>
      <c r="AC37" s="60">
        <f t="shared" si="55"/>
        <v>0</v>
      </c>
      <c r="AD37" s="60">
        <f t="shared" si="55"/>
        <v>0</v>
      </c>
      <c r="AE37" s="60">
        <f t="shared" si="55"/>
        <v>0</v>
      </c>
      <c r="AF37" s="60">
        <f t="shared" si="55"/>
        <v>0</v>
      </c>
      <c r="AG37" s="60">
        <f t="shared" si="55"/>
        <v>0</v>
      </c>
      <c r="AH37" s="60">
        <f t="shared" si="55"/>
        <v>0</v>
      </c>
      <c r="AI37" s="60">
        <f t="shared" si="55"/>
        <v>0</v>
      </c>
      <c r="AJ37" s="60">
        <f t="shared" si="55"/>
        <v>0</v>
      </c>
      <c r="AK37" s="60">
        <f t="shared" si="55"/>
        <v>0</v>
      </c>
      <c r="AL37" s="60">
        <f t="shared" si="55"/>
        <v>0</v>
      </c>
      <c r="AM37" s="60">
        <f t="shared" si="55"/>
        <v>0</v>
      </c>
      <c r="AN37" s="60">
        <f t="shared" si="55"/>
        <v>0</v>
      </c>
      <c r="AO37" s="60">
        <f t="shared" si="55"/>
        <v>0</v>
      </c>
      <c r="AP37" s="60">
        <f t="shared" si="55"/>
        <v>0</v>
      </c>
      <c r="AQ37" s="60">
        <f t="shared" si="55"/>
        <v>0</v>
      </c>
      <c r="AR37" s="60">
        <f t="shared" si="55"/>
        <v>0</v>
      </c>
      <c r="AS37" s="60">
        <f t="shared" si="55"/>
        <v>0</v>
      </c>
      <c r="AT37" s="60">
        <f t="shared" si="55"/>
        <v>0</v>
      </c>
      <c r="AU37" s="60">
        <f t="shared" si="55"/>
        <v>0</v>
      </c>
      <c r="AV37" s="60">
        <f t="shared" si="55"/>
        <v>0</v>
      </c>
      <c r="AW37" s="60">
        <f t="shared" si="55"/>
        <v>0</v>
      </c>
      <c r="AX37" s="60">
        <f t="shared" si="55"/>
        <v>0</v>
      </c>
      <c r="AY37" s="60">
        <f t="shared" si="55"/>
        <v>0</v>
      </c>
      <c r="AZ37" s="60">
        <f t="shared" si="55"/>
        <v>0</v>
      </c>
      <c r="BA37" s="60">
        <f t="shared" si="55"/>
        <v>0</v>
      </c>
      <c r="BB37" s="60">
        <f t="shared" si="55"/>
        <v>0</v>
      </c>
      <c r="BC37" s="60">
        <f t="shared" si="55"/>
        <v>0</v>
      </c>
      <c r="BD37" s="60">
        <f t="shared" si="55"/>
        <v>0</v>
      </c>
      <c r="BE37" s="60">
        <f t="shared" si="55"/>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6">IF($X$12="Revenue Impact",F35,0)</f>
        <v>0</v>
      </c>
      <c r="G41" s="33">
        <f t="shared" si="56"/>
        <v>0</v>
      </c>
      <c r="H41" s="33">
        <f t="shared" si="56"/>
        <v>0</v>
      </c>
      <c r="I41" s="33">
        <f t="shared" si="56"/>
        <v>0</v>
      </c>
      <c r="J41" s="33">
        <f t="shared" si="56"/>
        <v>0</v>
      </c>
      <c r="K41" s="33">
        <f t="shared" si="56"/>
        <v>0</v>
      </c>
      <c r="L41" s="33">
        <f t="shared" si="56"/>
        <v>0</v>
      </c>
      <c r="M41" s="33">
        <f t="shared" si="56"/>
        <v>0</v>
      </c>
      <c r="N41" s="33">
        <f t="shared" si="56"/>
        <v>0</v>
      </c>
      <c r="O41" s="33">
        <f t="shared" si="56"/>
        <v>0</v>
      </c>
      <c r="P41" s="33">
        <f t="shared" si="56"/>
        <v>0</v>
      </c>
      <c r="Q41" s="33">
        <f t="shared" si="56"/>
        <v>0</v>
      </c>
      <c r="R41" s="33">
        <f t="shared" si="56"/>
        <v>0</v>
      </c>
      <c r="S41" s="33">
        <f t="shared" si="56"/>
        <v>0</v>
      </c>
      <c r="T41" s="33">
        <f t="shared" si="56"/>
        <v>0</v>
      </c>
      <c r="U41" s="33">
        <f t="shared" si="56"/>
        <v>0</v>
      </c>
      <c r="V41" s="33">
        <f t="shared" si="56"/>
        <v>0</v>
      </c>
      <c r="W41" s="33">
        <f t="shared" si="56"/>
        <v>0</v>
      </c>
      <c r="X41" s="33">
        <f t="shared" si="56"/>
        <v>0</v>
      </c>
      <c r="Y41" s="33">
        <f t="shared" si="56"/>
        <v>0</v>
      </c>
      <c r="Z41" s="33">
        <f t="shared" si="56"/>
        <v>0</v>
      </c>
      <c r="AA41" s="33">
        <f t="shared" si="56"/>
        <v>0</v>
      </c>
      <c r="AB41" s="33">
        <f t="shared" si="56"/>
        <v>0</v>
      </c>
      <c r="AC41" s="33">
        <f t="shared" si="56"/>
        <v>0</v>
      </c>
      <c r="AD41" s="33">
        <f t="shared" si="56"/>
        <v>0</v>
      </c>
      <c r="AE41" s="33">
        <f t="shared" si="56"/>
        <v>0</v>
      </c>
      <c r="AF41" s="33">
        <f t="shared" si="56"/>
        <v>0</v>
      </c>
      <c r="AG41" s="33">
        <f t="shared" si="56"/>
        <v>0</v>
      </c>
      <c r="AH41" s="33">
        <f t="shared" si="56"/>
        <v>0</v>
      </c>
      <c r="AI41" s="33">
        <f t="shared" si="56"/>
        <v>0</v>
      </c>
      <c r="AJ41" s="33">
        <f t="shared" si="56"/>
        <v>0</v>
      </c>
      <c r="AK41" s="33">
        <f t="shared" si="56"/>
        <v>0</v>
      </c>
      <c r="AL41" s="33">
        <f t="shared" ref="AL41:BE41" si="57">IF($X$12="Revenue Impact",AL35,0)</f>
        <v>0</v>
      </c>
      <c r="AM41" s="33">
        <f t="shared" si="57"/>
        <v>0</v>
      </c>
      <c r="AN41" s="33">
        <f t="shared" si="57"/>
        <v>0</v>
      </c>
      <c r="AO41" s="33">
        <f t="shared" si="57"/>
        <v>0</v>
      </c>
      <c r="AP41" s="33">
        <f t="shared" si="57"/>
        <v>0</v>
      </c>
      <c r="AQ41" s="33">
        <f t="shared" si="57"/>
        <v>0</v>
      </c>
      <c r="AR41" s="33">
        <f t="shared" si="57"/>
        <v>0</v>
      </c>
      <c r="AS41" s="33">
        <f t="shared" si="57"/>
        <v>0</v>
      </c>
      <c r="AT41" s="33">
        <f t="shared" si="57"/>
        <v>0</v>
      </c>
      <c r="AU41" s="33">
        <f t="shared" si="57"/>
        <v>0</v>
      </c>
      <c r="AV41" s="33">
        <f t="shared" si="57"/>
        <v>0</v>
      </c>
      <c r="AW41" s="33">
        <f t="shared" si="57"/>
        <v>0</v>
      </c>
      <c r="AX41" s="33">
        <f t="shared" si="57"/>
        <v>0</v>
      </c>
      <c r="AY41" s="33">
        <f t="shared" si="57"/>
        <v>0</v>
      </c>
      <c r="AZ41" s="33">
        <f t="shared" si="57"/>
        <v>0</v>
      </c>
      <c r="BA41" s="33">
        <f t="shared" si="57"/>
        <v>0</v>
      </c>
      <c r="BB41" s="33">
        <f t="shared" si="57"/>
        <v>0</v>
      </c>
      <c r="BC41" s="33">
        <f t="shared" si="57"/>
        <v>0</v>
      </c>
      <c r="BD41" s="33">
        <f t="shared" si="57"/>
        <v>0</v>
      </c>
      <c r="BE41" s="33">
        <f t="shared" si="57"/>
        <v>0</v>
      </c>
      <c r="BI41" s="21"/>
      <c r="BJ41" s="21"/>
    </row>
    <row r="42" spans="2:62">
      <c r="B42" s="33" t="s">
        <v>89</v>
      </c>
      <c r="C42" s="33"/>
      <c r="D42" s="33"/>
      <c r="E42" s="33"/>
      <c r="F42" s="33">
        <f t="shared" ref="F42:AK42" si="58">IF($X$12="Revenue Impact",F36,0)</f>
        <v>0</v>
      </c>
      <c r="G42" s="33">
        <f t="shared" si="58"/>
        <v>0</v>
      </c>
      <c r="H42" s="33">
        <f t="shared" si="58"/>
        <v>0</v>
      </c>
      <c r="I42" s="33">
        <f t="shared" si="58"/>
        <v>0</v>
      </c>
      <c r="J42" s="33">
        <f t="shared" si="58"/>
        <v>0</v>
      </c>
      <c r="K42" s="33">
        <f t="shared" si="58"/>
        <v>0</v>
      </c>
      <c r="L42" s="33">
        <f t="shared" si="58"/>
        <v>0</v>
      </c>
      <c r="M42" s="33">
        <f t="shared" si="58"/>
        <v>0</v>
      </c>
      <c r="N42" s="33">
        <f t="shared" si="58"/>
        <v>0</v>
      </c>
      <c r="O42" s="33">
        <f t="shared" si="58"/>
        <v>0</v>
      </c>
      <c r="P42" s="33">
        <f t="shared" si="58"/>
        <v>0</v>
      </c>
      <c r="Q42" s="33">
        <f t="shared" si="58"/>
        <v>0</v>
      </c>
      <c r="R42" s="33">
        <f t="shared" si="58"/>
        <v>0</v>
      </c>
      <c r="S42" s="33">
        <f t="shared" si="58"/>
        <v>0</v>
      </c>
      <c r="T42" s="33">
        <f t="shared" si="58"/>
        <v>0</v>
      </c>
      <c r="U42" s="33">
        <f t="shared" si="58"/>
        <v>0</v>
      </c>
      <c r="V42" s="33">
        <f t="shared" si="58"/>
        <v>0</v>
      </c>
      <c r="W42" s="33">
        <f t="shared" si="58"/>
        <v>0</v>
      </c>
      <c r="X42" s="33">
        <f t="shared" si="58"/>
        <v>0</v>
      </c>
      <c r="Y42" s="33">
        <f t="shared" si="58"/>
        <v>0</v>
      </c>
      <c r="Z42" s="33">
        <f t="shared" si="58"/>
        <v>0</v>
      </c>
      <c r="AA42" s="33">
        <f t="shared" si="58"/>
        <v>0</v>
      </c>
      <c r="AB42" s="33">
        <f t="shared" si="58"/>
        <v>0</v>
      </c>
      <c r="AC42" s="33">
        <f t="shared" si="58"/>
        <v>0</v>
      </c>
      <c r="AD42" s="33">
        <f t="shared" si="58"/>
        <v>0</v>
      </c>
      <c r="AE42" s="33">
        <f t="shared" si="58"/>
        <v>0</v>
      </c>
      <c r="AF42" s="33">
        <f t="shared" si="58"/>
        <v>0</v>
      </c>
      <c r="AG42" s="33">
        <f t="shared" si="58"/>
        <v>0</v>
      </c>
      <c r="AH42" s="33">
        <f t="shared" si="58"/>
        <v>0</v>
      </c>
      <c r="AI42" s="33">
        <f t="shared" si="58"/>
        <v>0</v>
      </c>
      <c r="AJ42" s="33">
        <f t="shared" si="58"/>
        <v>0</v>
      </c>
      <c r="AK42" s="33">
        <f t="shared" si="58"/>
        <v>0</v>
      </c>
      <c r="AL42" s="33">
        <f t="shared" ref="AL42:BE42" si="59">IF($X$12="Revenue Impact",AL36,0)</f>
        <v>0</v>
      </c>
      <c r="AM42" s="33">
        <f t="shared" si="59"/>
        <v>0</v>
      </c>
      <c r="AN42" s="33">
        <f t="shared" si="59"/>
        <v>0</v>
      </c>
      <c r="AO42" s="33">
        <f t="shared" si="59"/>
        <v>0</v>
      </c>
      <c r="AP42" s="33">
        <f t="shared" si="59"/>
        <v>0</v>
      </c>
      <c r="AQ42" s="33">
        <f t="shared" si="59"/>
        <v>0</v>
      </c>
      <c r="AR42" s="33">
        <f t="shared" si="59"/>
        <v>0</v>
      </c>
      <c r="AS42" s="33">
        <f t="shared" si="59"/>
        <v>0</v>
      </c>
      <c r="AT42" s="33">
        <f t="shared" si="59"/>
        <v>0</v>
      </c>
      <c r="AU42" s="33">
        <f t="shared" si="59"/>
        <v>0</v>
      </c>
      <c r="AV42" s="33">
        <f t="shared" si="59"/>
        <v>0</v>
      </c>
      <c r="AW42" s="33">
        <f t="shared" si="59"/>
        <v>0</v>
      </c>
      <c r="AX42" s="33">
        <f t="shared" si="59"/>
        <v>0</v>
      </c>
      <c r="AY42" s="33">
        <f t="shared" si="59"/>
        <v>0</v>
      </c>
      <c r="AZ42" s="33">
        <f t="shared" si="59"/>
        <v>0</v>
      </c>
      <c r="BA42" s="33">
        <f t="shared" si="59"/>
        <v>0</v>
      </c>
      <c r="BB42" s="33">
        <f t="shared" si="59"/>
        <v>0</v>
      </c>
      <c r="BC42" s="33">
        <f t="shared" si="59"/>
        <v>0</v>
      </c>
      <c r="BD42" s="33">
        <f t="shared" si="59"/>
        <v>0</v>
      </c>
      <c r="BE42" s="33">
        <f t="shared" si="59"/>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60">IF($X$12="Cost Savings",F35,0)</f>
        <v>0</v>
      </c>
      <c r="G44" s="33">
        <f t="shared" si="60"/>
        <v>0</v>
      </c>
      <c r="H44" s="33">
        <f t="shared" si="60"/>
        <v>0</v>
      </c>
      <c r="I44" s="33">
        <f t="shared" si="60"/>
        <v>0</v>
      </c>
      <c r="J44" s="33">
        <f t="shared" si="60"/>
        <v>0</v>
      </c>
      <c r="K44" s="33">
        <f t="shared" si="60"/>
        <v>0</v>
      </c>
      <c r="L44" s="33">
        <f t="shared" si="60"/>
        <v>0</v>
      </c>
      <c r="M44" s="33">
        <f t="shared" si="60"/>
        <v>0</v>
      </c>
      <c r="N44" s="33">
        <f t="shared" si="60"/>
        <v>0</v>
      </c>
      <c r="O44" s="33">
        <f t="shared" si="60"/>
        <v>0</v>
      </c>
      <c r="P44" s="33">
        <f t="shared" si="60"/>
        <v>0</v>
      </c>
      <c r="Q44" s="33">
        <f t="shared" si="60"/>
        <v>0</v>
      </c>
      <c r="R44" s="33">
        <f t="shared" si="60"/>
        <v>0</v>
      </c>
      <c r="S44" s="33">
        <f t="shared" si="60"/>
        <v>0</v>
      </c>
      <c r="T44" s="33">
        <f t="shared" si="60"/>
        <v>0</v>
      </c>
      <c r="U44" s="33">
        <f t="shared" si="60"/>
        <v>0</v>
      </c>
      <c r="V44" s="33">
        <f t="shared" si="60"/>
        <v>0</v>
      </c>
      <c r="W44" s="33">
        <f t="shared" si="60"/>
        <v>0</v>
      </c>
      <c r="X44" s="33">
        <f t="shared" si="60"/>
        <v>0</v>
      </c>
      <c r="Y44" s="33">
        <f t="shared" si="60"/>
        <v>0</v>
      </c>
      <c r="Z44" s="33">
        <f t="shared" si="60"/>
        <v>0</v>
      </c>
      <c r="AA44" s="33">
        <f t="shared" si="60"/>
        <v>0</v>
      </c>
      <c r="AB44" s="33">
        <f t="shared" si="60"/>
        <v>0</v>
      </c>
      <c r="AC44" s="33">
        <f t="shared" si="60"/>
        <v>0</v>
      </c>
      <c r="AD44" s="33">
        <f t="shared" si="60"/>
        <v>0</v>
      </c>
      <c r="AE44" s="33">
        <f t="shared" si="60"/>
        <v>0</v>
      </c>
      <c r="AF44" s="33">
        <f t="shared" si="60"/>
        <v>0</v>
      </c>
      <c r="AG44" s="33">
        <f t="shared" si="60"/>
        <v>0</v>
      </c>
      <c r="AH44" s="33">
        <f t="shared" si="60"/>
        <v>0</v>
      </c>
      <c r="AI44" s="33">
        <f t="shared" si="60"/>
        <v>0</v>
      </c>
      <c r="AJ44" s="33">
        <f t="shared" si="60"/>
        <v>0</v>
      </c>
      <c r="AK44" s="33">
        <f t="shared" si="60"/>
        <v>0</v>
      </c>
      <c r="AL44" s="33">
        <f t="shared" ref="AL44:BE44" si="61">IF($X$12="Cost Savings",AL35,0)</f>
        <v>0</v>
      </c>
      <c r="AM44" s="33">
        <f t="shared" si="61"/>
        <v>0</v>
      </c>
      <c r="AN44" s="33">
        <f t="shared" si="61"/>
        <v>0</v>
      </c>
      <c r="AO44" s="33">
        <f t="shared" si="61"/>
        <v>0</v>
      </c>
      <c r="AP44" s="33">
        <f t="shared" si="61"/>
        <v>0</v>
      </c>
      <c r="AQ44" s="33">
        <f t="shared" si="61"/>
        <v>0</v>
      </c>
      <c r="AR44" s="33">
        <f t="shared" si="61"/>
        <v>0</v>
      </c>
      <c r="AS44" s="33">
        <f t="shared" si="61"/>
        <v>0</v>
      </c>
      <c r="AT44" s="33">
        <f t="shared" si="61"/>
        <v>0</v>
      </c>
      <c r="AU44" s="33">
        <f t="shared" si="61"/>
        <v>0</v>
      </c>
      <c r="AV44" s="33">
        <f t="shared" si="61"/>
        <v>0</v>
      </c>
      <c r="AW44" s="33">
        <f t="shared" si="61"/>
        <v>0</v>
      </c>
      <c r="AX44" s="33">
        <f t="shared" si="61"/>
        <v>0</v>
      </c>
      <c r="AY44" s="33">
        <f t="shared" si="61"/>
        <v>0</v>
      </c>
      <c r="AZ44" s="33">
        <f t="shared" si="61"/>
        <v>0</v>
      </c>
      <c r="BA44" s="33">
        <f t="shared" si="61"/>
        <v>0</v>
      </c>
      <c r="BB44" s="33">
        <f t="shared" si="61"/>
        <v>0</v>
      </c>
      <c r="BC44" s="33">
        <f t="shared" si="61"/>
        <v>0</v>
      </c>
      <c r="BD44" s="33">
        <f t="shared" si="61"/>
        <v>0</v>
      </c>
      <c r="BE44" s="33">
        <f t="shared" si="61"/>
        <v>0</v>
      </c>
      <c r="BI44" s="21"/>
      <c r="BJ44" s="21"/>
    </row>
    <row r="45" spans="2:62">
      <c r="B45" s="33" t="s">
        <v>91</v>
      </c>
      <c r="C45" s="33"/>
      <c r="D45" s="33"/>
      <c r="E45" s="33"/>
      <c r="F45" s="33">
        <f t="shared" ref="F45:AK45" si="62">IF($X$12="Cost Savings",F36,0)</f>
        <v>0</v>
      </c>
      <c r="G45" s="33">
        <f t="shared" si="62"/>
        <v>0</v>
      </c>
      <c r="H45" s="33">
        <f t="shared" si="62"/>
        <v>0</v>
      </c>
      <c r="I45" s="33">
        <f t="shared" si="62"/>
        <v>0</v>
      </c>
      <c r="J45" s="33">
        <f t="shared" si="62"/>
        <v>0</v>
      </c>
      <c r="K45" s="33">
        <f t="shared" si="62"/>
        <v>0</v>
      </c>
      <c r="L45" s="33">
        <f t="shared" si="62"/>
        <v>0</v>
      </c>
      <c r="M45" s="33">
        <f t="shared" si="62"/>
        <v>0</v>
      </c>
      <c r="N45" s="33">
        <f t="shared" si="62"/>
        <v>0</v>
      </c>
      <c r="O45" s="33">
        <f t="shared" si="62"/>
        <v>0</v>
      </c>
      <c r="P45" s="33">
        <f t="shared" si="62"/>
        <v>0</v>
      </c>
      <c r="Q45" s="33">
        <f t="shared" si="62"/>
        <v>0</v>
      </c>
      <c r="R45" s="33">
        <f t="shared" si="62"/>
        <v>0</v>
      </c>
      <c r="S45" s="33">
        <f t="shared" si="62"/>
        <v>0</v>
      </c>
      <c r="T45" s="33">
        <f t="shared" si="62"/>
        <v>0</v>
      </c>
      <c r="U45" s="33">
        <f t="shared" si="62"/>
        <v>0</v>
      </c>
      <c r="V45" s="33">
        <f t="shared" si="62"/>
        <v>0</v>
      </c>
      <c r="W45" s="33">
        <f t="shared" si="62"/>
        <v>0</v>
      </c>
      <c r="X45" s="33">
        <f t="shared" si="62"/>
        <v>0</v>
      </c>
      <c r="Y45" s="33">
        <f t="shared" si="62"/>
        <v>0</v>
      </c>
      <c r="Z45" s="33">
        <f t="shared" si="62"/>
        <v>0</v>
      </c>
      <c r="AA45" s="33">
        <f t="shared" si="62"/>
        <v>0</v>
      </c>
      <c r="AB45" s="33">
        <f t="shared" si="62"/>
        <v>0</v>
      </c>
      <c r="AC45" s="33">
        <f t="shared" si="62"/>
        <v>0</v>
      </c>
      <c r="AD45" s="33">
        <f t="shared" si="62"/>
        <v>0</v>
      </c>
      <c r="AE45" s="33">
        <f t="shared" si="62"/>
        <v>0</v>
      </c>
      <c r="AF45" s="33">
        <f t="shared" si="62"/>
        <v>0</v>
      </c>
      <c r="AG45" s="33">
        <f t="shared" si="62"/>
        <v>0</v>
      </c>
      <c r="AH45" s="33">
        <f t="shared" si="62"/>
        <v>0</v>
      </c>
      <c r="AI45" s="33">
        <f t="shared" si="62"/>
        <v>0</v>
      </c>
      <c r="AJ45" s="33">
        <f t="shared" si="62"/>
        <v>0</v>
      </c>
      <c r="AK45" s="33">
        <f t="shared" si="62"/>
        <v>0</v>
      </c>
      <c r="AL45" s="33">
        <f t="shared" ref="AL45:BE45" si="63">IF($X$12="Cost Savings",AL36,0)</f>
        <v>0</v>
      </c>
      <c r="AM45" s="33">
        <f t="shared" si="63"/>
        <v>0</v>
      </c>
      <c r="AN45" s="33">
        <f t="shared" si="63"/>
        <v>0</v>
      </c>
      <c r="AO45" s="33">
        <f t="shared" si="63"/>
        <v>0</v>
      </c>
      <c r="AP45" s="33">
        <f t="shared" si="63"/>
        <v>0</v>
      </c>
      <c r="AQ45" s="33">
        <f t="shared" si="63"/>
        <v>0</v>
      </c>
      <c r="AR45" s="33">
        <f t="shared" si="63"/>
        <v>0</v>
      </c>
      <c r="AS45" s="33">
        <f t="shared" si="63"/>
        <v>0</v>
      </c>
      <c r="AT45" s="33">
        <f t="shared" si="63"/>
        <v>0</v>
      </c>
      <c r="AU45" s="33">
        <f t="shared" si="63"/>
        <v>0</v>
      </c>
      <c r="AV45" s="33">
        <f t="shared" si="63"/>
        <v>0</v>
      </c>
      <c r="AW45" s="33">
        <f t="shared" si="63"/>
        <v>0</v>
      </c>
      <c r="AX45" s="33">
        <f t="shared" si="63"/>
        <v>0</v>
      </c>
      <c r="AY45" s="33">
        <f t="shared" si="63"/>
        <v>0</v>
      </c>
      <c r="AZ45" s="33">
        <f t="shared" si="63"/>
        <v>0</v>
      </c>
      <c r="BA45" s="33">
        <f t="shared" si="63"/>
        <v>0</v>
      </c>
      <c r="BB45" s="33">
        <f t="shared" si="63"/>
        <v>0</v>
      </c>
      <c r="BC45" s="33">
        <f t="shared" si="63"/>
        <v>0</v>
      </c>
      <c r="BD45" s="33">
        <f t="shared" si="63"/>
        <v>0</v>
      </c>
      <c r="BE45" s="33">
        <f t="shared" si="63"/>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4">G41+G44</f>
        <v>0</v>
      </c>
      <c r="H47" s="33">
        <f t="shared" si="64"/>
        <v>0</v>
      </c>
      <c r="I47" s="33">
        <f t="shared" si="64"/>
        <v>0</v>
      </c>
      <c r="J47" s="33">
        <f t="shared" si="64"/>
        <v>0</v>
      </c>
      <c r="K47" s="33">
        <f t="shared" si="64"/>
        <v>0</v>
      </c>
      <c r="L47" s="33">
        <f t="shared" si="64"/>
        <v>0</v>
      </c>
      <c r="M47" s="33">
        <f t="shared" si="64"/>
        <v>0</v>
      </c>
      <c r="N47" s="33">
        <f t="shared" si="64"/>
        <v>0</v>
      </c>
      <c r="O47" s="33">
        <f t="shared" si="64"/>
        <v>0</v>
      </c>
      <c r="P47" s="33">
        <f t="shared" si="64"/>
        <v>0</v>
      </c>
      <c r="Q47" s="33">
        <f t="shared" si="64"/>
        <v>0</v>
      </c>
      <c r="R47" s="33">
        <f t="shared" si="64"/>
        <v>0</v>
      </c>
      <c r="S47" s="33">
        <f t="shared" si="64"/>
        <v>0</v>
      </c>
      <c r="T47" s="33">
        <f t="shared" si="64"/>
        <v>0</v>
      </c>
      <c r="U47" s="33">
        <f t="shared" si="64"/>
        <v>0</v>
      </c>
      <c r="V47" s="33">
        <f t="shared" si="64"/>
        <v>0</v>
      </c>
      <c r="W47" s="33">
        <f t="shared" si="64"/>
        <v>0</v>
      </c>
      <c r="X47" s="33">
        <f t="shared" si="64"/>
        <v>0</v>
      </c>
      <c r="Y47" s="33">
        <f t="shared" si="64"/>
        <v>0</v>
      </c>
      <c r="Z47" s="33">
        <f t="shared" si="64"/>
        <v>0</v>
      </c>
      <c r="AA47" s="33">
        <f t="shared" si="64"/>
        <v>0</v>
      </c>
      <c r="AB47" s="33">
        <f t="shared" si="64"/>
        <v>0</v>
      </c>
      <c r="AC47" s="33">
        <f t="shared" si="64"/>
        <v>0</v>
      </c>
      <c r="AD47" s="33">
        <f t="shared" si="64"/>
        <v>0</v>
      </c>
      <c r="AE47" s="33">
        <f t="shared" si="64"/>
        <v>0</v>
      </c>
      <c r="AF47" s="33">
        <f t="shared" si="64"/>
        <v>0</v>
      </c>
      <c r="AG47" s="33">
        <f t="shared" si="64"/>
        <v>0</v>
      </c>
      <c r="AH47" s="33">
        <f t="shared" si="64"/>
        <v>0</v>
      </c>
      <c r="AI47" s="33">
        <f t="shared" si="64"/>
        <v>0</v>
      </c>
      <c r="AJ47" s="33">
        <f t="shared" si="64"/>
        <v>0</v>
      </c>
      <c r="AK47" s="33">
        <f t="shared" si="64"/>
        <v>0</v>
      </c>
      <c r="AL47" s="33">
        <f t="shared" si="64"/>
        <v>0</v>
      </c>
      <c r="AM47" s="33">
        <f t="shared" si="64"/>
        <v>0</v>
      </c>
      <c r="AN47" s="33">
        <f t="shared" si="64"/>
        <v>0</v>
      </c>
      <c r="AO47" s="33">
        <f t="shared" si="64"/>
        <v>0</v>
      </c>
      <c r="AP47" s="33">
        <f t="shared" si="64"/>
        <v>0</v>
      </c>
      <c r="AQ47" s="33">
        <f t="shared" si="64"/>
        <v>0</v>
      </c>
      <c r="AR47" s="33">
        <f t="shared" si="64"/>
        <v>0</v>
      </c>
      <c r="AS47" s="33">
        <f t="shared" si="64"/>
        <v>0</v>
      </c>
      <c r="AT47" s="33">
        <f t="shared" si="64"/>
        <v>0</v>
      </c>
      <c r="AU47" s="33">
        <f t="shared" si="64"/>
        <v>0</v>
      </c>
      <c r="AV47" s="33">
        <f t="shared" si="64"/>
        <v>0</v>
      </c>
      <c r="AW47" s="33">
        <f t="shared" si="64"/>
        <v>0</v>
      </c>
      <c r="AX47" s="33">
        <f t="shared" si="64"/>
        <v>0</v>
      </c>
      <c r="AY47" s="33">
        <f t="shared" si="64"/>
        <v>0</v>
      </c>
      <c r="AZ47" s="33">
        <f t="shared" si="64"/>
        <v>0</v>
      </c>
      <c r="BA47" s="33">
        <f t="shared" si="64"/>
        <v>0</v>
      </c>
      <c r="BB47" s="33">
        <f t="shared" si="64"/>
        <v>0</v>
      </c>
      <c r="BC47" s="33">
        <f t="shared" si="64"/>
        <v>0</v>
      </c>
      <c r="BD47" s="33">
        <f t="shared" si="64"/>
        <v>0</v>
      </c>
      <c r="BE47" s="33">
        <f t="shared" si="64"/>
        <v>0</v>
      </c>
    </row>
    <row r="48" spans="2:62">
      <c r="B48" s="33" t="s">
        <v>13</v>
      </c>
      <c r="C48" s="33"/>
      <c r="D48" s="33"/>
      <c r="E48" s="33"/>
      <c r="F48" s="33">
        <f t="shared" ref="F48:BE48" si="65">F42+F45</f>
        <v>0</v>
      </c>
      <c r="G48" s="33">
        <f t="shared" si="65"/>
        <v>0</v>
      </c>
      <c r="H48" s="33">
        <f t="shared" si="65"/>
        <v>0</v>
      </c>
      <c r="I48" s="33">
        <f t="shared" si="65"/>
        <v>0</v>
      </c>
      <c r="J48" s="33">
        <f t="shared" si="65"/>
        <v>0</v>
      </c>
      <c r="K48" s="33">
        <f t="shared" si="65"/>
        <v>0</v>
      </c>
      <c r="L48" s="33">
        <f t="shared" si="65"/>
        <v>0</v>
      </c>
      <c r="M48" s="33">
        <f t="shared" si="65"/>
        <v>0</v>
      </c>
      <c r="N48" s="33">
        <f t="shared" si="65"/>
        <v>0</v>
      </c>
      <c r="O48" s="33">
        <f t="shared" si="65"/>
        <v>0</v>
      </c>
      <c r="P48" s="33">
        <f t="shared" si="65"/>
        <v>0</v>
      </c>
      <c r="Q48" s="33">
        <f t="shared" si="65"/>
        <v>0</v>
      </c>
      <c r="R48" s="33">
        <f t="shared" si="65"/>
        <v>0</v>
      </c>
      <c r="S48" s="33">
        <f t="shared" si="65"/>
        <v>0</v>
      </c>
      <c r="T48" s="33">
        <f t="shared" si="65"/>
        <v>0</v>
      </c>
      <c r="U48" s="33">
        <f t="shared" si="65"/>
        <v>0</v>
      </c>
      <c r="V48" s="33">
        <f t="shared" si="65"/>
        <v>0</v>
      </c>
      <c r="W48" s="33">
        <f t="shared" si="65"/>
        <v>0</v>
      </c>
      <c r="X48" s="33">
        <f t="shared" si="65"/>
        <v>0</v>
      </c>
      <c r="Y48" s="33">
        <f t="shared" si="65"/>
        <v>0</v>
      </c>
      <c r="Z48" s="33">
        <f t="shared" si="65"/>
        <v>0</v>
      </c>
      <c r="AA48" s="33">
        <f t="shared" si="65"/>
        <v>0</v>
      </c>
      <c r="AB48" s="33">
        <f t="shared" si="65"/>
        <v>0</v>
      </c>
      <c r="AC48" s="33">
        <f t="shared" si="65"/>
        <v>0</v>
      </c>
      <c r="AD48" s="33">
        <f t="shared" si="65"/>
        <v>0</v>
      </c>
      <c r="AE48" s="33">
        <f t="shared" si="65"/>
        <v>0</v>
      </c>
      <c r="AF48" s="33">
        <f t="shared" si="65"/>
        <v>0</v>
      </c>
      <c r="AG48" s="33">
        <f t="shared" si="65"/>
        <v>0</v>
      </c>
      <c r="AH48" s="33">
        <f t="shared" si="65"/>
        <v>0</v>
      </c>
      <c r="AI48" s="33">
        <f t="shared" si="65"/>
        <v>0</v>
      </c>
      <c r="AJ48" s="33">
        <f t="shared" si="65"/>
        <v>0</v>
      </c>
      <c r="AK48" s="33">
        <f t="shared" si="65"/>
        <v>0</v>
      </c>
      <c r="AL48" s="33">
        <f t="shared" si="65"/>
        <v>0</v>
      </c>
      <c r="AM48" s="33">
        <f t="shared" si="65"/>
        <v>0</v>
      </c>
      <c r="AN48" s="33">
        <f t="shared" si="65"/>
        <v>0</v>
      </c>
      <c r="AO48" s="33">
        <f t="shared" si="65"/>
        <v>0</v>
      </c>
      <c r="AP48" s="33">
        <f t="shared" si="65"/>
        <v>0</v>
      </c>
      <c r="AQ48" s="33">
        <f t="shared" si="65"/>
        <v>0</v>
      </c>
      <c r="AR48" s="33">
        <f t="shared" si="65"/>
        <v>0</v>
      </c>
      <c r="AS48" s="33">
        <f t="shared" si="65"/>
        <v>0</v>
      </c>
      <c r="AT48" s="33">
        <f t="shared" si="65"/>
        <v>0</v>
      </c>
      <c r="AU48" s="33">
        <f t="shared" si="65"/>
        <v>0</v>
      </c>
      <c r="AV48" s="33">
        <f t="shared" si="65"/>
        <v>0</v>
      </c>
      <c r="AW48" s="33">
        <f t="shared" si="65"/>
        <v>0</v>
      </c>
      <c r="AX48" s="33">
        <f t="shared" si="65"/>
        <v>0</v>
      </c>
      <c r="AY48" s="33">
        <f t="shared" si="65"/>
        <v>0</v>
      </c>
      <c r="AZ48" s="33">
        <f t="shared" si="65"/>
        <v>0</v>
      </c>
      <c r="BA48" s="33">
        <f t="shared" si="65"/>
        <v>0</v>
      </c>
      <c r="BB48" s="33">
        <f t="shared" si="65"/>
        <v>0</v>
      </c>
      <c r="BC48" s="33">
        <f t="shared" si="65"/>
        <v>0</v>
      </c>
      <c r="BD48" s="33">
        <f t="shared" si="65"/>
        <v>0</v>
      </c>
      <c r="BE48" s="33">
        <f t="shared" si="65"/>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6">IF($AZ$3&gt;F24,F47,0)</f>
        <v>0</v>
      </c>
      <c r="G50" s="33">
        <f t="shared" ca="1" si="66"/>
        <v>0</v>
      </c>
      <c r="H50" s="33">
        <f t="shared" ca="1" si="66"/>
        <v>0</v>
      </c>
      <c r="I50" s="33">
        <f t="shared" ca="1" si="66"/>
        <v>0</v>
      </c>
      <c r="J50" s="33">
        <f t="shared" ca="1" si="66"/>
        <v>0</v>
      </c>
      <c r="K50" s="33">
        <f t="shared" ca="1" si="66"/>
        <v>0</v>
      </c>
      <c r="L50" s="33">
        <f t="shared" ca="1" si="66"/>
        <v>0</v>
      </c>
      <c r="M50" s="33">
        <f t="shared" ca="1" si="66"/>
        <v>0</v>
      </c>
      <c r="N50" s="33">
        <f t="shared" ca="1" si="66"/>
        <v>0</v>
      </c>
      <c r="O50" s="33">
        <f t="shared" ca="1" si="66"/>
        <v>0</v>
      </c>
      <c r="P50" s="33">
        <f t="shared" ca="1" si="66"/>
        <v>0</v>
      </c>
      <c r="Q50" s="33">
        <f t="shared" ca="1" si="66"/>
        <v>0</v>
      </c>
      <c r="R50" s="33">
        <f t="shared" ca="1" si="66"/>
        <v>0</v>
      </c>
      <c r="S50" s="33">
        <f t="shared" ca="1" si="66"/>
        <v>0</v>
      </c>
      <c r="T50" s="33">
        <f t="shared" ca="1" si="66"/>
        <v>0</v>
      </c>
      <c r="U50" s="33">
        <f t="shared" ca="1" si="66"/>
        <v>0</v>
      </c>
      <c r="V50" s="33">
        <f t="shared" ca="1" si="66"/>
        <v>0</v>
      </c>
      <c r="W50" s="33">
        <f t="shared" ca="1" si="66"/>
        <v>0</v>
      </c>
      <c r="X50" s="33">
        <f t="shared" ca="1" si="66"/>
        <v>0</v>
      </c>
      <c r="Y50" s="33">
        <f t="shared" ca="1" si="66"/>
        <v>0</v>
      </c>
      <c r="Z50" s="33">
        <f t="shared" ca="1" si="66"/>
        <v>0</v>
      </c>
      <c r="AA50" s="33">
        <f t="shared" ca="1" si="66"/>
        <v>0</v>
      </c>
      <c r="AB50" s="33">
        <f t="shared" ca="1" si="66"/>
        <v>0</v>
      </c>
      <c r="AC50" s="33">
        <f t="shared" ca="1" si="66"/>
        <v>0</v>
      </c>
      <c r="AD50" s="33">
        <f t="shared" ca="1" si="66"/>
        <v>0</v>
      </c>
      <c r="AE50" s="33">
        <f t="shared" ca="1" si="66"/>
        <v>0</v>
      </c>
      <c r="AF50" s="33">
        <f t="shared" ca="1" si="66"/>
        <v>0</v>
      </c>
      <c r="AG50" s="33">
        <f t="shared" ca="1" si="66"/>
        <v>0</v>
      </c>
      <c r="AH50" s="33">
        <f t="shared" ca="1" si="66"/>
        <v>0</v>
      </c>
      <c r="AI50" s="33">
        <f t="shared" ca="1" si="66"/>
        <v>0</v>
      </c>
      <c r="AJ50" s="33">
        <f t="shared" ca="1" si="66"/>
        <v>0</v>
      </c>
      <c r="AK50" s="33">
        <f t="shared" ca="1" si="66"/>
        <v>0</v>
      </c>
      <c r="AL50" s="33">
        <f t="shared" ref="AL50:BE50" ca="1" si="67">IF($AZ$3&gt;AL24,AL47,0)</f>
        <v>0</v>
      </c>
      <c r="AM50" s="33">
        <f t="shared" ca="1" si="67"/>
        <v>0</v>
      </c>
      <c r="AN50" s="33">
        <f t="shared" ca="1" si="67"/>
        <v>0</v>
      </c>
      <c r="AO50" s="33">
        <f t="shared" ca="1" si="67"/>
        <v>0</v>
      </c>
      <c r="AP50" s="33">
        <f t="shared" ca="1" si="67"/>
        <v>0</v>
      </c>
      <c r="AQ50" s="33">
        <f t="shared" ca="1" si="67"/>
        <v>0</v>
      </c>
      <c r="AR50" s="33">
        <f t="shared" ca="1" si="67"/>
        <v>0</v>
      </c>
      <c r="AS50" s="33">
        <f t="shared" ca="1" si="67"/>
        <v>0</v>
      </c>
      <c r="AT50" s="33">
        <f t="shared" ca="1" si="67"/>
        <v>0</v>
      </c>
      <c r="AU50" s="33">
        <f t="shared" ca="1" si="67"/>
        <v>0</v>
      </c>
      <c r="AV50" s="33">
        <f t="shared" ca="1" si="67"/>
        <v>0</v>
      </c>
      <c r="AW50" s="33">
        <f t="shared" ca="1" si="67"/>
        <v>0</v>
      </c>
      <c r="AX50" s="33">
        <f t="shared" ca="1" si="67"/>
        <v>0</v>
      </c>
      <c r="AY50" s="33">
        <f t="shared" ca="1" si="67"/>
        <v>0</v>
      </c>
      <c r="AZ50" s="33">
        <f t="shared" ca="1" si="67"/>
        <v>0</v>
      </c>
      <c r="BA50" s="33">
        <f t="shared" ca="1" si="67"/>
        <v>0</v>
      </c>
      <c r="BB50" s="33">
        <f t="shared" ca="1" si="67"/>
        <v>0</v>
      </c>
      <c r="BC50" s="33">
        <f t="shared" ca="1" si="67"/>
        <v>0</v>
      </c>
      <c r="BD50" s="33">
        <f t="shared" ca="1" si="67"/>
        <v>0</v>
      </c>
      <c r="BE50" s="33">
        <f t="shared" ca="1" si="67"/>
        <v>0</v>
      </c>
    </row>
    <row r="51" spans="2:57">
      <c r="B51" s="33" t="s">
        <v>94</v>
      </c>
      <c r="C51" s="33"/>
      <c r="D51" s="33"/>
      <c r="E51" s="33">
        <f ca="1">MAX(F51:BE51)</f>
        <v>0</v>
      </c>
      <c r="F51" s="33">
        <f t="shared" ref="F51:AK51" ca="1" si="68">IF($AZ$3&gt;F25,F48,0)</f>
        <v>0</v>
      </c>
      <c r="G51" s="33">
        <f t="shared" ca="1" si="68"/>
        <v>0</v>
      </c>
      <c r="H51" s="33">
        <f t="shared" ca="1" si="68"/>
        <v>0</v>
      </c>
      <c r="I51" s="33">
        <f t="shared" ca="1" si="68"/>
        <v>0</v>
      </c>
      <c r="J51" s="33">
        <f t="shared" ca="1" si="68"/>
        <v>0</v>
      </c>
      <c r="K51" s="33">
        <f t="shared" ca="1" si="68"/>
        <v>0</v>
      </c>
      <c r="L51" s="33">
        <f t="shared" ca="1" si="68"/>
        <v>0</v>
      </c>
      <c r="M51" s="33">
        <f t="shared" ca="1" si="68"/>
        <v>0</v>
      </c>
      <c r="N51" s="33">
        <f t="shared" ca="1" si="68"/>
        <v>0</v>
      </c>
      <c r="O51" s="33">
        <f t="shared" ca="1" si="68"/>
        <v>0</v>
      </c>
      <c r="P51" s="33">
        <f t="shared" ca="1" si="68"/>
        <v>0</v>
      </c>
      <c r="Q51" s="33">
        <f t="shared" ca="1" si="68"/>
        <v>0</v>
      </c>
      <c r="R51" s="33">
        <f t="shared" ca="1" si="68"/>
        <v>0</v>
      </c>
      <c r="S51" s="33">
        <f t="shared" ca="1" si="68"/>
        <v>0</v>
      </c>
      <c r="T51" s="33">
        <f t="shared" ca="1" si="68"/>
        <v>0</v>
      </c>
      <c r="U51" s="33">
        <f t="shared" ca="1" si="68"/>
        <v>0</v>
      </c>
      <c r="V51" s="33">
        <f t="shared" ca="1" si="68"/>
        <v>0</v>
      </c>
      <c r="W51" s="33">
        <f t="shared" ca="1" si="68"/>
        <v>0</v>
      </c>
      <c r="X51" s="33">
        <f t="shared" ca="1" si="68"/>
        <v>0</v>
      </c>
      <c r="Y51" s="33">
        <f t="shared" ca="1" si="68"/>
        <v>0</v>
      </c>
      <c r="Z51" s="33">
        <f t="shared" ca="1" si="68"/>
        <v>0</v>
      </c>
      <c r="AA51" s="33">
        <f t="shared" ca="1" si="68"/>
        <v>0</v>
      </c>
      <c r="AB51" s="33">
        <f t="shared" ca="1" si="68"/>
        <v>0</v>
      </c>
      <c r="AC51" s="33">
        <f t="shared" ca="1" si="68"/>
        <v>0</v>
      </c>
      <c r="AD51" s="33">
        <f t="shared" ca="1" si="68"/>
        <v>0</v>
      </c>
      <c r="AE51" s="33">
        <f t="shared" ca="1" si="68"/>
        <v>0</v>
      </c>
      <c r="AF51" s="33">
        <f t="shared" ca="1" si="68"/>
        <v>0</v>
      </c>
      <c r="AG51" s="33">
        <f t="shared" ca="1" si="68"/>
        <v>0</v>
      </c>
      <c r="AH51" s="33">
        <f t="shared" ca="1" si="68"/>
        <v>0</v>
      </c>
      <c r="AI51" s="33">
        <f t="shared" ca="1" si="68"/>
        <v>0</v>
      </c>
      <c r="AJ51" s="33">
        <f t="shared" ca="1" si="68"/>
        <v>0</v>
      </c>
      <c r="AK51" s="33">
        <f t="shared" ca="1" si="68"/>
        <v>0</v>
      </c>
      <c r="AL51" s="33">
        <f t="shared" ref="AL51:BE51" ca="1" si="69">IF($AZ$3&gt;AL25,AL48,0)</f>
        <v>0</v>
      </c>
      <c r="AM51" s="33">
        <f t="shared" ca="1" si="69"/>
        <v>0</v>
      </c>
      <c r="AN51" s="33">
        <f t="shared" ca="1" si="69"/>
        <v>0</v>
      </c>
      <c r="AO51" s="33">
        <f t="shared" ca="1" si="69"/>
        <v>0</v>
      </c>
      <c r="AP51" s="33">
        <f t="shared" ca="1" si="69"/>
        <v>0</v>
      </c>
      <c r="AQ51" s="33">
        <f t="shared" ca="1" si="69"/>
        <v>0</v>
      </c>
      <c r="AR51" s="33">
        <f t="shared" ca="1" si="69"/>
        <v>0</v>
      </c>
      <c r="AS51" s="33">
        <f t="shared" ca="1" si="69"/>
        <v>0</v>
      </c>
      <c r="AT51" s="33">
        <f t="shared" ca="1" si="69"/>
        <v>0</v>
      </c>
      <c r="AU51" s="33">
        <f t="shared" ca="1" si="69"/>
        <v>0</v>
      </c>
      <c r="AV51" s="33">
        <f t="shared" ca="1" si="69"/>
        <v>0</v>
      </c>
      <c r="AW51" s="33">
        <f t="shared" ca="1" si="69"/>
        <v>0</v>
      </c>
      <c r="AX51" s="33">
        <f t="shared" ca="1" si="69"/>
        <v>0</v>
      </c>
      <c r="AY51" s="33">
        <f t="shared" ca="1" si="69"/>
        <v>0</v>
      </c>
      <c r="AZ51" s="33">
        <f t="shared" ca="1" si="69"/>
        <v>0</v>
      </c>
      <c r="BA51" s="33">
        <f t="shared" ca="1" si="69"/>
        <v>0</v>
      </c>
      <c r="BB51" s="33">
        <f t="shared" ca="1" si="69"/>
        <v>0</v>
      </c>
      <c r="BC51" s="33">
        <f t="shared" ca="1" si="69"/>
        <v>0</v>
      </c>
      <c r="BD51" s="33">
        <f t="shared" ca="1" si="69"/>
        <v>0</v>
      </c>
      <c r="BE51" s="33">
        <f t="shared" ca="1" si="69"/>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4" priority="1" operator="equal">
      <formula>"No Change"</formula>
    </cfRule>
    <cfRule type="cellIs" dxfId="63" priority="2" operator="equal">
      <formula>"Progression"</formula>
    </cfRule>
  </conditionalFormatting>
  <conditionalFormatting sqref="AU10:AU21">
    <cfRule type="expression" dxfId="62" priority="3">
      <formula>IFERROR(FIND("Ahead",AU10),0)&gt;0</formula>
    </cfRule>
    <cfRule type="expression" dxfId="61" priority="4">
      <formula>IFERROR(FIND("Overdue",AU10),0)&gt;0</formula>
    </cfRule>
    <cfRule type="cellIs" dxfId="60" priority="5" operator="equal">
      <formula>"Met Target"</formula>
    </cfRule>
    <cfRule type="cellIs" dxfId="59" priority="6" operator="equal">
      <formula>"Missing Target"</formula>
    </cfRule>
    <cfRule type="expression" dxfId="5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27" activePane="bottomRight" state="frozen"/>
      <selection pane="bottomRight" activeCell="BJ34" sqref="BJ34"/>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115</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Customer Feature - New</v>
      </c>
      <c r="AP3" s="87"/>
      <c r="AQ3" s="87"/>
      <c r="AR3" s="87"/>
      <c r="AS3" s="87"/>
      <c r="AT3" s="87"/>
      <c r="AU3" s="87"/>
      <c r="AV3" s="92">
        <f>IF(F7="",0,VLOOKUP(F7,Lookups!B4:H8,3))</f>
        <v>200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Pilot</v>
      </c>
      <c r="AP4" s="87"/>
      <c r="AQ4" s="87"/>
      <c r="AR4" s="87"/>
      <c r="AS4" s="87"/>
      <c r="AT4" s="87"/>
      <c r="AU4" s="87"/>
      <c r="AV4" s="89">
        <f ca="1">IF(AO4="Not Def",0,VLOOKUP(AO4,Lookups!L4:M8,2))</f>
        <v>0.7</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116</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Pilot</v>
      </c>
      <c r="AP5" s="87"/>
      <c r="AQ5" s="88" t="str">
        <f ca="1">IF(AV5=1,"No Change","Progression")</f>
        <v>No Change</v>
      </c>
      <c r="AR5" s="88"/>
      <c r="AS5" s="88"/>
      <c r="AT5" s="88"/>
      <c r="AU5" s="88"/>
      <c r="AV5" s="89">
        <f ca="1">IF(AO4="Not Def",0,IF(AO5=AO4,1,1.2))</f>
        <v>1</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140</v>
      </c>
      <c r="AW6" s="104"/>
      <c r="AX6" s="104"/>
      <c r="AY6" s="18"/>
      <c r="AZ6" s="18"/>
      <c r="BA6" s="18"/>
      <c r="BB6" s="18"/>
      <c r="BC6" s="18"/>
      <c r="BD6" s="18"/>
      <c r="BH6" s="13"/>
      <c r="BI6" s="17"/>
      <c r="BJ6" s="17"/>
      <c r="BK6" s="17"/>
    </row>
    <row r="7" spans="2:71" ht="28.5" customHeight="1" thickBot="1">
      <c r="B7" s="99" t="s">
        <v>34</v>
      </c>
      <c r="C7" s="100"/>
      <c r="D7" s="100"/>
      <c r="E7" s="101"/>
      <c r="F7" s="105" t="s">
        <v>117</v>
      </c>
      <c r="G7" s="106"/>
      <c r="H7" s="106"/>
      <c r="I7" s="106"/>
      <c r="J7" s="106"/>
      <c r="K7" s="106"/>
      <c r="L7" s="106"/>
      <c r="M7" s="106"/>
      <c r="N7" s="106"/>
      <c r="O7" s="106"/>
      <c r="P7" s="106"/>
      <c r="Q7" s="106"/>
      <c r="R7" s="106"/>
      <c r="S7" s="106"/>
      <c r="T7" s="106"/>
      <c r="U7" s="106"/>
      <c r="V7" s="106"/>
      <c r="W7" s="106"/>
      <c r="X7" s="107"/>
      <c r="Y7" s="99" t="s">
        <v>10</v>
      </c>
      <c r="Z7" s="100"/>
      <c r="AA7" s="100"/>
      <c r="AB7" s="101"/>
      <c r="AC7" s="108" t="s">
        <v>107</v>
      </c>
      <c r="AD7" s="109"/>
      <c r="AE7" s="110"/>
      <c r="BH7" s="13"/>
      <c r="BI7" s="13"/>
      <c r="BJ7" s="17"/>
      <c r="BK7" s="17"/>
    </row>
    <row r="8" spans="2:71" ht="28.5" customHeight="1" thickBot="1">
      <c r="B8" s="99" t="s">
        <v>8</v>
      </c>
      <c r="C8" s="100"/>
      <c r="D8" s="100"/>
      <c r="E8" s="101"/>
      <c r="F8" s="111" t="str">
        <f>IF(F7="","",VLOOKUP(F7,Lookups!B4:H8,2))</f>
        <v>Customer Feature - New</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Predictive analytics modules, AI-powered workflow automation, intelligent decision support systems</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44941</v>
      </c>
      <c r="AP10" s="114"/>
      <c r="AQ10" s="114"/>
      <c r="AR10" s="114">
        <v>44941</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44941</v>
      </c>
      <c r="AP11" s="114"/>
      <c r="AQ11" s="114"/>
      <c r="AR11" s="114">
        <v>44941</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Market Differentiation</v>
      </c>
      <c r="G12" s="117"/>
      <c r="H12" s="117"/>
      <c r="I12" s="117"/>
      <c r="J12" s="117"/>
      <c r="K12" s="117"/>
      <c r="L12" s="117"/>
      <c r="M12" s="118"/>
      <c r="O12" s="116" t="str">
        <f>IF(F7="","",VLOOKUP(F7,Lookups!B4:H8,6))</f>
        <v>Competitive Advantage</v>
      </c>
      <c r="P12" s="117"/>
      <c r="Q12" s="117"/>
      <c r="R12" s="117"/>
      <c r="S12" s="117"/>
      <c r="T12" s="117"/>
      <c r="U12" s="117"/>
      <c r="V12" s="118"/>
      <c r="X12" s="116" t="str">
        <f>IF(F7="","",VLOOKUP(F7,Lookups!B4:H8,7))</f>
        <v>Revenue Impact</v>
      </c>
      <c r="Y12" s="117"/>
      <c r="Z12" s="117"/>
      <c r="AA12" s="117"/>
      <c r="AB12" s="117"/>
      <c r="AC12" s="117"/>
      <c r="AD12" s="117"/>
      <c r="AE12" s="118"/>
      <c r="AG12" s="121"/>
      <c r="AH12" s="121"/>
      <c r="AI12" s="121"/>
      <c r="AJ12" s="122" t="s">
        <v>50</v>
      </c>
      <c r="AK12" s="122"/>
      <c r="AL12" s="122"/>
      <c r="AM12" s="122"/>
      <c r="AN12" s="122"/>
      <c r="AO12" s="114">
        <v>44941</v>
      </c>
      <c r="AP12" s="114"/>
      <c r="AQ12" s="114"/>
      <c r="AR12" s="114">
        <v>44941</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118</v>
      </c>
      <c r="C13" s="124"/>
      <c r="D13" s="125"/>
      <c r="F13" s="24" t="s">
        <v>52</v>
      </c>
      <c r="G13" s="71" t="s">
        <v>119</v>
      </c>
      <c r="H13" s="72"/>
      <c r="I13" s="72"/>
      <c r="J13" s="72"/>
      <c r="K13" s="72"/>
      <c r="L13" s="72"/>
      <c r="M13" s="73"/>
      <c r="O13" s="24" t="s">
        <v>52</v>
      </c>
      <c r="P13" s="71" t="s">
        <v>120</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44972</v>
      </c>
      <c r="AP13" s="114"/>
      <c r="AQ13" s="114"/>
      <c r="AR13" s="114">
        <v>44972</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44972</v>
      </c>
      <c r="AP14" s="114"/>
      <c r="AQ14" s="114"/>
      <c r="AR14" s="114">
        <v>44972</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121</v>
      </c>
      <c r="G15" s="133"/>
      <c r="H15" s="133"/>
      <c r="I15" s="133"/>
      <c r="J15" s="133"/>
      <c r="K15" s="133"/>
      <c r="L15" s="133"/>
      <c r="M15" s="134"/>
      <c r="O15" s="132" t="s">
        <v>122</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v>44972</v>
      </c>
      <c r="AP15" s="114"/>
      <c r="AQ15" s="114"/>
      <c r="AR15" s="114">
        <v>44972</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45352</v>
      </c>
      <c r="AP16" s="114"/>
      <c r="AQ16" s="114"/>
      <c r="AR16" s="114">
        <v>45352</v>
      </c>
      <c r="AS16" s="114"/>
      <c r="AT16" s="114"/>
      <c r="AU16" s="115" t="str">
        <f t="shared" si="1"/>
        <v>OK</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45627</v>
      </c>
      <c r="AP17" s="114"/>
      <c r="AQ17" s="114"/>
      <c r="AR17" s="114">
        <v>45627</v>
      </c>
      <c r="AS17" s="114"/>
      <c r="AT17" s="114"/>
      <c r="AU17" s="115" t="str">
        <f t="shared" si="1"/>
        <v>OK</v>
      </c>
      <c r="AV17" s="115"/>
      <c r="AW17" s="115"/>
      <c r="AX17" s="115"/>
      <c r="AY17" s="158"/>
      <c r="AZ17" s="158"/>
      <c r="BA17" s="158"/>
      <c r="BB17" s="158"/>
      <c r="BC17" s="158"/>
      <c r="BD17" s="158"/>
      <c r="BE17" s="158"/>
      <c r="BL17" s="15"/>
      <c r="BS17" s="12"/>
    </row>
    <row r="18" spans="2:71" ht="28.5" customHeight="1" thickBot="1">
      <c r="B18" s="25" t="s">
        <v>67</v>
      </c>
      <c r="C18" s="74" t="s">
        <v>123</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45627</v>
      </c>
      <c r="AP18" s="114"/>
      <c r="AQ18" s="114"/>
      <c r="AR18" s="114">
        <v>45627</v>
      </c>
      <c r="AS18" s="114"/>
      <c r="AT18" s="114"/>
      <c r="AU18" s="115" t="str">
        <f t="shared" si="1"/>
        <v>OK</v>
      </c>
      <c r="AV18" s="115"/>
      <c r="AW18" s="115"/>
      <c r="AX18" s="115"/>
      <c r="AY18" s="158"/>
      <c r="AZ18" s="158"/>
      <c r="BA18" s="158"/>
      <c r="BB18" s="158"/>
      <c r="BC18" s="158"/>
      <c r="BD18" s="158"/>
      <c r="BE18" s="158"/>
      <c r="BL18" s="15"/>
      <c r="BS18" s="12"/>
    </row>
    <row r="19" spans="2:71" ht="28.5" customHeight="1" thickBot="1">
      <c r="B19" s="25" t="s">
        <v>71</v>
      </c>
      <c r="C19" s="74" t="s">
        <v>72</v>
      </c>
      <c r="D19" s="76"/>
      <c r="F19" s="132" t="s">
        <v>124</v>
      </c>
      <c r="G19" s="133"/>
      <c r="H19" s="133"/>
      <c r="I19" s="133"/>
      <c r="J19" s="133"/>
      <c r="K19" s="133"/>
      <c r="L19" s="133"/>
      <c r="M19" s="134"/>
      <c r="O19" s="132" t="s">
        <v>125</v>
      </c>
      <c r="P19" s="133"/>
      <c r="Q19" s="133"/>
      <c r="R19" s="133"/>
      <c r="S19" s="133"/>
      <c r="T19" s="133"/>
      <c r="U19" s="133"/>
      <c r="V19" s="134"/>
      <c r="X19" s="132" t="s">
        <v>126</v>
      </c>
      <c r="Y19" s="133"/>
      <c r="Z19" s="133"/>
      <c r="AA19" s="133"/>
      <c r="AB19" s="133"/>
      <c r="AC19" s="133"/>
      <c r="AD19" s="133"/>
      <c r="AE19" s="134"/>
      <c r="AF19" s="26"/>
      <c r="AG19" s="121" t="s">
        <v>75</v>
      </c>
      <c r="AH19" s="121"/>
      <c r="AI19" s="121"/>
      <c r="AJ19" s="122" t="s">
        <v>76</v>
      </c>
      <c r="AK19" s="122"/>
      <c r="AL19" s="122"/>
      <c r="AM19" s="122"/>
      <c r="AN19" s="122"/>
      <c r="AO19" s="114">
        <v>46022</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46022</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46022</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45992</v>
      </c>
      <c r="G24" s="31">
        <f>F24+7</f>
        <v>45999</v>
      </c>
      <c r="H24" s="31">
        <f t="shared" ref="H24:BE24" si="4">G24+7</f>
        <v>46006</v>
      </c>
      <c r="I24" s="31">
        <f t="shared" si="4"/>
        <v>46013</v>
      </c>
      <c r="J24" s="31">
        <f t="shared" si="4"/>
        <v>46020</v>
      </c>
      <c r="K24" s="31">
        <f t="shared" si="4"/>
        <v>46027</v>
      </c>
      <c r="L24" s="31">
        <f t="shared" si="4"/>
        <v>46034</v>
      </c>
      <c r="M24" s="31">
        <f t="shared" si="4"/>
        <v>46041</v>
      </c>
      <c r="N24" s="31">
        <f t="shared" si="4"/>
        <v>46048</v>
      </c>
      <c r="O24" s="31">
        <f t="shared" si="4"/>
        <v>46055</v>
      </c>
      <c r="P24" s="31">
        <f t="shared" si="4"/>
        <v>46062</v>
      </c>
      <c r="Q24" s="31">
        <f t="shared" si="4"/>
        <v>46069</v>
      </c>
      <c r="R24" s="31">
        <f t="shared" si="4"/>
        <v>46076</v>
      </c>
      <c r="S24" s="31">
        <f t="shared" si="4"/>
        <v>46083</v>
      </c>
      <c r="T24" s="31">
        <f t="shared" si="4"/>
        <v>46090</v>
      </c>
      <c r="U24" s="31">
        <f t="shared" si="4"/>
        <v>46097</v>
      </c>
      <c r="V24" s="31">
        <f t="shared" si="4"/>
        <v>46104</v>
      </c>
      <c r="W24" s="31">
        <f t="shared" si="4"/>
        <v>46111</v>
      </c>
      <c r="X24" s="31">
        <f t="shared" si="4"/>
        <v>46118</v>
      </c>
      <c r="Y24" s="31">
        <f t="shared" si="4"/>
        <v>46125</v>
      </c>
      <c r="Z24" s="31">
        <f t="shared" si="4"/>
        <v>46132</v>
      </c>
      <c r="AA24" s="31">
        <f t="shared" si="4"/>
        <v>46139</v>
      </c>
      <c r="AB24" s="31">
        <f t="shared" si="4"/>
        <v>46146</v>
      </c>
      <c r="AC24" s="31">
        <f t="shared" si="4"/>
        <v>46153</v>
      </c>
      <c r="AD24" s="31">
        <f t="shared" si="4"/>
        <v>46160</v>
      </c>
      <c r="AE24" s="31">
        <f t="shared" si="4"/>
        <v>46167</v>
      </c>
      <c r="AF24" s="31">
        <f t="shared" si="4"/>
        <v>46174</v>
      </c>
      <c r="AG24" s="31">
        <f t="shared" si="4"/>
        <v>46181</v>
      </c>
      <c r="AH24" s="31">
        <f t="shared" si="4"/>
        <v>46188</v>
      </c>
      <c r="AI24" s="31">
        <f t="shared" si="4"/>
        <v>46195</v>
      </c>
      <c r="AJ24" s="31">
        <f t="shared" si="4"/>
        <v>46202</v>
      </c>
      <c r="AK24" s="31">
        <f t="shared" si="4"/>
        <v>46209</v>
      </c>
      <c r="AL24" s="31">
        <f t="shared" si="4"/>
        <v>46216</v>
      </c>
      <c r="AM24" s="31">
        <f t="shared" si="4"/>
        <v>46223</v>
      </c>
      <c r="AN24" s="31">
        <f t="shared" si="4"/>
        <v>46230</v>
      </c>
      <c r="AO24" s="31">
        <f t="shared" si="4"/>
        <v>46237</v>
      </c>
      <c r="AP24" s="31">
        <f t="shared" si="4"/>
        <v>46244</v>
      </c>
      <c r="AQ24" s="31">
        <f t="shared" si="4"/>
        <v>46251</v>
      </c>
      <c r="AR24" s="31">
        <f t="shared" si="4"/>
        <v>46258</v>
      </c>
      <c r="AS24" s="31">
        <f t="shared" si="4"/>
        <v>46265</v>
      </c>
      <c r="AT24" s="31">
        <f t="shared" si="4"/>
        <v>46272</v>
      </c>
      <c r="AU24" s="31">
        <f t="shared" si="4"/>
        <v>46279</v>
      </c>
      <c r="AV24" s="31">
        <f t="shared" si="4"/>
        <v>46286</v>
      </c>
      <c r="AW24" s="31">
        <f t="shared" si="4"/>
        <v>46293</v>
      </c>
      <c r="AX24" s="31">
        <f t="shared" si="4"/>
        <v>46300</v>
      </c>
      <c r="AY24" s="31">
        <f t="shared" si="4"/>
        <v>46307</v>
      </c>
      <c r="AZ24" s="31">
        <f t="shared" si="4"/>
        <v>46314</v>
      </c>
      <c r="BA24" s="31">
        <f t="shared" si="4"/>
        <v>46321</v>
      </c>
      <c r="BB24" s="31">
        <f t="shared" si="4"/>
        <v>46328</v>
      </c>
      <c r="BC24" s="31">
        <f t="shared" si="4"/>
        <v>46335</v>
      </c>
      <c r="BD24" s="31">
        <f t="shared" si="4"/>
        <v>46342</v>
      </c>
      <c r="BE24" s="31">
        <f t="shared" si="4"/>
        <v>46349</v>
      </c>
      <c r="BJ24" s="21"/>
    </row>
    <row r="25" spans="2:71">
      <c r="B25" s="146" t="str">
        <f>G13&amp;" TARGET"</f>
        <v>Audit Frequency and Results TARGET</v>
      </c>
      <c r="C25" s="147"/>
      <c r="D25" s="147"/>
      <c r="E25" s="148"/>
      <c r="F25" s="59">
        <v>80</v>
      </c>
      <c r="G25" s="59">
        <v>80</v>
      </c>
      <c r="H25" s="59">
        <v>80</v>
      </c>
      <c r="I25" s="59">
        <v>80</v>
      </c>
      <c r="J25" s="59">
        <v>80</v>
      </c>
      <c r="K25" s="59">
        <v>80</v>
      </c>
      <c r="L25" s="59">
        <v>80</v>
      </c>
      <c r="M25" s="59">
        <v>80</v>
      </c>
      <c r="N25" s="59">
        <v>80</v>
      </c>
      <c r="O25" s="59">
        <v>80</v>
      </c>
      <c r="P25" s="59">
        <v>80</v>
      </c>
      <c r="Q25" s="59">
        <v>80</v>
      </c>
      <c r="R25" s="59">
        <v>80</v>
      </c>
      <c r="S25" s="59">
        <v>80</v>
      </c>
      <c r="T25" s="59">
        <v>80</v>
      </c>
      <c r="U25" s="59">
        <v>80</v>
      </c>
      <c r="V25" s="59">
        <v>80</v>
      </c>
      <c r="W25" s="59">
        <v>80</v>
      </c>
      <c r="X25" s="59">
        <v>80</v>
      </c>
      <c r="Y25" s="59">
        <v>80</v>
      </c>
      <c r="Z25" s="59">
        <v>80</v>
      </c>
      <c r="AA25" s="59">
        <v>80</v>
      </c>
      <c r="AB25" s="59">
        <v>80</v>
      </c>
      <c r="AC25" s="59">
        <v>80</v>
      </c>
      <c r="AD25" s="59">
        <v>80</v>
      </c>
      <c r="AE25" s="59">
        <v>80</v>
      </c>
      <c r="AF25" s="59">
        <v>80</v>
      </c>
      <c r="AG25" s="59">
        <v>80</v>
      </c>
      <c r="AH25" s="59">
        <v>80</v>
      </c>
      <c r="AI25" s="59">
        <v>80</v>
      </c>
      <c r="AJ25" s="59">
        <v>80</v>
      </c>
      <c r="AK25" s="59">
        <v>80</v>
      </c>
      <c r="AL25" s="59">
        <v>80</v>
      </c>
      <c r="AM25" s="59">
        <v>80</v>
      </c>
      <c r="AN25" s="59">
        <v>80</v>
      </c>
      <c r="AO25" s="59">
        <v>80</v>
      </c>
      <c r="AP25" s="59">
        <v>80</v>
      </c>
      <c r="AQ25" s="59">
        <v>80</v>
      </c>
      <c r="AR25" s="59">
        <v>80</v>
      </c>
      <c r="AS25" s="59">
        <v>80</v>
      </c>
      <c r="AT25" s="59">
        <v>80</v>
      </c>
      <c r="AU25" s="59">
        <v>80</v>
      </c>
      <c r="AV25" s="59">
        <v>80</v>
      </c>
      <c r="AW25" s="59">
        <v>80</v>
      </c>
      <c r="AX25" s="59">
        <v>80</v>
      </c>
      <c r="AY25" s="59">
        <v>80</v>
      </c>
      <c r="AZ25" s="59">
        <v>80</v>
      </c>
      <c r="BA25" s="59">
        <v>80</v>
      </c>
      <c r="BB25" s="59">
        <v>80</v>
      </c>
      <c r="BC25" s="59">
        <v>80</v>
      </c>
      <c r="BD25" s="59">
        <v>80</v>
      </c>
      <c r="BE25" s="59">
        <v>80</v>
      </c>
    </row>
    <row r="26" spans="2:71">
      <c r="B26" s="146" t="s">
        <v>85</v>
      </c>
      <c r="C26" s="147"/>
      <c r="D26" s="147"/>
      <c r="E26" s="148"/>
      <c r="F26" s="59">
        <v>60</v>
      </c>
      <c r="G26" s="59">
        <v>60</v>
      </c>
      <c r="H26" s="59">
        <v>60</v>
      </c>
      <c r="I26" s="59">
        <v>60</v>
      </c>
      <c r="J26" s="59">
        <v>60</v>
      </c>
      <c r="K26" s="59">
        <v>60</v>
      </c>
      <c r="L26" s="59">
        <v>60</v>
      </c>
      <c r="M26" s="59">
        <v>60</v>
      </c>
      <c r="N26" s="59">
        <v>60</v>
      </c>
      <c r="O26" s="59">
        <v>60</v>
      </c>
      <c r="P26" s="59">
        <v>60</v>
      </c>
      <c r="Q26" s="59">
        <v>60</v>
      </c>
      <c r="R26" s="59">
        <v>60</v>
      </c>
      <c r="S26" s="59">
        <v>80</v>
      </c>
      <c r="T26" s="59">
        <v>80</v>
      </c>
      <c r="U26" s="59">
        <v>80</v>
      </c>
      <c r="V26" s="59">
        <v>80</v>
      </c>
      <c r="W26" s="59">
        <v>80</v>
      </c>
      <c r="X26" s="59">
        <v>80</v>
      </c>
      <c r="Y26" s="59">
        <v>80</v>
      </c>
      <c r="Z26" s="59">
        <v>80</v>
      </c>
      <c r="AA26" s="59">
        <v>80</v>
      </c>
      <c r="AB26" s="59">
        <v>80</v>
      </c>
      <c r="AC26" s="59">
        <v>80</v>
      </c>
      <c r="AD26" s="59">
        <v>80</v>
      </c>
      <c r="AE26" s="59">
        <v>80</v>
      </c>
      <c r="AF26" s="59">
        <v>80</v>
      </c>
      <c r="AG26" s="59">
        <v>80</v>
      </c>
      <c r="AH26" s="59">
        <v>80</v>
      </c>
      <c r="AI26" s="59">
        <v>80</v>
      </c>
      <c r="AJ26" s="59">
        <v>80</v>
      </c>
      <c r="AK26" s="59">
        <v>80</v>
      </c>
      <c r="AL26" s="59">
        <v>80</v>
      </c>
      <c r="AM26" s="59">
        <v>80</v>
      </c>
      <c r="AN26" s="59">
        <v>80</v>
      </c>
      <c r="AO26" s="59">
        <v>80</v>
      </c>
      <c r="AP26" s="59">
        <v>80</v>
      </c>
      <c r="AQ26" s="59">
        <v>80</v>
      </c>
      <c r="AR26" s="59">
        <v>80</v>
      </c>
      <c r="AS26" s="59">
        <v>80</v>
      </c>
      <c r="AT26" s="59">
        <v>80</v>
      </c>
      <c r="AU26" s="59">
        <v>80</v>
      </c>
      <c r="AV26" s="59">
        <v>80</v>
      </c>
      <c r="AW26" s="59">
        <v>80</v>
      </c>
      <c r="AX26" s="59">
        <v>80</v>
      </c>
      <c r="AY26" s="59">
        <v>80</v>
      </c>
      <c r="AZ26" s="59">
        <v>80</v>
      </c>
      <c r="BA26" s="59">
        <v>80</v>
      </c>
      <c r="BB26" s="59"/>
      <c r="BC26" s="59"/>
      <c r="BD26" s="59"/>
      <c r="BE26" s="59"/>
    </row>
    <row r="27" spans="2:71">
      <c r="B27" s="146" t="s">
        <v>86</v>
      </c>
      <c r="C27" s="147"/>
      <c r="D27" s="147"/>
      <c r="E27" s="148"/>
      <c r="F27" s="60">
        <f>F26-F25</f>
        <v>-20</v>
      </c>
      <c r="G27" s="60">
        <f t="shared" ref="G27:BE27" si="5">G26-G25</f>
        <v>-20</v>
      </c>
      <c r="H27" s="60">
        <f t="shared" si="5"/>
        <v>-20</v>
      </c>
      <c r="I27" s="60">
        <f t="shared" si="5"/>
        <v>-20</v>
      </c>
      <c r="J27" s="60">
        <f t="shared" si="5"/>
        <v>-20</v>
      </c>
      <c r="K27" s="60">
        <f t="shared" si="5"/>
        <v>-20</v>
      </c>
      <c r="L27" s="60">
        <f t="shared" si="5"/>
        <v>-20</v>
      </c>
      <c r="M27" s="60">
        <f t="shared" si="5"/>
        <v>-20</v>
      </c>
      <c r="N27" s="60">
        <f t="shared" si="5"/>
        <v>-20</v>
      </c>
      <c r="O27" s="60">
        <f t="shared" si="5"/>
        <v>-20</v>
      </c>
      <c r="P27" s="60">
        <f t="shared" si="5"/>
        <v>-20</v>
      </c>
      <c r="Q27" s="60">
        <f t="shared" si="5"/>
        <v>-20</v>
      </c>
      <c r="R27" s="60">
        <f t="shared" si="5"/>
        <v>-20</v>
      </c>
      <c r="S27" s="60">
        <f t="shared" si="5"/>
        <v>0</v>
      </c>
      <c r="T27" s="60">
        <f t="shared" si="5"/>
        <v>0</v>
      </c>
      <c r="U27" s="60">
        <f t="shared" si="5"/>
        <v>0</v>
      </c>
      <c r="V27" s="60">
        <f t="shared" si="5"/>
        <v>0</v>
      </c>
      <c r="W27" s="60">
        <f t="shared" si="5"/>
        <v>0</v>
      </c>
      <c r="X27" s="60">
        <f t="shared" si="5"/>
        <v>0</v>
      </c>
      <c r="Y27" s="60">
        <f t="shared" si="5"/>
        <v>0</v>
      </c>
      <c r="Z27" s="60">
        <f t="shared" si="5"/>
        <v>0</v>
      </c>
      <c r="AA27" s="60">
        <f t="shared" si="5"/>
        <v>0</v>
      </c>
      <c r="AB27" s="60">
        <f t="shared" si="5"/>
        <v>0</v>
      </c>
      <c r="AC27" s="60">
        <f t="shared" si="5"/>
        <v>0</v>
      </c>
      <c r="AD27" s="60">
        <f t="shared" si="5"/>
        <v>0</v>
      </c>
      <c r="AE27" s="60">
        <f t="shared" si="5"/>
        <v>0</v>
      </c>
      <c r="AF27" s="60">
        <f t="shared" si="5"/>
        <v>0</v>
      </c>
      <c r="AG27" s="60">
        <f t="shared" si="5"/>
        <v>0</v>
      </c>
      <c r="AH27" s="60">
        <f t="shared" si="5"/>
        <v>0</v>
      </c>
      <c r="AI27" s="60">
        <f t="shared" si="5"/>
        <v>0</v>
      </c>
      <c r="AJ27" s="60">
        <f t="shared" si="5"/>
        <v>0</v>
      </c>
      <c r="AK27" s="60">
        <f t="shared" si="5"/>
        <v>0</v>
      </c>
      <c r="AL27" s="60">
        <f t="shared" si="5"/>
        <v>0</v>
      </c>
      <c r="AM27" s="60">
        <f t="shared" si="5"/>
        <v>0</v>
      </c>
      <c r="AN27" s="60">
        <f t="shared" si="5"/>
        <v>0</v>
      </c>
      <c r="AO27" s="60">
        <f t="shared" si="5"/>
        <v>0</v>
      </c>
      <c r="AP27" s="60">
        <f t="shared" si="5"/>
        <v>0</v>
      </c>
      <c r="AQ27" s="60">
        <f t="shared" si="5"/>
        <v>0</v>
      </c>
      <c r="AR27" s="60">
        <f t="shared" si="5"/>
        <v>0</v>
      </c>
      <c r="AS27" s="60">
        <f t="shared" si="5"/>
        <v>0</v>
      </c>
      <c r="AT27" s="60">
        <f t="shared" si="5"/>
        <v>0</v>
      </c>
      <c r="AU27" s="60">
        <f t="shared" si="5"/>
        <v>0</v>
      </c>
      <c r="AV27" s="60">
        <f t="shared" si="5"/>
        <v>0</v>
      </c>
      <c r="AW27" s="60">
        <f t="shared" si="5"/>
        <v>0</v>
      </c>
      <c r="AX27" s="60">
        <f t="shared" si="5"/>
        <v>0</v>
      </c>
      <c r="AY27" s="60">
        <f t="shared" si="5"/>
        <v>0</v>
      </c>
      <c r="AZ27" s="60">
        <f t="shared" si="5"/>
        <v>0</v>
      </c>
      <c r="BA27" s="60">
        <f t="shared" si="5"/>
        <v>0</v>
      </c>
      <c r="BB27" s="60">
        <f t="shared" si="5"/>
        <v>-80</v>
      </c>
      <c r="BC27" s="60">
        <f t="shared" si="5"/>
        <v>-80</v>
      </c>
      <c r="BD27" s="60">
        <f t="shared" si="5"/>
        <v>-80</v>
      </c>
      <c r="BE27" s="60">
        <f t="shared" si="5"/>
        <v>-80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Consistency Scores TARGET</v>
      </c>
      <c r="C30" s="147"/>
      <c r="D30" s="147"/>
      <c r="E30" s="148"/>
      <c r="F30" s="59">
        <v>20</v>
      </c>
      <c r="G30" s="59">
        <f>F30</f>
        <v>20</v>
      </c>
      <c r="H30" s="59">
        <f t="shared" ref="H30:BE30" si="6">G30</f>
        <v>20</v>
      </c>
      <c r="I30" s="59">
        <f t="shared" si="6"/>
        <v>20</v>
      </c>
      <c r="J30" s="59">
        <f t="shared" si="6"/>
        <v>20</v>
      </c>
      <c r="K30" s="59">
        <f t="shared" si="6"/>
        <v>20</v>
      </c>
      <c r="L30" s="59">
        <f t="shared" si="6"/>
        <v>20</v>
      </c>
      <c r="M30" s="59">
        <f t="shared" si="6"/>
        <v>20</v>
      </c>
      <c r="N30" s="59">
        <f t="shared" si="6"/>
        <v>20</v>
      </c>
      <c r="O30" s="59">
        <f t="shared" si="6"/>
        <v>20</v>
      </c>
      <c r="P30" s="59">
        <f t="shared" si="6"/>
        <v>20</v>
      </c>
      <c r="Q30" s="59">
        <f t="shared" si="6"/>
        <v>20</v>
      </c>
      <c r="R30" s="59">
        <f t="shared" si="6"/>
        <v>20</v>
      </c>
      <c r="S30" s="59">
        <f t="shared" si="6"/>
        <v>20</v>
      </c>
      <c r="T30" s="59">
        <f t="shared" si="6"/>
        <v>20</v>
      </c>
      <c r="U30" s="59">
        <f t="shared" si="6"/>
        <v>20</v>
      </c>
      <c r="V30" s="59">
        <f t="shared" si="6"/>
        <v>20</v>
      </c>
      <c r="W30" s="59">
        <f t="shared" si="6"/>
        <v>20</v>
      </c>
      <c r="X30" s="59">
        <f t="shared" si="6"/>
        <v>20</v>
      </c>
      <c r="Y30" s="59">
        <f t="shared" si="6"/>
        <v>20</v>
      </c>
      <c r="Z30" s="59">
        <f t="shared" si="6"/>
        <v>20</v>
      </c>
      <c r="AA30" s="59">
        <f t="shared" si="6"/>
        <v>20</v>
      </c>
      <c r="AB30" s="59">
        <f t="shared" si="6"/>
        <v>20</v>
      </c>
      <c r="AC30" s="59">
        <f t="shared" si="6"/>
        <v>20</v>
      </c>
      <c r="AD30" s="59">
        <f t="shared" si="6"/>
        <v>20</v>
      </c>
      <c r="AE30" s="59">
        <f t="shared" si="6"/>
        <v>20</v>
      </c>
      <c r="AF30" s="59">
        <f t="shared" si="6"/>
        <v>20</v>
      </c>
      <c r="AG30" s="59">
        <f t="shared" si="6"/>
        <v>20</v>
      </c>
      <c r="AH30" s="59">
        <f t="shared" si="6"/>
        <v>20</v>
      </c>
      <c r="AI30" s="59">
        <f t="shared" si="6"/>
        <v>20</v>
      </c>
      <c r="AJ30" s="59">
        <f t="shared" si="6"/>
        <v>20</v>
      </c>
      <c r="AK30" s="59">
        <f t="shared" si="6"/>
        <v>20</v>
      </c>
      <c r="AL30" s="59">
        <f t="shared" si="6"/>
        <v>20</v>
      </c>
      <c r="AM30" s="59">
        <f t="shared" si="6"/>
        <v>20</v>
      </c>
      <c r="AN30" s="59">
        <f t="shared" si="6"/>
        <v>20</v>
      </c>
      <c r="AO30" s="59">
        <f t="shared" si="6"/>
        <v>20</v>
      </c>
      <c r="AP30" s="59">
        <f t="shared" si="6"/>
        <v>20</v>
      </c>
      <c r="AQ30" s="59">
        <f t="shared" si="6"/>
        <v>20</v>
      </c>
      <c r="AR30" s="59">
        <f t="shared" si="6"/>
        <v>20</v>
      </c>
      <c r="AS30" s="59">
        <f t="shared" si="6"/>
        <v>20</v>
      </c>
      <c r="AT30" s="59">
        <f t="shared" si="6"/>
        <v>20</v>
      </c>
      <c r="AU30" s="59">
        <f t="shared" si="6"/>
        <v>20</v>
      </c>
      <c r="AV30" s="59">
        <f t="shared" si="6"/>
        <v>20</v>
      </c>
      <c r="AW30" s="59">
        <f t="shared" si="6"/>
        <v>20</v>
      </c>
      <c r="AX30" s="59">
        <f t="shared" si="6"/>
        <v>20</v>
      </c>
      <c r="AY30" s="59">
        <f t="shared" si="6"/>
        <v>20</v>
      </c>
      <c r="AZ30" s="59">
        <f t="shared" si="6"/>
        <v>20</v>
      </c>
      <c r="BA30" s="59">
        <f t="shared" si="6"/>
        <v>20</v>
      </c>
      <c r="BB30" s="59">
        <f t="shared" si="6"/>
        <v>20</v>
      </c>
      <c r="BC30" s="59">
        <f t="shared" si="6"/>
        <v>20</v>
      </c>
      <c r="BD30" s="59">
        <f t="shared" si="6"/>
        <v>20</v>
      </c>
      <c r="BE30" s="59">
        <f t="shared" si="6"/>
        <v>20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-20</v>
      </c>
      <c r="G32" s="60">
        <f t="shared" ref="G32:BE32" si="7">G31-G30</f>
        <v>-20</v>
      </c>
      <c r="H32" s="60">
        <f t="shared" si="7"/>
        <v>-20</v>
      </c>
      <c r="I32" s="60">
        <f t="shared" si="7"/>
        <v>-20</v>
      </c>
      <c r="J32" s="60">
        <f t="shared" si="7"/>
        <v>-20</v>
      </c>
      <c r="K32" s="60">
        <f t="shared" si="7"/>
        <v>-20</v>
      </c>
      <c r="L32" s="60">
        <f t="shared" si="7"/>
        <v>-20</v>
      </c>
      <c r="M32" s="60">
        <f t="shared" si="7"/>
        <v>-20</v>
      </c>
      <c r="N32" s="60">
        <f t="shared" si="7"/>
        <v>-20</v>
      </c>
      <c r="O32" s="60">
        <f t="shared" si="7"/>
        <v>-20</v>
      </c>
      <c r="P32" s="60">
        <f t="shared" si="7"/>
        <v>-20</v>
      </c>
      <c r="Q32" s="60">
        <f t="shared" si="7"/>
        <v>-20</v>
      </c>
      <c r="R32" s="60">
        <f t="shared" si="7"/>
        <v>-20</v>
      </c>
      <c r="S32" s="60">
        <f t="shared" si="7"/>
        <v>-20</v>
      </c>
      <c r="T32" s="60">
        <f t="shared" si="7"/>
        <v>-20</v>
      </c>
      <c r="U32" s="60">
        <f t="shared" si="7"/>
        <v>-20</v>
      </c>
      <c r="V32" s="60">
        <f t="shared" si="7"/>
        <v>-20</v>
      </c>
      <c r="W32" s="60">
        <f t="shared" si="7"/>
        <v>-20</v>
      </c>
      <c r="X32" s="60">
        <f t="shared" si="7"/>
        <v>-20</v>
      </c>
      <c r="Y32" s="60">
        <f t="shared" si="7"/>
        <v>-20</v>
      </c>
      <c r="Z32" s="60">
        <f t="shared" si="7"/>
        <v>-20</v>
      </c>
      <c r="AA32" s="60">
        <f t="shared" si="7"/>
        <v>-20</v>
      </c>
      <c r="AB32" s="60">
        <f t="shared" si="7"/>
        <v>-20</v>
      </c>
      <c r="AC32" s="60">
        <f t="shared" si="7"/>
        <v>-20</v>
      </c>
      <c r="AD32" s="60">
        <f t="shared" si="7"/>
        <v>-20</v>
      </c>
      <c r="AE32" s="60">
        <f t="shared" si="7"/>
        <v>-20</v>
      </c>
      <c r="AF32" s="60">
        <f t="shared" si="7"/>
        <v>-20</v>
      </c>
      <c r="AG32" s="60">
        <f t="shared" si="7"/>
        <v>-20</v>
      </c>
      <c r="AH32" s="60">
        <f t="shared" si="7"/>
        <v>-20</v>
      </c>
      <c r="AI32" s="60">
        <f t="shared" si="7"/>
        <v>-20</v>
      </c>
      <c r="AJ32" s="60">
        <f t="shared" si="7"/>
        <v>-20</v>
      </c>
      <c r="AK32" s="60">
        <f t="shared" si="7"/>
        <v>-20</v>
      </c>
      <c r="AL32" s="60">
        <f t="shared" si="7"/>
        <v>-20</v>
      </c>
      <c r="AM32" s="60">
        <f t="shared" si="7"/>
        <v>-20</v>
      </c>
      <c r="AN32" s="60">
        <f t="shared" si="7"/>
        <v>-20</v>
      </c>
      <c r="AO32" s="60">
        <f t="shared" si="7"/>
        <v>-20</v>
      </c>
      <c r="AP32" s="60">
        <f t="shared" si="7"/>
        <v>-20</v>
      </c>
      <c r="AQ32" s="60">
        <f t="shared" si="7"/>
        <v>-20</v>
      </c>
      <c r="AR32" s="60">
        <f t="shared" si="7"/>
        <v>-20</v>
      </c>
      <c r="AS32" s="60">
        <f t="shared" si="7"/>
        <v>-20</v>
      </c>
      <c r="AT32" s="60">
        <f t="shared" si="7"/>
        <v>-20</v>
      </c>
      <c r="AU32" s="60">
        <f t="shared" si="7"/>
        <v>-20</v>
      </c>
      <c r="AV32" s="60">
        <f t="shared" si="7"/>
        <v>-20</v>
      </c>
      <c r="AW32" s="60">
        <f t="shared" si="7"/>
        <v>-20</v>
      </c>
      <c r="AX32" s="60">
        <f t="shared" si="7"/>
        <v>-20</v>
      </c>
      <c r="AY32" s="60">
        <f t="shared" si="7"/>
        <v>-20</v>
      </c>
      <c r="AZ32" s="60">
        <f t="shared" si="7"/>
        <v>-20</v>
      </c>
      <c r="BA32" s="60">
        <f t="shared" si="7"/>
        <v>-20</v>
      </c>
      <c r="BB32" s="60">
        <f t="shared" si="7"/>
        <v>-20</v>
      </c>
      <c r="BC32" s="60">
        <f t="shared" si="7"/>
        <v>-20</v>
      </c>
      <c r="BD32" s="60">
        <f t="shared" si="7"/>
        <v>-20</v>
      </c>
      <c r="BE32" s="60">
        <f t="shared" si="7"/>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c r="G35" s="59">
        <f>F35</f>
        <v>0</v>
      </c>
      <c r="H35" s="59">
        <f t="shared" ref="H35:BE35" si="8">G35</f>
        <v>0</v>
      </c>
      <c r="I35" s="59">
        <f t="shared" si="8"/>
        <v>0</v>
      </c>
      <c r="J35" s="59">
        <f t="shared" si="8"/>
        <v>0</v>
      </c>
      <c r="K35" s="59">
        <f t="shared" si="8"/>
        <v>0</v>
      </c>
      <c r="L35" s="59">
        <f t="shared" si="8"/>
        <v>0</v>
      </c>
      <c r="M35" s="59">
        <f t="shared" si="8"/>
        <v>0</v>
      </c>
      <c r="N35" s="59">
        <f t="shared" si="8"/>
        <v>0</v>
      </c>
      <c r="O35" s="59">
        <f t="shared" si="8"/>
        <v>0</v>
      </c>
      <c r="P35" s="59">
        <f t="shared" si="8"/>
        <v>0</v>
      </c>
      <c r="Q35" s="59">
        <f t="shared" si="8"/>
        <v>0</v>
      </c>
      <c r="R35" s="59">
        <f t="shared" si="8"/>
        <v>0</v>
      </c>
      <c r="S35" s="59">
        <f t="shared" si="8"/>
        <v>0</v>
      </c>
      <c r="T35" s="59">
        <f t="shared" si="8"/>
        <v>0</v>
      </c>
      <c r="U35" s="59">
        <f t="shared" si="8"/>
        <v>0</v>
      </c>
      <c r="V35" s="59">
        <f t="shared" si="8"/>
        <v>0</v>
      </c>
      <c r="W35" s="59">
        <f t="shared" si="8"/>
        <v>0</v>
      </c>
      <c r="X35" s="59">
        <f t="shared" si="8"/>
        <v>0</v>
      </c>
      <c r="Y35" s="59">
        <f t="shared" si="8"/>
        <v>0</v>
      </c>
      <c r="Z35" s="59">
        <f t="shared" si="8"/>
        <v>0</v>
      </c>
      <c r="AA35" s="59">
        <f t="shared" si="8"/>
        <v>0</v>
      </c>
      <c r="AB35" s="59">
        <f t="shared" si="8"/>
        <v>0</v>
      </c>
      <c r="AC35" s="59">
        <f t="shared" si="8"/>
        <v>0</v>
      </c>
      <c r="AD35" s="59">
        <f t="shared" si="8"/>
        <v>0</v>
      </c>
      <c r="AE35" s="59">
        <f t="shared" si="8"/>
        <v>0</v>
      </c>
      <c r="AF35" s="59">
        <f t="shared" si="8"/>
        <v>0</v>
      </c>
      <c r="AG35" s="59">
        <f t="shared" si="8"/>
        <v>0</v>
      </c>
      <c r="AH35" s="59">
        <f t="shared" si="8"/>
        <v>0</v>
      </c>
      <c r="AI35" s="59">
        <f t="shared" si="8"/>
        <v>0</v>
      </c>
      <c r="AJ35" s="59">
        <f t="shared" si="8"/>
        <v>0</v>
      </c>
      <c r="AK35" s="59">
        <f t="shared" si="8"/>
        <v>0</v>
      </c>
      <c r="AL35" s="59">
        <f t="shared" si="8"/>
        <v>0</v>
      </c>
      <c r="AM35" s="59">
        <f t="shared" si="8"/>
        <v>0</v>
      </c>
      <c r="AN35" s="59">
        <f t="shared" si="8"/>
        <v>0</v>
      </c>
      <c r="AO35" s="59">
        <f t="shared" si="8"/>
        <v>0</v>
      </c>
      <c r="AP35" s="59">
        <f t="shared" si="8"/>
        <v>0</v>
      </c>
      <c r="AQ35" s="59">
        <f t="shared" si="8"/>
        <v>0</v>
      </c>
      <c r="AR35" s="59">
        <f t="shared" si="8"/>
        <v>0</v>
      </c>
      <c r="AS35" s="59">
        <f t="shared" si="8"/>
        <v>0</v>
      </c>
      <c r="AT35" s="59">
        <f t="shared" si="8"/>
        <v>0</v>
      </c>
      <c r="AU35" s="59">
        <f t="shared" si="8"/>
        <v>0</v>
      </c>
      <c r="AV35" s="59">
        <f t="shared" si="8"/>
        <v>0</v>
      </c>
      <c r="AW35" s="59">
        <f t="shared" si="8"/>
        <v>0</v>
      </c>
      <c r="AX35" s="59">
        <f t="shared" si="8"/>
        <v>0</v>
      </c>
      <c r="AY35" s="59">
        <f t="shared" si="8"/>
        <v>0</v>
      </c>
      <c r="AZ35" s="59">
        <f t="shared" si="8"/>
        <v>0</v>
      </c>
      <c r="BA35" s="59">
        <f t="shared" si="8"/>
        <v>0</v>
      </c>
      <c r="BB35" s="59">
        <f t="shared" si="8"/>
        <v>0</v>
      </c>
      <c r="BC35" s="59">
        <f t="shared" si="8"/>
        <v>0</v>
      </c>
      <c r="BD35" s="59">
        <f t="shared" si="8"/>
        <v>0</v>
      </c>
      <c r="BE35" s="59">
        <f t="shared" si="8"/>
        <v>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0</v>
      </c>
      <c r="G37" s="60">
        <f t="shared" ref="G37:BE37" si="9">G36-G35</f>
        <v>0</v>
      </c>
      <c r="H37" s="60">
        <f t="shared" si="9"/>
        <v>0</v>
      </c>
      <c r="I37" s="60">
        <f t="shared" si="9"/>
        <v>0</v>
      </c>
      <c r="J37" s="60">
        <f t="shared" si="9"/>
        <v>0</v>
      </c>
      <c r="K37" s="60">
        <f t="shared" si="9"/>
        <v>0</v>
      </c>
      <c r="L37" s="60">
        <f t="shared" si="9"/>
        <v>0</v>
      </c>
      <c r="M37" s="60">
        <f t="shared" si="9"/>
        <v>0</v>
      </c>
      <c r="N37" s="60">
        <f t="shared" si="9"/>
        <v>0</v>
      </c>
      <c r="O37" s="60">
        <f t="shared" si="9"/>
        <v>0</v>
      </c>
      <c r="P37" s="60">
        <f t="shared" si="9"/>
        <v>0</v>
      </c>
      <c r="Q37" s="60">
        <f t="shared" si="9"/>
        <v>0</v>
      </c>
      <c r="R37" s="60">
        <f t="shared" si="9"/>
        <v>0</v>
      </c>
      <c r="S37" s="60">
        <f t="shared" si="9"/>
        <v>0</v>
      </c>
      <c r="T37" s="60">
        <f t="shared" si="9"/>
        <v>0</v>
      </c>
      <c r="U37" s="60">
        <f t="shared" si="9"/>
        <v>0</v>
      </c>
      <c r="V37" s="60">
        <f t="shared" si="9"/>
        <v>0</v>
      </c>
      <c r="W37" s="60">
        <f t="shared" si="9"/>
        <v>0</v>
      </c>
      <c r="X37" s="60">
        <f t="shared" si="9"/>
        <v>0</v>
      </c>
      <c r="Y37" s="60">
        <f t="shared" si="9"/>
        <v>0</v>
      </c>
      <c r="Z37" s="60">
        <f t="shared" si="9"/>
        <v>0</v>
      </c>
      <c r="AA37" s="60">
        <f t="shared" si="9"/>
        <v>0</v>
      </c>
      <c r="AB37" s="60">
        <f t="shared" si="9"/>
        <v>0</v>
      </c>
      <c r="AC37" s="60">
        <f t="shared" si="9"/>
        <v>0</v>
      </c>
      <c r="AD37" s="60">
        <f t="shared" si="9"/>
        <v>0</v>
      </c>
      <c r="AE37" s="60">
        <f t="shared" si="9"/>
        <v>0</v>
      </c>
      <c r="AF37" s="60">
        <f t="shared" si="9"/>
        <v>0</v>
      </c>
      <c r="AG37" s="60">
        <f t="shared" si="9"/>
        <v>0</v>
      </c>
      <c r="AH37" s="60">
        <f t="shared" si="9"/>
        <v>0</v>
      </c>
      <c r="AI37" s="60">
        <f t="shared" si="9"/>
        <v>0</v>
      </c>
      <c r="AJ37" s="60">
        <f t="shared" si="9"/>
        <v>0</v>
      </c>
      <c r="AK37" s="60">
        <f t="shared" si="9"/>
        <v>0</v>
      </c>
      <c r="AL37" s="60">
        <f t="shared" si="9"/>
        <v>0</v>
      </c>
      <c r="AM37" s="60">
        <f t="shared" si="9"/>
        <v>0</v>
      </c>
      <c r="AN37" s="60">
        <f t="shared" si="9"/>
        <v>0</v>
      </c>
      <c r="AO37" s="60">
        <f t="shared" si="9"/>
        <v>0</v>
      </c>
      <c r="AP37" s="60">
        <f t="shared" si="9"/>
        <v>0</v>
      </c>
      <c r="AQ37" s="60">
        <f t="shared" si="9"/>
        <v>0</v>
      </c>
      <c r="AR37" s="60">
        <f t="shared" si="9"/>
        <v>0</v>
      </c>
      <c r="AS37" s="60">
        <f t="shared" si="9"/>
        <v>0</v>
      </c>
      <c r="AT37" s="60">
        <f t="shared" si="9"/>
        <v>0</v>
      </c>
      <c r="AU37" s="60">
        <f t="shared" si="9"/>
        <v>0</v>
      </c>
      <c r="AV37" s="60">
        <f t="shared" si="9"/>
        <v>0</v>
      </c>
      <c r="AW37" s="60">
        <f t="shared" si="9"/>
        <v>0</v>
      </c>
      <c r="AX37" s="60">
        <f t="shared" si="9"/>
        <v>0</v>
      </c>
      <c r="AY37" s="60">
        <f t="shared" si="9"/>
        <v>0</v>
      </c>
      <c r="AZ37" s="60">
        <f t="shared" si="9"/>
        <v>0</v>
      </c>
      <c r="BA37" s="60">
        <f t="shared" si="9"/>
        <v>0</v>
      </c>
      <c r="BB37" s="60">
        <f t="shared" si="9"/>
        <v>0</v>
      </c>
      <c r="BC37" s="60">
        <f t="shared" si="9"/>
        <v>0</v>
      </c>
      <c r="BD37" s="60">
        <f t="shared" si="9"/>
        <v>0</v>
      </c>
      <c r="BE37" s="60">
        <f t="shared" si="9"/>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10">IF($X$12="Revenue Impact",F35,0)</f>
        <v>0</v>
      </c>
      <c r="G41" s="33">
        <f t="shared" si="10"/>
        <v>0</v>
      </c>
      <c r="H41" s="33">
        <f t="shared" si="10"/>
        <v>0</v>
      </c>
      <c r="I41" s="33">
        <f t="shared" si="10"/>
        <v>0</v>
      </c>
      <c r="J41" s="33">
        <f t="shared" si="10"/>
        <v>0</v>
      </c>
      <c r="K41" s="33">
        <f t="shared" si="10"/>
        <v>0</v>
      </c>
      <c r="L41" s="33">
        <f t="shared" si="10"/>
        <v>0</v>
      </c>
      <c r="M41" s="33">
        <f t="shared" si="10"/>
        <v>0</v>
      </c>
      <c r="N41" s="33">
        <f t="shared" si="10"/>
        <v>0</v>
      </c>
      <c r="O41" s="33">
        <f t="shared" si="10"/>
        <v>0</v>
      </c>
      <c r="P41" s="33">
        <f t="shared" si="10"/>
        <v>0</v>
      </c>
      <c r="Q41" s="33">
        <f t="shared" si="10"/>
        <v>0</v>
      </c>
      <c r="R41" s="33">
        <f t="shared" si="10"/>
        <v>0</v>
      </c>
      <c r="S41" s="33">
        <f t="shared" si="10"/>
        <v>0</v>
      </c>
      <c r="T41" s="33">
        <f t="shared" si="10"/>
        <v>0</v>
      </c>
      <c r="U41" s="33">
        <f t="shared" si="10"/>
        <v>0</v>
      </c>
      <c r="V41" s="33">
        <f t="shared" si="10"/>
        <v>0</v>
      </c>
      <c r="W41" s="33">
        <f t="shared" si="10"/>
        <v>0</v>
      </c>
      <c r="X41" s="33">
        <f t="shared" si="10"/>
        <v>0</v>
      </c>
      <c r="Y41" s="33">
        <f t="shared" si="10"/>
        <v>0</v>
      </c>
      <c r="Z41" s="33">
        <f t="shared" si="10"/>
        <v>0</v>
      </c>
      <c r="AA41" s="33">
        <f t="shared" si="10"/>
        <v>0</v>
      </c>
      <c r="AB41" s="33">
        <f t="shared" si="10"/>
        <v>0</v>
      </c>
      <c r="AC41" s="33">
        <f t="shared" si="10"/>
        <v>0</v>
      </c>
      <c r="AD41" s="33">
        <f t="shared" si="10"/>
        <v>0</v>
      </c>
      <c r="AE41" s="33">
        <f t="shared" si="10"/>
        <v>0</v>
      </c>
      <c r="AF41" s="33">
        <f t="shared" si="10"/>
        <v>0</v>
      </c>
      <c r="AG41" s="33">
        <f t="shared" si="10"/>
        <v>0</v>
      </c>
      <c r="AH41" s="33">
        <f t="shared" si="10"/>
        <v>0</v>
      </c>
      <c r="AI41" s="33">
        <f t="shared" si="10"/>
        <v>0</v>
      </c>
      <c r="AJ41" s="33">
        <f t="shared" si="10"/>
        <v>0</v>
      </c>
      <c r="AK41" s="33">
        <f t="shared" si="10"/>
        <v>0</v>
      </c>
      <c r="AL41" s="33">
        <f t="shared" ref="AL41:BE41" si="11">IF($X$12="Revenue Impact",AL35,0)</f>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89</v>
      </c>
      <c r="C42" s="33"/>
      <c r="D42" s="33"/>
      <c r="E42" s="33"/>
      <c r="F42" s="33">
        <f t="shared" ref="F42:AK42" si="12">IF($X$12="Revenue Impact",F36,0)</f>
        <v>0</v>
      </c>
      <c r="G42" s="33">
        <f t="shared" si="12"/>
        <v>0</v>
      </c>
      <c r="H42" s="33">
        <f t="shared" si="12"/>
        <v>0</v>
      </c>
      <c r="I42" s="33">
        <f t="shared" si="12"/>
        <v>0</v>
      </c>
      <c r="J42" s="33">
        <f t="shared" si="12"/>
        <v>0</v>
      </c>
      <c r="K42" s="33">
        <f t="shared" si="12"/>
        <v>0</v>
      </c>
      <c r="L42" s="33">
        <f t="shared" si="12"/>
        <v>0</v>
      </c>
      <c r="M42" s="33">
        <f t="shared" si="12"/>
        <v>0</v>
      </c>
      <c r="N42" s="33">
        <f t="shared" si="12"/>
        <v>0</v>
      </c>
      <c r="O42" s="33">
        <f t="shared" si="12"/>
        <v>0</v>
      </c>
      <c r="P42" s="33">
        <f t="shared" si="12"/>
        <v>0</v>
      </c>
      <c r="Q42" s="33">
        <f t="shared" si="12"/>
        <v>0</v>
      </c>
      <c r="R42" s="33">
        <f t="shared" si="12"/>
        <v>0</v>
      </c>
      <c r="S42" s="33">
        <f t="shared" si="12"/>
        <v>0</v>
      </c>
      <c r="T42" s="33">
        <f t="shared" si="12"/>
        <v>0</v>
      </c>
      <c r="U42" s="33">
        <f t="shared" si="12"/>
        <v>0</v>
      </c>
      <c r="V42" s="33">
        <f t="shared" si="12"/>
        <v>0</v>
      </c>
      <c r="W42" s="33">
        <f t="shared" si="12"/>
        <v>0</v>
      </c>
      <c r="X42" s="33">
        <f t="shared" si="12"/>
        <v>0</v>
      </c>
      <c r="Y42" s="33">
        <f t="shared" si="12"/>
        <v>0</v>
      </c>
      <c r="Z42" s="33">
        <f t="shared" si="12"/>
        <v>0</v>
      </c>
      <c r="AA42" s="33">
        <f t="shared" si="12"/>
        <v>0</v>
      </c>
      <c r="AB42" s="33">
        <f t="shared" si="12"/>
        <v>0</v>
      </c>
      <c r="AC42" s="33">
        <f t="shared" si="12"/>
        <v>0</v>
      </c>
      <c r="AD42" s="33">
        <f t="shared" si="12"/>
        <v>0</v>
      </c>
      <c r="AE42" s="33">
        <f t="shared" si="12"/>
        <v>0</v>
      </c>
      <c r="AF42" s="33">
        <f t="shared" si="12"/>
        <v>0</v>
      </c>
      <c r="AG42" s="33">
        <f t="shared" si="12"/>
        <v>0</v>
      </c>
      <c r="AH42" s="33">
        <f t="shared" si="12"/>
        <v>0</v>
      </c>
      <c r="AI42" s="33">
        <f t="shared" si="12"/>
        <v>0</v>
      </c>
      <c r="AJ42" s="33">
        <f t="shared" si="12"/>
        <v>0</v>
      </c>
      <c r="AK42" s="33">
        <f t="shared" si="12"/>
        <v>0</v>
      </c>
      <c r="AL42" s="33">
        <f t="shared" ref="AL42:BE42" si="13">IF($X$12="Revenue Impact",AL36,0)</f>
        <v>0</v>
      </c>
      <c r="AM42" s="33">
        <f t="shared" si="13"/>
        <v>0</v>
      </c>
      <c r="AN42" s="33">
        <f t="shared" si="13"/>
        <v>0</v>
      </c>
      <c r="AO42" s="33">
        <f t="shared" si="13"/>
        <v>0</v>
      </c>
      <c r="AP42" s="33">
        <f t="shared" si="13"/>
        <v>0</v>
      </c>
      <c r="AQ42" s="33">
        <f t="shared" si="13"/>
        <v>0</v>
      </c>
      <c r="AR42" s="33">
        <f t="shared" si="13"/>
        <v>0</v>
      </c>
      <c r="AS42" s="33">
        <f t="shared" si="13"/>
        <v>0</v>
      </c>
      <c r="AT42" s="33">
        <f t="shared" si="13"/>
        <v>0</v>
      </c>
      <c r="AU42" s="33">
        <f t="shared" si="13"/>
        <v>0</v>
      </c>
      <c r="AV42" s="33">
        <f t="shared" si="13"/>
        <v>0</v>
      </c>
      <c r="AW42" s="33">
        <f t="shared" si="13"/>
        <v>0</v>
      </c>
      <c r="AX42" s="33">
        <f t="shared" si="13"/>
        <v>0</v>
      </c>
      <c r="AY42" s="33">
        <f t="shared" si="13"/>
        <v>0</v>
      </c>
      <c r="AZ42" s="33">
        <f t="shared" si="13"/>
        <v>0</v>
      </c>
      <c r="BA42" s="33">
        <f t="shared" si="13"/>
        <v>0</v>
      </c>
      <c r="BB42" s="33">
        <f t="shared" si="13"/>
        <v>0</v>
      </c>
      <c r="BC42" s="33">
        <f t="shared" si="13"/>
        <v>0</v>
      </c>
      <c r="BD42" s="33">
        <f t="shared" si="13"/>
        <v>0</v>
      </c>
      <c r="BE42" s="33">
        <f t="shared" si="13"/>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14">IF($X$12="Cost Savings",F35,0)</f>
        <v>0</v>
      </c>
      <c r="G44" s="33">
        <f t="shared" si="14"/>
        <v>0</v>
      </c>
      <c r="H44" s="33">
        <f t="shared" si="14"/>
        <v>0</v>
      </c>
      <c r="I44" s="33">
        <f t="shared" si="14"/>
        <v>0</v>
      </c>
      <c r="J44" s="33">
        <f t="shared" si="14"/>
        <v>0</v>
      </c>
      <c r="K44" s="33">
        <f t="shared" si="14"/>
        <v>0</v>
      </c>
      <c r="L44" s="33">
        <f t="shared" si="14"/>
        <v>0</v>
      </c>
      <c r="M44" s="33">
        <f t="shared" si="14"/>
        <v>0</v>
      </c>
      <c r="N44" s="33">
        <f t="shared" si="14"/>
        <v>0</v>
      </c>
      <c r="O44" s="33">
        <f t="shared" si="14"/>
        <v>0</v>
      </c>
      <c r="P44" s="33">
        <f t="shared" si="14"/>
        <v>0</v>
      </c>
      <c r="Q44" s="33">
        <f t="shared" si="14"/>
        <v>0</v>
      </c>
      <c r="R44" s="33">
        <f t="shared" si="14"/>
        <v>0</v>
      </c>
      <c r="S44" s="33">
        <f t="shared" si="14"/>
        <v>0</v>
      </c>
      <c r="T44" s="33">
        <f t="shared" si="14"/>
        <v>0</v>
      </c>
      <c r="U44" s="33">
        <f t="shared" si="14"/>
        <v>0</v>
      </c>
      <c r="V44" s="33">
        <f t="shared" si="14"/>
        <v>0</v>
      </c>
      <c r="W44" s="33">
        <f t="shared" si="14"/>
        <v>0</v>
      </c>
      <c r="X44" s="33">
        <f t="shared" si="14"/>
        <v>0</v>
      </c>
      <c r="Y44" s="33">
        <f t="shared" si="14"/>
        <v>0</v>
      </c>
      <c r="Z44" s="33">
        <f t="shared" si="14"/>
        <v>0</v>
      </c>
      <c r="AA44" s="33">
        <f t="shared" si="14"/>
        <v>0</v>
      </c>
      <c r="AB44" s="33">
        <f t="shared" si="14"/>
        <v>0</v>
      </c>
      <c r="AC44" s="33">
        <f t="shared" si="14"/>
        <v>0</v>
      </c>
      <c r="AD44" s="33">
        <f t="shared" si="14"/>
        <v>0</v>
      </c>
      <c r="AE44" s="33">
        <f t="shared" si="14"/>
        <v>0</v>
      </c>
      <c r="AF44" s="33">
        <f t="shared" si="14"/>
        <v>0</v>
      </c>
      <c r="AG44" s="33">
        <f t="shared" si="14"/>
        <v>0</v>
      </c>
      <c r="AH44" s="33">
        <f t="shared" si="14"/>
        <v>0</v>
      </c>
      <c r="AI44" s="33">
        <f t="shared" si="14"/>
        <v>0</v>
      </c>
      <c r="AJ44" s="33">
        <f t="shared" si="14"/>
        <v>0</v>
      </c>
      <c r="AK44" s="33">
        <f t="shared" si="14"/>
        <v>0</v>
      </c>
      <c r="AL44" s="33">
        <f t="shared" ref="AL44:BE44" si="15">IF($X$12="Cost Savings",AL35,0)</f>
        <v>0</v>
      </c>
      <c r="AM44" s="33">
        <f t="shared" si="15"/>
        <v>0</v>
      </c>
      <c r="AN44" s="33">
        <f t="shared" si="15"/>
        <v>0</v>
      </c>
      <c r="AO44" s="33">
        <f t="shared" si="15"/>
        <v>0</v>
      </c>
      <c r="AP44" s="33">
        <f t="shared" si="15"/>
        <v>0</v>
      </c>
      <c r="AQ44" s="33">
        <f t="shared" si="15"/>
        <v>0</v>
      </c>
      <c r="AR44" s="33">
        <f t="shared" si="15"/>
        <v>0</v>
      </c>
      <c r="AS44" s="33">
        <f t="shared" si="15"/>
        <v>0</v>
      </c>
      <c r="AT44" s="33">
        <f t="shared" si="15"/>
        <v>0</v>
      </c>
      <c r="AU44" s="33">
        <f t="shared" si="15"/>
        <v>0</v>
      </c>
      <c r="AV44" s="33">
        <f t="shared" si="15"/>
        <v>0</v>
      </c>
      <c r="AW44" s="33">
        <f t="shared" si="15"/>
        <v>0</v>
      </c>
      <c r="AX44" s="33">
        <f t="shared" si="15"/>
        <v>0</v>
      </c>
      <c r="AY44" s="33">
        <f t="shared" si="15"/>
        <v>0</v>
      </c>
      <c r="AZ44" s="33">
        <f t="shared" si="15"/>
        <v>0</v>
      </c>
      <c r="BA44" s="33">
        <f t="shared" si="15"/>
        <v>0</v>
      </c>
      <c r="BB44" s="33">
        <f t="shared" si="15"/>
        <v>0</v>
      </c>
      <c r="BC44" s="33">
        <f t="shared" si="15"/>
        <v>0</v>
      </c>
      <c r="BD44" s="33">
        <f t="shared" si="15"/>
        <v>0</v>
      </c>
      <c r="BE44" s="33">
        <f t="shared" si="15"/>
        <v>0</v>
      </c>
      <c r="BI44" s="21"/>
      <c r="BJ44" s="21"/>
    </row>
    <row r="45" spans="2:62">
      <c r="B45" s="33" t="s">
        <v>91</v>
      </c>
      <c r="C45" s="33"/>
      <c r="D45" s="33"/>
      <c r="E45" s="33"/>
      <c r="F45" s="33">
        <f t="shared" ref="F45:AK45" si="16">IF($X$12="Cost Savings",F36,0)</f>
        <v>0</v>
      </c>
      <c r="G45" s="33">
        <f t="shared" si="16"/>
        <v>0</v>
      </c>
      <c r="H45" s="33">
        <f t="shared" si="16"/>
        <v>0</v>
      </c>
      <c r="I45" s="33">
        <f t="shared" si="16"/>
        <v>0</v>
      </c>
      <c r="J45" s="33">
        <f t="shared" si="16"/>
        <v>0</v>
      </c>
      <c r="K45" s="33">
        <f t="shared" si="16"/>
        <v>0</v>
      </c>
      <c r="L45" s="33">
        <f t="shared" si="16"/>
        <v>0</v>
      </c>
      <c r="M45" s="33">
        <f t="shared" si="16"/>
        <v>0</v>
      </c>
      <c r="N45" s="33">
        <f t="shared" si="16"/>
        <v>0</v>
      </c>
      <c r="O45" s="33">
        <f t="shared" si="16"/>
        <v>0</v>
      </c>
      <c r="P45" s="33">
        <f t="shared" si="16"/>
        <v>0</v>
      </c>
      <c r="Q45" s="33">
        <f t="shared" si="16"/>
        <v>0</v>
      </c>
      <c r="R45" s="33">
        <f t="shared" si="16"/>
        <v>0</v>
      </c>
      <c r="S45" s="33">
        <f t="shared" si="16"/>
        <v>0</v>
      </c>
      <c r="T45" s="33">
        <f t="shared" si="16"/>
        <v>0</v>
      </c>
      <c r="U45" s="33">
        <f t="shared" si="16"/>
        <v>0</v>
      </c>
      <c r="V45" s="33">
        <f t="shared" si="16"/>
        <v>0</v>
      </c>
      <c r="W45" s="33">
        <f t="shared" si="16"/>
        <v>0</v>
      </c>
      <c r="X45" s="33">
        <f t="shared" si="16"/>
        <v>0</v>
      </c>
      <c r="Y45" s="33">
        <f t="shared" si="16"/>
        <v>0</v>
      </c>
      <c r="Z45" s="33">
        <f t="shared" si="16"/>
        <v>0</v>
      </c>
      <c r="AA45" s="33">
        <f t="shared" si="16"/>
        <v>0</v>
      </c>
      <c r="AB45" s="33">
        <f t="shared" si="16"/>
        <v>0</v>
      </c>
      <c r="AC45" s="33">
        <f t="shared" si="16"/>
        <v>0</v>
      </c>
      <c r="AD45" s="33">
        <f t="shared" si="16"/>
        <v>0</v>
      </c>
      <c r="AE45" s="33">
        <f t="shared" si="16"/>
        <v>0</v>
      </c>
      <c r="AF45" s="33">
        <f t="shared" si="16"/>
        <v>0</v>
      </c>
      <c r="AG45" s="33">
        <f t="shared" si="16"/>
        <v>0</v>
      </c>
      <c r="AH45" s="33">
        <f t="shared" si="16"/>
        <v>0</v>
      </c>
      <c r="AI45" s="33">
        <f t="shared" si="16"/>
        <v>0</v>
      </c>
      <c r="AJ45" s="33">
        <f t="shared" si="16"/>
        <v>0</v>
      </c>
      <c r="AK45" s="33">
        <f t="shared" si="16"/>
        <v>0</v>
      </c>
      <c r="AL45" s="33">
        <f t="shared" ref="AL45:BE45" si="17">IF($X$12="Cost Savings",AL36,0)</f>
        <v>0</v>
      </c>
      <c r="AM45" s="33">
        <f t="shared" si="17"/>
        <v>0</v>
      </c>
      <c r="AN45" s="33">
        <f t="shared" si="17"/>
        <v>0</v>
      </c>
      <c r="AO45" s="33">
        <f t="shared" si="17"/>
        <v>0</v>
      </c>
      <c r="AP45" s="33">
        <f t="shared" si="17"/>
        <v>0</v>
      </c>
      <c r="AQ45" s="33">
        <f t="shared" si="17"/>
        <v>0</v>
      </c>
      <c r="AR45" s="33">
        <f t="shared" si="17"/>
        <v>0</v>
      </c>
      <c r="AS45" s="33">
        <f t="shared" si="17"/>
        <v>0</v>
      </c>
      <c r="AT45" s="33">
        <f t="shared" si="17"/>
        <v>0</v>
      </c>
      <c r="AU45" s="33">
        <f t="shared" si="17"/>
        <v>0</v>
      </c>
      <c r="AV45" s="33">
        <f t="shared" si="17"/>
        <v>0</v>
      </c>
      <c r="AW45" s="33">
        <f t="shared" si="17"/>
        <v>0</v>
      </c>
      <c r="AX45" s="33">
        <f t="shared" si="17"/>
        <v>0</v>
      </c>
      <c r="AY45" s="33">
        <f t="shared" si="17"/>
        <v>0</v>
      </c>
      <c r="AZ45" s="33">
        <f t="shared" si="17"/>
        <v>0</v>
      </c>
      <c r="BA45" s="33">
        <f t="shared" si="17"/>
        <v>0</v>
      </c>
      <c r="BB45" s="33">
        <f t="shared" si="17"/>
        <v>0</v>
      </c>
      <c r="BC45" s="33">
        <f t="shared" si="17"/>
        <v>0</v>
      </c>
      <c r="BD45" s="33">
        <f t="shared" si="17"/>
        <v>0</v>
      </c>
      <c r="BE45" s="33">
        <f t="shared" si="17"/>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8">G41+G44</f>
        <v>0</v>
      </c>
      <c r="H47" s="33">
        <f t="shared" si="18"/>
        <v>0</v>
      </c>
      <c r="I47" s="33">
        <f t="shared" si="18"/>
        <v>0</v>
      </c>
      <c r="J47" s="33">
        <f t="shared" si="18"/>
        <v>0</v>
      </c>
      <c r="K47" s="33">
        <f t="shared" si="18"/>
        <v>0</v>
      </c>
      <c r="L47" s="33">
        <f t="shared" si="18"/>
        <v>0</v>
      </c>
      <c r="M47" s="33">
        <f t="shared" si="18"/>
        <v>0</v>
      </c>
      <c r="N47" s="33">
        <f t="shared" si="18"/>
        <v>0</v>
      </c>
      <c r="O47" s="33">
        <f t="shared" si="18"/>
        <v>0</v>
      </c>
      <c r="P47" s="33">
        <f t="shared" si="18"/>
        <v>0</v>
      </c>
      <c r="Q47" s="33">
        <f t="shared" si="18"/>
        <v>0</v>
      </c>
      <c r="R47" s="33">
        <f t="shared" si="18"/>
        <v>0</v>
      </c>
      <c r="S47" s="33">
        <f t="shared" si="18"/>
        <v>0</v>
      </c>
      <c r="T47" s="33">
        <f t="shared" si="18"/>
        <v>0</v>
      </c>
      <c r="U47" s="33">
        <f t="shared" si="18"/>
        <v>0</v>
      </c>
      <c r="V47" s="33">
        <f t="shared" si="18"/>
        <v>0</v>
      </c>
      <c r="W47" s="33">
        <f t="shared" si="18"/>
        <v>0</v>
      </c>
      <c r="X47" s="33">
        <f t="shared" si="18"/>
        <v>0</v>
      </c>
      <c r="Y47" s="33">
        <f t="shared" si="18"/>
        <v>0</v>
      </c>
      <c r="Z47" s="33">
        <f t="shared" si="18"/>
        <v>0</v>
      </c>
      <c r="AA47" s="33">
        <f t="shared" si="18"/>
        <v>0</v>
      </c>
      <c r="AB47" s="33">
        <f t="shared" si="18"/>
        <v>0</v>
      </c>
      <c r="AC47" s="33">
        <f t="shared" si="18"/>
        <v>0</v>
      </c>
      <c r="AD47" s="33">
        <f t="shared" si="18"/>
        <v>0</v>
      </c>
      <c r="AE47" s="33">
        <f t="shared" si="18"/>
        <v>0</v>
      </c>
      <c r="AF47" s="33">
        <f t="shared" si="18"/>
        <v>0</v>
      </c>
      <c r="AG47" s="33">
        <f t="shared" si="18"/>
        <v>0</v>
      </c>
      <c r="AH47" s="33">
        <f t="shared" si="18"/>
        <v>0</v>
      </c>
      <c r="AI47" s="33">
        <f t="shared" si="18"/>
        <v>0</v>
      </c>
      <c r="AJ47" s="33">
        <f t="shared" si="18"/>
        <v>0</v>
      </c>
      <c r="AK47" s="33">
        <f t="shared" si="18"/>
        <v>0</v>
      </c>
      <c r="AL47" s="33">
        <f t="shared" si="18"/>
        <v>0</v>
      </c>
      <c r="AM47" s="33">
        <f t="shared" si="18"/>
        <v>0</v>
      </c>
      <c r="AN47" s="33">
        <f t="shared" si="18"/>
        <v>0</v>
      </c>
      <c r="AO47" s="33">
        <f t="shared" si="18"/>
        <v>0</v>
      </c>
      <c r="AP47" s="33">
        <f t="shared" si="18"/>
        <v>0</v>
      </c>
      <c r="AQ47" s="33">
        <f t="shared" si="18"/>
        <v>0</v>
      </c>
      <c r="AR47" s="33">
        <f t="shared" si="18"/>
        <v>0</v>
      </c>
      <c r="AS47" s="33">
        <f t="shared" si="18"/>
        <v>0</v>
      </c>
      <c r="AT47" s="33">
        <f t="shared" si="18"/>
        <v>0</v>
      </c>
      <c r="AU47" s="33">
        <f t="shared" si="18"/>
        <v>0</v>
      </c>
      <c r="AV47" s="33">
        <f t="shared" si="18"/>
        <v>0</v>
      </c>
      <c r="AW47" s="33">
        <f t="shared" si="18"/>
        <v>0</v>
      </c>
      <c r="AX47" s="33">
        <f t="shared" si="18"/>
        <v>0</v>
      </c>
      <c r="AY47" s="33">
        <f t="shared" si="18"/>
        <v>0</v>
      </c>
      <c r="AZ47" s="33">
        <f t="shared" si="18"/>
        <v>0</v>
      </c>
      <c r="BA47" s="33">
        <f t="shared" si="18"/>
        <v>0</v>
      </c>
      <c r="BB47" s="33">
        <f t="shared" si="18"/>
        <v>0</v>
      </c>
      <c r="BC47" s="33">
        <f t="shared" si="18"/>
        <v>0</v>
      </c>
      <c r="BD47" s="33">
        <f t="shared" si="18"/>
        <v>0</v>
      </c>
      <c r="BE47" s="33">
        <f t="shared" si="18"/>
        <v>0</v>
      </c>
    </row>
    <row r="48" spans="2:62">
      <c r="B48" s="33" t="s">
        <v>13</v>
      </c>
      <c r="C48" s="33"/>
      <c r="D48" s="33"/>
      <c r="E48" s="33"/>
      <c r="F48" s="33">
        <f t="shared" ref="F48:BE48" si="19">F42+F45</f>
        <v>0</v>
      </c>
      <c r="G48" s="33">
        <f t="shared" si="19"/>
        <v>0</v>
      </c>
      <c r="H48" s="33">
        <f t="shared" si="19"/>
        <v>0</v>
      </c>
      <c r="I48" s="33">
        <f t="shared" si="19"/>
        <v>0</v>
      </c>
      <c r="J48" s="33">
        <f t="shared" si="19"/>
        <v>0</v>
      </c>
      <c r="K48" s="33">
        <f t="shared" si="19"/>
        <v>0</v>
      </c>
      <c r="L48" s="33">
        <f t="shared" si="19"/>
        <v>0</v>
      </c>
      <c r="M48" s="33">
        <f t="shared" si="19"/>
        <v>0</v>
      </c>
      <c r="N48" s="33">
        <f t="shared" si="19"/>
        <v>0</v>
      </c>
      <c r="O48" s="33">
        <f t="shared" si="19"/>
        <v>0</v>
      </c>
      <c r="P48" s="33">
        <f t="shared" si="19"/>
        <v>0</v>
      </c>
      <c r="Q48" s="33">
        <f t="shared" si="19"/>
        <v>0</v>
      </c>
      <c r="R48" s="33">
        <f t="shared" si="19"/>
        <v>0</v>
      </c>
      <c r="S48" s="33">
        <f t="shared" si="19"/>
        <v>0</v>
      </c>
      <c r="T48" s="33">
        <f t="shared" si="19"/>
        <v>0</v>
      </c>
      <c r="U48" s="33">
        <f t="shared" si="19"/>
        <v>0</v>
      </c>
      <c r="V48" s="33">
        <f t="shared" si="19"/>
        <v>0</v>
      </c>
      <c r="W48" s="33">
        <f t="shared" si="19"/>
        <v>0</v>
      </c>
      <c r="X48" s="33">
        <f t="shared" si="19"/>
        <v>0</v>
      </c>
      <c r="Y48" s="33">
        <f t="shared" si="19"/>
        <v>0</v>
      </c>
      <c r="Z48" s="33">
        <f t="shared" si="19"/>
        <v>0</v>
      </c>
      <c r="AA48" s="33">
        <f t="shared" si="19"/>
        <v>0</v>
      </c>
      <c r="AB48" s="33">
        <f t="shared" si="19"/>
        <v>0</v>
      </c>
      <c r="AC48" s="33">
        <f t="shared" si="19"/>
        <v>0</v>
      </c>
      <c r="AD48" s="33">
        <f t="shared" si="19"/>
        <v>0</v>
      </c>
      <c r="AE48" s="33">
        <f t="shared" si="19"/>
        <v>0</v>
      </c>
      <c r="AF48" s="33">
        <f t="shared" si="19"/>
        <v>0</v>
      </c>
      <c r="AG48" s="33">
        <f t="shared" si="19"/>
        <v>0</v>
      </c>
      <c r="AH48" s="33">
        <f t="shared" si="19"/>
        <v>0</v>
      </c>
      <c r="AI48" s="33">
        <f t="shared" si="19"/>
        <v>0</v>
      </c>
      <c r="AJ48" s="33">
        <f t="shared" si="19"/>
        <v>0</v>
      </c>
      <c r="AK48" s="33">
        <f t="shared" si="19"/>
        <v>0</v>
      </c>
      <c r="AL48" s="33">
        <f t="shared" si="19"/>
        <v>0</v>
      </c>
      <c r="AM48" s="33">
        <f t="shared" si="19"/>
        <v>0</v>
      </c>
      <c r="AN48" s="33">
        <f t="shared" si="19"/>
        <v>0</v>
      </c>
      <c r="AO48" s="33">
        <f t="shared" si="19"/>
        <v>0</v>
      </c>
      <c r="AP48" s="33">
        <f t="shared" si="19"/>
        <v>0</v>
      </c>
      <c r="AQ48" s="33">
        <f t="shared" si="19"/>
        <v>0</v>
      </c>
      <c r="AR48" s="33">
        <f t="shared" si="19"/>
        <v>0</v>
      </c>
      <c r="AS48" s="33">
        <f t="shared" si="19"/>
        <v>0</v>
      </c>
      <c r="AT48" s="33">
        <f t="shared" si="19"/>
        <v>0</v>
      </c>
      <c r="AU48" s="33">
        <f t="shared" si="19"/>
        <v>0</v>
      </c>
      <c r="AV48" s="33">
        <f t="shared" si="19"/>
        <v>0</v>
      </c>
      <c r="AW48" s="33">
        <f t="shared" si="19"/>
        <v>0</v>
      </c>
      <c r="AX48" s="33">
        <f t="shared" si="19"/>
        <v>0</v>
      </c>
      <c r="AY48" s="33">
        <f t="shared" si="19"/>
        <v>0</v>
      </c>
      <c r="AZ48" s="33">
        <f t="shared" si="19"/>
        <v>0</v>
      </c>
      <c r="BA48" s="33">
        <f t="shared" si="19"/>
        <v>0</v>
      </c>
      <c r="BB48" s="33">
        <f t="shared" si="19"/>
        <v>0</v>
      </c>
      <c r="BC48" s="33">
        <f t="shared" si="19"/>
        <v>0</v>
      </c>
      <c r="BD48" s="33">
        <f t="shared" si="19"/>
        <v>0</v>
      </c>
      <c r="BE48" s="33">
        <f t="shared" si="19"/>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20">IF($AZ$3&gt;F24,F47,0)</f>
        <v>0</v>
      </c>
      <c r="G50" s="33">
        <f t="shared" ca="1" si="20"/>
        <v>0</v>
      </c>
      <c r="H50" s="33">
        <f t="shared" ca="1" si="20"/>
        <v>0</v>
      </c>
      <c r="I50" s="33">
        <f t="shared" ca="1" si="20"/>
        <v>0</v>
      </c>
      <c r="J50" s="33">
        <f t="shared" ca="1" si="20"/>
        <v>0</v>
      </c>
      <c r="K50" s="33">
        <f t="shared" ca="1" si="20"/>
        <v>0</v>
      </c>
      <c r="L50" s="33">
        <f t="shared" ca="1" si="20"/>
        <v>0</v>
      </c>
      <c r="M50" s="33">
        <f t="shared" ca="1" si="20"/>
        <v>0</v>
      </c>
      <c r="N50" s="33">
        <f t="shared" ca="1" si="20"/>
        <v>0</v>
      </c>
      <c r="O50" s="33">
        <f t="shared" ca="1" si="20"/>
        <v>0</v>
      </c>
      <c r="P50" s="33">
        <f t="shared" ca="1" si="20"/>
        <v>0</v>
      </c>
      <c r="Q50" s="33">
        <f t="shared" ca="1" si="20"/>
        <v>0</v>
      </c>
      <c r="R50" s="33">
        <f t="shared" ca="1" si="20"/>
        <v>0</v>
      </c>
      <c r="S50" s="33">
        <f t="shared" ca="1" si="20"/>
        <v>0</v>
      </c>
      <c r="T50" s="33">
        <f t="shared" ca="1" si="20"/>
        <v>0</v>
      </c>
      <c r="U50" s="33">
        <f t="shared" ca="1" si="20"/>
        <v>0</v>
      </c>
      <c r="V50" s="33">
        <f t="shared" ca="1" si="20"/>
        <v>0</v>
      </c>
      <c r="W50" s="33">
        <f t="shared" ca="1" si="20"/>
        <v>0</v>
      </c>
      <c r="X50" s="33">
        <f t="shared" ca="1" si="20"/>
        <v>0</v>
      </c>
      <c r="Y50" s="33">
        <f t="shared" ca="1" si="20"/>
        <v>0</v>
      </c>
      <c r="Z50" s="33">
        <f t="shared" ca="1" si="20"/>
        <v>0</v>
      </c>
      <c r="AA50" s="33">
        <f t="shared" ca="1" si="20"/>
        <v>0</v>
      </c>
      <c r="AB50" s="33">
        <f t="shared" ca="1" si="20"/>
        <v>0</v>
      </c>
      <c r="AC50" s="33">
        <f t="shared" ca="1" si="20"/>
        <v>0</v>
      </c>
      <c r="AD50" s="33">
        <f t="shared" ca="1" si="20"/>
        <v>0</v>
      </c>
      <c r="AE50" s="33">
        <f t="shared" ca="1" si="20"/>
        <v>0</v>
      </c>
      <c r="AF50" s="33">
        <f t="shared" ca="1" si="20"/>
        <v>0</v>
      </c>
      <c r="AG50" s="33">
        <f t="shared" ca="1" si="20"/>
        <v>0</v>
      </c>
      <c r="AH50" s="33">
        <f t="shared" ca="1" si="20"/>
        <v>0</v>
      </c>
      <c r="AI50" s="33">
        <f t="shared" ca="1" si="20"/>
        <v>0</v>
      </c>
      <c r="AJ50" s="33">
        <f t="shared" ca="1" si="20"/>
        <v>0</v>
      </c>
      <c r="AK50" s="33">
        <f t="shared" ca="1" si="20"/>
        <v>0</v>
      </c>
      <c r="AL50" s="33">
        <f t="shared" ref="AL50:BE50" ca="1" si="21">IF($AZ$3&gt;AL24,AL47,0)</f>
        <v>0</v>
      </c>
      <c r="AM50" s="33">
        <f t="shared" ca="1" si="21"/>
        <v>0</v>
      </c>
      <c r="AN50" s="33">
        <f t="shared" ca="1" si="21"/>
        <v>0</v>
      </c>
      <c r="AO50" s="33">
        <f t="shared" ca="1" si="21"/>
        <v>0</v>
      </c>
      <c r="AP50" s="33">
        <f t="shared" ca="1" si="21"/>
        <v>0</v>
      </c>
      <c r="AQ50" s="33">
        <f t="shared" ca="1" si="21"/>
        <v>0</v>
      </c>
      <c r="AR50" s="33">
        <f t="shared" ca="1" si="21"/>
        <v>0</v>
      </c>
      <c r="AS50" s="33">
        <f t="shared" ca="1" si="21"/>
        <v>0</v>
      </c>
      <c r="AT50" s="33">
        <f t="shared" ca="1" si="21"/>
        <v>0</v>
      </c>
      <c r="AU50" s="33">
        <f t="shared" ca="1" si="21"/>
        <v>0</v>
      </c>
      <c r="AV50" s="33">
        <f t="shared" ca="1" si="21"/>
        <v>0</v>
      </c>
      <c r="AW50" s="33">
        <f t="shared" ca="1" si="21"/>
        <v>0</v>
      </c>
      <c r="AX50" s="33">
        <f t="shared" ca="1" si="21"/>
        <v>0</v>
      </c>
      <c r="AY50" s="33">
        <f t="shared" ca="1" si="21"/>
        <v>0</v>
      </c>
      <c r="AZ50" s="33">
        <f t="shared" ca="1" si="21"/>
        <v>0</v>
      </c>
      <c r="BA50" s="33">
        <f t="shared" ca="1" si="21"/>
        <v>0</v>
      </c>
      <c r="BB50" s="33">
        <f t="shared" ca="1" si="21"/>
        <v>0</v>
      </c>
      <c r="BC50" s="33">
        <f t="shared" ca="1" si="21"/>
        <v>0</v>
      </c>
      <c r="BD50" s="33">
        <f t="shared" ca="1" si="21"/>
        <v>0</v>
      </c>
      <c r="BE50" s="33">
        <f t="shared" ca="1" si="21"/>
        <v>0</v>
      </c>
    </row>
    <row r="51" spans="2:57">
      <c r="B51" s="33" t="s">
        <v>94</v>
      </c>
      <c r="C51" s="33"/>
      <c r="D51" s="33"/>
      <c r="E51" s="33">
        <f ca="1">MAX(F51:BE51)</f>
        <v>0</v>
      </c>
      <c r="F51" s="33">
        <f t="shared" ref="F51:AK51" ca="1" si="22">IF($AZ$3&gt;F25,F48,0)</f>
        <v>0</v>
      </c>
      <c r="G51" s="33">
        <f t="shared" ca="1" si="22"/>
        <v>0</v>
      </c>
      <c r="H51" s="33">
        <f t="shared" ca="1" si="22"/>
        <v>0</v>
      </c>
      <c r="I51" s="33">
        <f t="shared" ca="1" si="22"/>
        <v>0</v>
      </c>
      <c r="J51" s="33">
        <f t="shared" ca="1" si="22"/>
        <v>0</v>
      </c>
      <c r="K51" s="33">
        <f t="shared" ca="1" si="22"/>
        <v>0</v>
      </c>
      <c r="L51" s="33">
        <f t="shared" ca="1" si="22"/>
        <v>0</v>
      </c>
      <c r="M51" s="33">
        <f t="shared" ca="1" si="22"/>
        <v>0</v>
      </c>
      <c r="N51" s="33">
        <f t="shared" ca="1" si="22"/>
        <v>0</v>
      </c>
      <c r="O51" s="33">
        <f t="shared" ca="1" si="22"/>
        <v>0</v>
      </c>
      <c r="P51" s="33">
        <f t="shared" ca="1" si="22"/>
        <v>0</v>
      </c>
      <c r="Q51" s="33">
        <f t="shared" ca="1" si="22"/>
        <v>0</v>
      </c>
      <c r="R51" s="33">
        <f t="shared" ca="1" si="22"/>
        <v>0</v>
      </c>
      <c r="S51" s="33">
        <f t="shared" ca="1" si="22"/>
        <v>0</v>
      </c>
      <c r="T51" s="33">
        <f t="shared" ca="1" si="22"/>
        <v>0</v>
      </c>
      <c r="U51" s="33">
        <f t="shared" ca="1" si="22"/>
        <v>0</v>
      </c>
      <c r="V51" s="33">
        <f t="shared" ca="1" si="22"/>
        <v>0</v>
      </c>
      <c r="W51" s="33">
        <f t="shared" ca="1" si="22"/>
        <v>0</v>
      </c>
      <c r="X51" s="33">
        <f t="shared" ca="1" si="22"/>
        <v>0</v>
      </c>
      <c r="Y51" s="33">
        <f t="shared" ca="1" si="22"/>
        <v>0</v>
      </c>
      <c r="Z51" s="33">
        <f t="shared" ca="1" si="22"/>
        <v>0</v>
      </c>
      <c r="AA51" s="33">
        <f t="shared" ca="1" si="22"/>
        <v>0</v>
      </c>
      <c r="AB51" s="33">
        <f t="shared" ca="1" si="22"/>
        <v>0</v>
      </c>
      <c r="AC51" s="33">
        <f t="shared" ca="1" si="22"/>
        <v>0</v>
      </c>
      <c r="AD51" s="33">
        <f t="shared" ca="1" si="22"/>
        <v>0</v>
      </c>
      <c r="AE51" s="33">
        <f t="shared" ca="1" si="22"/>
        <v>0</v>
      </c>
      <c r="AF51" s="33">
        <f t="shared" ca="1" si="22"/>
        <v>0</v>
      </c>
      <c r="AG51" s="33">
        <f t="shared" ca="1" si="22"/>
        <v>0</v>
      </c>
      <c r="AH51" s="33">
        <f t="shared" ca="1" si="22"/>
        <v>0</v>
      </c>
      <c r="AI51" s="33">
        <f t="shared" ca="1" si="22"/>
        <v>0</v>
      </c>
      <c r="AJ51" s="33">
        <f t="shared" ca="1" si="22"/>
        <v>0</v>
      </c>
      <c r="AK51" s="33">
        <f t="shared" ca="1" si="22"/>
        <v>0</v>
      </c>
      <c r="AL51" s="33">
        <f t="shared" ref="AL51:BE51" ca="1" si="23">IF($AZ$3&gt;AL25,AL48,0)</f>
        <v>0</v>
      </c>
      <c r="AM51" s="33">
        <f t="shared" ca="1" si="23"/>
        <v>0</v>
      </c>
      <c r="AN51" s="33">
        <f t="shared" ca="1" si="23"/>
        <v>0</v>
      </c>
      <c r="AO51" s="33">
        <f t="shared" ca="1" si="23"/>
        <v>0</v>
      </c>
      <c r="AP51" s="33">
        <f t="shared" ca="1" si="23"/>
        <v>0</v>
      </c>
      <c r="AQ51" s="33">
        <f t="shared" ca="1" si="23"/>
        <v>0</v>
      </c>
      <c r="AR51" s="33">
        <f t="shared" ca="1" si="23"/>
        <v>0</v>
      </c>
      <c r="AS51" s="33">
        <f t="shared" ca="1" si="23"/>
        <v>0</v>
      </c>
      <c r="AT51" s="33">
        <f t="shared" ca="1" si="23"/>
        <v>0</v>
      </c>
      <c r="AU51" s="33">
        <f t="shared" ca="1" si="23"/>
        <v>0</v>
      </c>
      <c r="AV51" s="33">
        <f t="shared" ca="1" si="23"/>
        <v>0</v>
      </c>
      <c r="AW51" s="33">
        <f t="shared" ca="1" si="23"/>
        <v>0</v>
      </c>
      <c r="AX51" s="33">
        <f t="shared" ca="1" si="23"/>
        <v>0</v>
      </c>
      <c r="AY51" s="33">
        <f t="shared" ca="1" si="23"/>
        <v>0</v>
      </c>
      <c r="AZ51" s="33">
        <f t="shared" ca="1" si="23"/>
        <v>0</v>
      </c>
      <c r="BA51" s="33">
        <f t="shared" ca="1" si="23"/>
        <v>0</v>
      </c>
      <c r="BB51" s="33">
        <f t="shared" ca="1" si="23"/>
        <v>0</v>
      </c>
      <c r="BC51" s="33">
        <f t="shared" ca="1" si="23"/>
        <v>0</v>
      </c>
      <c r="BD51" s="33">
        <f t="shared" ca="1" si="23"/>
        <v>0</v>
      </c>
      <c r="BE51" s="33">
        <f t="shared" ca="1" si="23"/>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7" priority="1" operator="equal">
      <formula>"No Change"</formula>
    </cfRule>
    <cfRule type="cellIs" dxfId="56" priority="2" operator="equal">
      <formula>"Progression"</formula>
    </cfRule>
  </conditionalFormatting>
  <conditionalFormatting sqref="AU10:AU21">
    <cfRule type="expression" dxfId="55" priority="3">
      <formula>IFERROR(FIND("Ahead",AU10),0)&gt;0</formula>
    </cfRule>
    <cfRule type="expression" dxfId="54" priority="4">
      <formula>IFERROR(FIND("Overdue",AU10),0)&gt;0</formula>
    </cfRule>
    <cfRule type="cellIs" dxfId="53" priority="5" operator="equal">
      <formula>"Met Target"</formula>
    </cfRule>
    <cfRule type="cellIs" dxfId="52" priority="6" operator="equal">
      <formula>"Missing Target"</formula>
    </cfRule>
    <cfRule type="expression" dxfId="5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24" activePane="bottomRight" state="frozen"/>
      <selection pane="bottomRight" activeCell="F33" sqref="F33:BE33"/>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127</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Internal Process</v>
      </c>
      <c r="AP3" s="87"/>
      <c r="AQ3" s="87"/>
      <c r="AR3" s="87"/>
      <c r="AS3" s="87"/>
      <c r="AT3" s="87"/>
      <c r="AU3" s="87"/>
      <c r="AV3" s="92">
        <f>IF(F7="",0,VLOOKUP(F7,Lookups!B4:H8,3))</f>
        <v>50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Dev</v>
      </c>
      <c r="AP4" s="87"/>
      <c r="AQ4" s="87"/>
      <c r="AR4" s="87"/>
      <c r="AS4" s="87"/>
      <c r="AT4" s="87"/>
      <c r="AU4" s="87"/>
      <c r="AV4" s="89">
        <f ca="1">IF(AO4="Not Def",0,VLOOKUP(AO4,Lookups!L4:M8,2))</f>
        <v>0.4</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128</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Idea</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24</v>
      </c>
      <c r="AW6" s="104"/>
      <c r="AX6" s="104"/>
      <c r="AY6" s="18"/>
      <c r="AZ6" s="18"/>
      <c r="BA6" s="18"/>
      <c r="BB6" s="18"/>
      <c r="BC6" s="18"/>
      <c r="BD6" s="18"/>
      <c r="BH6" s="13"/>
      <c r="BI6" s="17"/>
      <c r="BJ6" s="17"/>
      <c r="BK6" s="17"/>
    </row>
    <row r="7" spans="2:71" ht="28.5" customHeight="1" thickBot="1">
      <c r="B7" s="99" t="s">
        <v>34</v>
      </c>
      <c r="C7" s="100"/>
      <c r="D7" s="100"/>
      <c r="E7" s="101"/>
      <c r="F7" s="105" t="s">
        <v>35</v>
      </c>
      <c r="G7" s="106"/>
      <c r="H7" s="106"/>
      <c r="I7" s="106"/>
      <c r="J7" s="106"/>
      <c r="K7" s="106"/>
      <c r="L7" s="106"/>
      <c r="M7" s="106"/>
      <c r="N7" s="106"/>
      <c r="O7" s="106"/>
      <c r="P7" s="106"/>
      <c r="Q7" s="106"/>
      <c r="R7" s="106"/>
      <c r="S7" s="106"/>
      <c r="T7" s="106"/>
      <c r="U7" s="106"/>
      <c r="V7" s="106"/>
      <c r="W7" s="106"/>
      <c r="X7" s="107"/>
      <c r="Y7" s="99" t="s">
        <v>10</v>
      </c>
      <c r="Z7" s="100"/>
      <c r="AA7" s="100"/>
      <c r="AB7" s="101"/>
      <c r="AC7" s="108" t="s">
        <v>107</v>
      </c>
      <c r="AD7" s="109"/>
      <c r="AE7" s="110"/>
      <c r="BH7" s="13"/>
      <c r="BI7" s="13"/>
      <c r="BJ7" s="17"/>
      <c r="BK7" s="17"/>
    </row>
    <row r="8" spans="2:71" ht="28.5" customHeight="1" thickBot="1">
      <c r="B8" s="99" t="s">
        <v>8</v>
      </c>
      <c r="C8" s="100"/>
      <c r="D8" s="100"/>
      <c r="E8" s="101"/>
      <c r="F8" s="111" t="str">
        <f>IF(F7="","",VLOOKUP(F7,Lookups!B4:H8,2))</f>
        <v>Internal Process</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Automated customer support triage, intelligent lead scoring, predictive maintenance, churn analysis, scheduling</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45870</v>
      </c>
      <c r="AP10" s="114"/>
      <c r="AQ10" s="114"/>
      <c r="AR10" s="114">
        <v>45870</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45870</v>
      </c>
      <c r="AP11" s="114"/>
      <c r="AQ11" s="114"/>
      <c r="AR11" s="114">
        <v>45870</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Employee Satisfaction</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45901</v>
      </c>
      <c r="AP12" s="114"/>
      <c r="AQ12" s="114"/>
      <c r="AR12" s="114">
        <v>45901</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129</v>
      </c>
      <c r="C13" s="124"/>
      <c r="D13" s="125"/>
      <c r="F13" s="24" t="s">
        <v>52</v>
      </c>
      <c r="G13" s="71" t="s">
        <v>119</v>
      </c>
      <c r="H13" s="72"/>
      <c r="I13" s="72"/>
      <c r="J13" s="72"/>
      <c r="K13" s="72"/>
      <c r="L13" s="72"/>
      <c r="M13" s="73"/>
      <c r="O13" s="24" t="s">
        <v>52</v>
      </c>
      <c r="P13" s="71" t="s">
        <v>130</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45931</v>
      </c>
      <c r="AP13" s="114"/>
      <c r="AQ13" s="114"/>
      <c r="AR13" s="114">
        <v>45931</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c r="AP14" s="114"/>
      <c r="AQ14" s="114"/>
      <c r="AR14" s="114"/>
      <c r="AS14" s="114"/>
      <c r="AT14" s="114"/>
      <c r="AU14" s="115" t="str">
        <f t="shared" si="0"/>
        <v>Missing Target</v>
      </c>
      <c r="AV14" s="115"/>
      <c r="AW14" s="115"/>
      <c r="AX14" s="115"/>
      <c r="AY14" s="158"/>
      <c r="AZ14" s="158"/>
      <c r="BA14" s="158"/>
      <c r="BB14" s="158"/>
      <c r="BC14" s="158"/>
      <c r="BD14" s="158"/>
      <c r="BE14" s="158"/>
      <c r="BL14" s="15"/>
      <c r="BS14" s="12"/>
    </row>
    <row r="15" spans="2:71" ht="28.5" customHeight="1" thickBot="1">
      <c r="B15" s="129"/>
      <c r="C15" s="130"/>
      <c r="D15" s="131"/>
      <c r="F15" s="132" t="s">
        <v>121</v>
      </c>
      <c r="G15" s="133"/>
      <c r="H15" s="133"/>
      <c r="I15" s="133"/>
      <c r="J15" s="133"/>
      <c r="K15" s="133"/>
      <c r="L15" s="133"/>
      <c r="M15" s="134"/>
      <c r="O15" s="132" t="s">
        <v>131</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c r="AP15" s="114"/>
      <c r="AQ15" s="114"/>
      <c r="AR15" s="114"/>
      <c r="AS15" s="114"/>
      <c r="AT15" s="114"/>
      <c r="AU15" s="115" t="str">
        <f t="shared" ref="AU15:AU21" si="1">IF(AO15=$A$1,"Missing Target",IF(AR15=$A$1,IF($AZ$3&gt;AO15,INT($AZ$3-AO15)&amp;" Day(s) Overdue","Incomplete"),IF(AR15&gt;AO15,INT(AR15-AO15)&amp;" Day(s) Late",IF(AR15=AO15,"OK",INT(AO15-AR15)&amp;" Day(s) Ahead"))))</f>
        <v>Missing Target</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c r="AP16" s="114"/>
      <c r="AQ16" s="114"/>
      <c r="AR16" s="114"/>
      <c r="AS16" s="114"/>
      <c r="AT16" s="114"/>
      <c r="AU16" s="115" t="str">
        <f t="shared" si="1"/>
        <v>Missing Target</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c r="AP17" s="114"/>
      <c r="AQ17" s="114"/>
      <c r="AR17" s="114"/>
      <c r="AS17" s="114"/>
      <c r="AT17" s="114"/>
      <c r="AU17" s="115" t="str">
        <f t="shared" si="1"/>
        <v>Missing Target</v>
      </c>
      <c r="AV17" s="115"/>
      <c r="AW17" s="115"/>
      <c r="AX17" s="115"/>
      <c r="AY17" s="158"/>
      <c r="AZ17" s="158"/>
      <c r="BA17" s="158"/>
      <c r="BB17" s="158"/>
      <c r="BC17" s="158"/>
      <c r="BD17" s="158"/>
      <c r="BE17" s="158"/>
      <c r="BL17" s="15"/>
      <c r="BS17" s="12"/>
    </row>
    <row r="18" spans="2:71" ht="28.5" customHeight="1" thickBot="1">
      <c r="B18" s="25" t="s">
        <v>67</v>
      </c>
      <c r="C18" s="74" t="s">
        <v>123</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c r="AP18" s="114"/>
      <c r="AQ18" s="114"/>
      <c r="AR18" s="114"/>
      <c r="AS18" s="114"/>
      <c r="AT18" s="114"/>
      <c r="AU18" s="115" t="str">
        <f t="shared" si="1"/>
        <v>Missing Target</v>
      </c>
      <c r="AV18" s="115"/>
      <c r="AW18" s="115"/>
      <c r="AX18" s="115"/>
      <c r="AY18" s="158"/>
      <c r="AZ18" s="158"/>
      <c r="BA18" s="158"/>
      <c r="BB18" s="158"/>
      <c r="BC18" s="158"/>
      <c r="BD18" s="158"/>
      <c r="BE18" s="158"/>
      <c r="BL18" s="15"/>
      <c r="BS18" s="12"/>
    </row>
    <row r="19" spans="2:71" ht="28.5" customHeight="1" thickBot="1">
      <c r="B19" s="25" t="s">
        <v>71</v>
      </c>
      <c r="C19" s="74" t="s">
        <v>72</v>
      </c>
      <c r="D19" s="76"/>
      <c r="F19" s="132" t="s">
        <v>132</v>
      </c>
      <c r="G19" s="133"/>
      <c r="H19" s="133"/>
      <c r="I19" s="133"/>
      <c r="J19" s="133"/>
      <c r="K19" s="133"/>
      <c r="L19" s="133"/>
      <c r="M19" s="134"/>
      <c r="O19" s="132" t="s">
        <v>133</v>
      </c>
      <c r="P19" s="133"/>
      <c r="Q19" s="133"/>
      <c r="R19" s="133"/>
      <c r="S19" s="133"/>
      <c r="T19" s="133"/>
      <c r="U19" s="133"/>
      <c r="V19" s="134"/>
      <c r="X19" s="132"/>
      <c r="Y19" s="133"/>
      <c r="Z19" s="133"/>
      <c r="AA19" s="133"/>
      <c r="AB19" s="133"/>
      <c r="AC19" s="133"/>
      <c r="AD19" s="133"/>
      <c r="AE19" s="134"/>
      <c r="AF19" s="26"/>
      <c r="AG19" s="121" t="s">
        <v>75</v>
      </c>
      <c r="AH19" s="121"/>
      <c r="AI19" s="121"/>
      <c r="AJ19" s="122" t="s">
        <v>76</v>
      </c>
      <c r="AK19" s="122"/>
      <c r="AL19" s="122"/>
      <c r="AM19" s="122"/>
      <c r="AN19" s="122"/>
      <c r="AO19" s="114"/>
      <c r="AP19" s="114"/>
      <c r="AQ19" s="114"/>
      <c r="AR19" s="114"/>
      <c r="AS19" s="114"/>
      <c r="AT19" s="114"/>
      <c r="AU19" s="115" t="str">
        <f t="shared" si="1"/>
        <v>Missing Target</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c r="AP20" s="114"/>
      <c r="AQ20" s="114"/>
      <c r="AR20" s="114"/>
      <c r="AS20" s="114"/>
      <c r="AT20" s="114"/>
      <c r="AU20" s="115" t="str">
        <f t="shared" si="1"/>
        <v>Missing Target</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c r="AP21" s="114"/>
      <c r="AQ21" s="114"/>
      <c r="AR21" s="114"/>
      <c r="AS21" s="114"/>
      <c r="AT21" s="114"/>
      <c r="AU21" s="115" t="str">
        <f t="shared" si="1"/>
        <v>Missing Target</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46022</v>
      </c>
      <c r="G24" s="31">
        <f>F24+7</f>
        <v>46029</v>
      </c>
      <c r="H24" s="31">
        <f t="shared" ref="H24:BE24" si="4">G24+7</f>
        <v>46036</v>
      </c>
      <c r="I24" s="31">
        <f t="shared" si="4"/>
        <v>46043</v>
      </c>
      <c r="J24" s="31">
        <f t="shared" si="4"/>
        <v>46050</v>
      </c>
      <c r="K24" s="31">
        <f t="shared" si="4"/>
        <v>46057</v>
      </c>
      <c r="L24" s="31">
        <f t="shared" si="4"/>
        <v>46064</v>
      </c>
      <c r="M24" s="31">
        <f t="shared" si="4"/>
        <v>46071</v>
      </c>
      <c r="N24" s="31">
        <f t="shared" si="4"/>
        <v>46078</v>
      </c>
      <c r="O24" s="31">
        <f t="shared" si="4"/>
        <v>46085</v>
      </c>
      <c r="P24" s="31">
        <f t="shared" si="4"/>
        <v>46092</v>
      </c>
      <c r="Q24" s="31">
        <f t="shared" si="4"/>
        <v>46099</v>
      </c>
      <c r="R24" s="31">
        <f t="shared" si="4"/>
        <v>46106</v>
      </c>
      <c r="S24" s="31">
        <f t="shared" si="4"/>
        <v>46113</v>
      </c>
      <c r="T24" s="31">
        <f t="shared" si="4"/>
        <v>46120</v>
      </c>
      <c r="U24" s="31">
        <f t="shared" si="4"/>
        <v>46127</v>
      </c>
      <c r="V24" s="31">
        <f t="shared" si="4"/>
        <v>46134</v>
      </c>
      <c r="W24" s="31">
        <f t="shared" si="4"/>
        <v>46141</v>
      </c>
      <c r="X24" s="31">
        <f t="shared" si="4"/>
        <v>46148</v>
      </c>
      <c r="Y24" s="31">
        <f t="shared" si="4"/>
        <v>46155</v>
      </c>
      <c r="Z24" s="31">
        <f t="shared" si="4"/>
        <v>46162</v>
      </c>
      <c r="AA24" s="31">
        <f t="shared" si="4"/>
        <v>46169</v>
      </c>
      <c r="AB24" s="31">
        <f t="shared" si="4"/>
        <v>46176</v>
      </c>
      <c r="AC24" s="31">
        <f t="shared" si="4"/>
        <v>46183</v>
      </c>
      <c r="AD24" s="31">
        <f t="shared" si="4"/>
        <v>46190</v>
      </c>
      <c r="AE24" s="31">
        <f t="shared" si="4"/>
        <v>46197</v>
      </c>
      <c r="AF24" s="31">
        <f t="shared" si="4"/>
        <v>46204</v>
      </c>
      <c r="AG24" s="31">
        <f t="shared" si="4"/>
        <v>46211</v>
      </c>
      <c r="AH24" s="31">
        <f t="shared" si="4"/>
        <v>46218</v>
      </c>
      <c r="AI24" s="31">
        <f t="shared" si="4"/>
        <v>46225</v>
      </c>
      <c r="AJ24" s="31">
        <f t="shared" si="4"/>
        <v>46232</v>
      </c>
      <c r="AK24" s="31">
        <f t="shared" si="4"/>
        <v>46239</v>
      </c>
      <c r="AL24" s="31">
        <f t="shared" si="4"/>
        <v>46246</v>
      </c>
      <c r="AM24" s="31">
        <f t="shared" si="4"/>
        <v>46253</v>
      </c>
      <c r="AN24" s="31">
        <f t="shared" si="4"/>
        <v>46260</v>
      </c>
      <c r="AO24" s="31">
        <f t="shared" si="4"/>
        <v>46267</v>
      </c>
      <c r="AP24" s="31">
        <f t="shared" si="4"/>
        <v>46274</v>
      </c>
      <c r="AQ24" s="31">
        <f t="shared" si="4"/>
        <v>46281</v>
      </c>
      <c r="AR24" s="31">
        <f t="shared" si="4"/>
        <v>46288</v>
      </c>
      <c r="AS24" s="31">
        <f t="shared" si="4"/>
        <v>46295</v>
      </c>
      <c r="AT24" s="31">
        <f t="shared" si="4"/>
        <v>46302</v>
      </c>
      <c r="AU24" s="31">
        <f t="shared" si="4"/>
        <v>46309</v>
      </c>
      <c r="AV24" s="31">
        <f t="shared" si="4"/>
        <v>46316</v>
      </c>
      <c r="AW24" s="31">
        <f t="shared" si="4"/>
        <v>46323</v>
      </c>
      <c r="AX24" s="31">
        <f t="shared" si="4"/>
        <v>46330</v>
      </c>
      <c r="AY24" s="31">
        <f t="shared" si="4"/>
        <v>46337</v>
      </c>
      <c r="AZ24" s="31">
        <f t="shared" si="4"/>
        <v>46344</v>
      </c>
      <c r="BA24" s="31">
        <f t="shared" si="4"/>
        <v>46351</v>
      </c>
      <c r="BB24" s="31">
        <f t="shared" si="4"/>
        <v>46358</v>
      </c>
      <c r="BC24" s="31">
        <f t="shared" si="4"/>
        <v>46365</v>
      </c>
      <c r="BD24" s="31">
        <f t="shared" si="4"/>
        <v>46372</v>
      </c>
      <c r="BE24" s="31">
        <f t="shared" si="4"/>
        <v>46379</v>
      </c>
      <c r="BJ24" s="21"/>
    </row>
    <row r="25" spans="2:71">
      <c r="B25" s="146" t="str">
        <f>G13&amp;" TARGET"</f>
        <v>Audit Frequency and Results TARGET</v>
      </c>
      <c r="C25" s="147"/>
      <c r="D25" s="147"/>
      <c r="E25" s="148"/>
      <c r="F25" s="59">
        <v>20</v>
      </c>
      <c r="G25" s="59">
        <f>F25</f>
        <v>20</v>
      </c>
      <c r="H25" s="59">
        <f t="shared" ref="H25:M25" si="5">G25</f>
        <v>20</v>
      </c>
      <c r="I25" s="59">
        <f t="shared" si="5"/>
        <v>20</v>
      </c>
      <c r="J25" s="59">
        <f t="shared" si="5"/>
        <v>20</v>
      </c>
      <c r="K25" s="59">
        <f t="shared" si="5"/>
        <v>20</v>
      </c>
      <c r="L25" s="59">
        <f t="shared" si="5"/>
        <v>20</v>
      </c>
      <c r="M25" s="59">
        <f t="shared" si="5"/>
        <v>20</v>
      </c>
      <c r="N25" s="59">
        <f t="shared" ref="N25" si="6">M25</f>
        <v>20</v>
      </c>
      <c r="O25" s="59">
        <f t="shared" ref="O25" si="7">N25</f>
        <v>20</v>
      </c>
      <c r="P25" s="59">
        <f t="shared" ref="P25" si="8">O25</f>
        <v>20</v>
      </c>
      <c r="Q25" s="59">
        <f t="shared" ref="Q25" si="9">P25</f>
        <v>20</v>
      </c>
      <c r="R25" s="59">
        <f t="shared" ref="R25" si="10">Q25</f>
        <v>20</v>
      </c>
      <c r="S25" s="59">
        <f t="shared" ref="S25" si="11">R25</f>
        <v>20</v>
      </c>
      <c r="T25" s="59">
        <f t="shared" ref="T25" si="12">S25</f>
        <v>20</v>
      </c>
      <c r="U25" s="59">
        <f t="shared" ref="U25" si="13">T25</f>
        <v>20</v>
      </c>
      <c r="V25" s="59">
        <f t="shared" ref="V25" si="14">U25</f>
        <v>20</v>
      </c>
      <c r="W25" s="59">
        <f t="shared" ref="W25" si="15">V25</f>
        <v>20</v>
      </c>
      <c r="X25" s="59">
        <f t="shared" ref="X25" si="16">W25</f>
        <v>20</v>
      </c>
      <c r="Y25" s="59">
        <f t="shared" ref="Y25" si="17">X25</f>
        <v>20</v>
      </c>
      <c r="Z25" s="59">
        <f t="shared" ref="Z25" si="18">Y25</f>
        <v>20</v>
      </c>
      <c r="AA25" s="59">
        <f t="shared" ref="AA25" si="19">Z25</f>
        <v>20</v>
      </c>
      <c r="AB25" s="59">
        <f t="shared" ref="AB25" si="20">AA25</f>
        <v>20</v>
      </c>
      <c r="AC25" s="59">
        <f t="shared" ref="AC25" si="21">AB25</f>
        <v>20</v>
      </c>
      <c r="AD25" s="59">
        <f t="shared" ref="AD25" si="22">AC25</f>
        <v>20</v>
      </c>
      <c r="AE25" s="59">
        <f t="shared" ref="AE25" si="23">AD25</f>
        <v>20</v>
      </c>
      <c r="AF25" s="59">
        <f t="shared" ref="AF25" si="24">AE25</f>
        <v>20</v>
      </c>
      <c r="AG25" s="59">
        <f t="shared" ref="AG25" si="25">AF25</f>
        <v>20</v>
      </c>
      <c r="AH25" s="59">
        <f t="shared" ref="AH25" si="26">AG25</f>
        <v>20</v>
      </c>
      <c r="AI25" s="59">
        <f t="shared" ref="AI25" si="27">AH25</f>
        <v>20</v>
      </c>
      <c r="AJ25" s="59">
        <f t="shared" ref="AJ25" si="28">AI25</f>
        <v>20</v>
      </c>
      <c r="AK25" s="59">
        <f t="shared" ref="AK25" si="29">AJ25</f>
        <v>20</v>
      </c>
      <c r="AL25" s="59">
        <f t="shared" ref="AL25" si="30">AK25</f>
        <v>20</v>
      </c>
      <c r="AM25" s="59">
        <f t="shared" ref="AM25" si="31">AL25</f>
        <v>20</v>
      </c>
      <c r="AN25" s="59">
        <f t="shared" ref="AN25" si="32">AM25</f>
        <v>20</v>
      </c>
      <c r="AO25" s="59">
        <f t="shared" ref="AO25" si="33">AN25</f>
        <v>20</v>
      </c>
      <c r="AP25" s="59">
        <f t="shared" ref="AP25" si="34">AO25</f>
        <v>20</v>
      </c>
      <c r="AQ25" s="59">
        <f t="shared" ref="AQ25" si="35">AP25</f>
        <v>20</v>
      </c>
      <c r="AR25" s="59">
        <f t="shared" ref="AR25" si="36">AQ25</f>
        <v>20</v>
      </c>
      <c r="AS25" s="59">
        <f t="shared" ref="AS25" si="37">AR25</f>
        <v>20</v>
      </c>
      <c r="AT25" s="59">
        <f t="shared" ref="AT25" si="38">AS25</f>
        <v>20</v>
      </c>
      <c r="AU25" s="59">
        <f t="shared" ref="AU25" si="39">AT25</f>
        <v>20</v>
      </c>
      <c r="AV25" s="59">
        <f t="shared" ref="AV25" si="40">AU25</f>
        <v>20</v>
      </c>
      <c r="AW25" s="59">
        <f t="shared" ref="AW25" si="41">AV25</f>
        <v>20</v>
      </c>
      <c r="AX25" s="59">
        <f t="shared" ref="AX25" si="42">AW25</f>
        <v>20</v>
      </c>
      <c r="AY25" s="59">
        <f t="shared" ref="AY25" si="43">AX25</f>
        <v>20</v>
      </c>
      <c r="AZ25" s="59">
        <f t="shared" ref="AZ25" si="44">AY25</f>
        <v>20</v>
      </c>
      <c r="BA25" s="59">
        <f t="shared" ref="BA25" si="45">AZ25</f>
        <v>20</v>
      </c>
      <c r="BB25" s="59">
        <f t="shared" ref="BB25" si="46">BA25</f>
        <v>20</v>
      </c>
      <c r="BC25" s="59">
        <f t="shared" ref="BC25" si="47">BB25</f>
        <v>20</v>
      </c>
      <c r="BD25" s="59">
        <f t="shared" ref="BD25" si="48">BC25</f>
        <v>20</v>
      </c>
      <c r="BE25" s="59">
        <f t="shared" ref="BE25" si="49">BD25</f>
        <v>20</v>
      </c>
    </row>
    <row r="26" spans="2:71">
      <c r="B26" s="146" t="s">
        <v>85</v>
      </c>
      <c r="C26" s="147"/>
      <c r="D26" s="147"/>
      <c r="E26" s="148"/>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-20</v>
      </c>
      <c r="G27" s="60">
        <f t="shared" ref="G27:BE27" si="50">G26-G25</f>
        <v>-20</v>
      </c>
      <c r="H27" s="60">
        <f t="shared" si="50"/>
        <v>-20</v>
      </c>
      <c r="I27" s="60">
        <f t="shared" si="50"/>
        <v>-20</v>
      </c>
      <c r="J27" s="60">
        <f t="shared" si="50"/>
        <v>-20</v>
      </c>
      <c r="K27" s="60">
        <f t="shared" si="50"/>
        <v>-20</v>
      </c>
      <c r="L27" s="60">
        <f t="shared" si="50"/>
        <v>-20</v>
      </c>
      <c r="M27" s="60">
        <f t="shared" si="50"/>
        <v>-20</v>
      </c>
      <c r="N27" s="60">
        <f t="shared" si="50"/>
        <v>-20</v>
      </c>
      <c r="O27" s="60">
        <f t="shared" si="50"/>
        <v>-20</v>
      </c>
      <c r="P27" s="60">
        <f t="shared" si="50"/>
        <v>-20</v>
      </c>
      <c r="Q27" s="60">
        <f t="shared" si="50"/>
        <v>-20</v>
      </c>
      <c r="R27" s="60">
        <f t="shared" si="50"/>
        <v>-20</v>
      </c>
      <c r="S27" s="60">
        <f t="shared" si="50"/>
        <v>-20</v>
      </c>
      <c r="T27" s="60">
        <f t="shared" si="50"/>
        <v>-20</v>
      </c>
      <c r="U27" s="60">
        <f t="shared" si="50"/>
        <v>-20</v>
      </c>
      <c r="V27" s="60">
        <f t="shared" si="50"/>
        <v>-20</v>
      </c>
      <c r="W27" s="60">
        <f t="shared" si="50"/>
        <v>-20</v>
      </c>
      <c r="X27" s="60">
        <f t="shared" si="50"/>
        <v>-20</v>
      </c>
      <c r="Y27" s="60">
        <f t="shared" si="50"/>
        <v>-20</v>
      </c>
      <c r="Z27" s="60">
        <f t="shared" si="50"/>
        <v>-20</v>
      </c>
      <c r="AA27" s="60">
        <f t="shared" si="50"/>
        <v>-20</v>
      </c>
      <c r="AB27" s="60">
        <f t="shared" si="50"/>
        <v>-20</v>
      </c>
      <c r="AC27" s="60">
        <f t="shared" si="50"/>
        <v>-20</v>
      </c>
      <c r="AD27" s="60">
        <f t="shared" si="50"/>
        <v>-20</v>
      </c>
      <c r="AE27" s="60">
        <f t="shared" si="50"/>
        <v>-20</v>
      </c>
      <c r="AF27" s="60">
        <f t="shared" si="50"/>
        <v>-20</v>
      </c>
      <c r="AG27" s="60">
        <f t="shared" si="50"/>
        <v>-20</v>
      </c>
      <c r="AH27" s="60">
        <f t="shared" si="50"/>
        <v>-20</v>
      </c>
      <c r="AI27" s="60">
        <f t="shared" si="50"/>
        <v>-20</v>
      </c>
      <c r="AJ27" s="60">
        <f t="shared" si="50"/>
        <v>-20</v>
      </c>
      <c r="AK27" s="60">
        <f t="shared" si="50"/>
        <v>-20</v>
      </c>
      <c r="AL27" s="60">
        <f t="shared" si="50"/>
        <v>-20</v>
      </c>
      <c r="AM27" s="60">
        <f t="shared" si="50"/>
        <v>-20</v>
      </c>
      <c r="AN27" s="60">
        <f t="shared" si="50"/>
        <v>-20</v>
      </c>
      <c r="AO27" s="60">
        <f t="shared" si="50"/>
        <v>-20</v>
      </c>
      <c r="AP27" s="60">
        <f t="shared" si="50"/>
        <v>-20</v>
      </c>
      <c r="AQ27" s="60">
        <f t="shared" si="50"/>
        <v>-20</v>
      </c>
      <c r="AR27" s="60">
        <f t="shared" si="50"/>
        <v>-20</v>
      </c>
      <c r="AS27" s="60">
        <f t="shared" si="50"/>
        <v>-20</v>
      </c>
      <c r="AT27" s="60">
        <f t="shared" si="50"/>
        <v>-20</v>
      </c>
      <c r="AU27" s="60">
        <f t="shared" si="50"/>
        <v>-20</v>
      </c>
      <c r="AV27" s="60">
        <f t="shared" si="50"/>
        <v>-20</v>
      </c>
      <c r="AW27" s="60">
        <f t="shared" si="50"/>
        <v>-20</v>
      </c>
      <c r="AX27" s="60">
        <f t="shared" si="50"/>
        <v>-20</v>
      </c>
      <c r="AY27" s="60">
        <f t="shared" si="50"/>
        <v>-20</v>
      </c>
      <c r="AZ27" s="60">
        <f t="shared" si="50"/>
        <v>-20</v>
      </c>
      <c r="BA27" s="60">
        <f t="shared" si="50"/>
        <v>-20</v>
      </c>
      <c r="BB27" s="60">
        <f t="shared" si="50"/>
        <v>-20</v>
      </c>
      <c r="BC27" s="60">
        <f t="shared" si="50"/>
        <v>-20</v>
      </c>
      <c r="BD27" s="60">
        <f t="shared" si="50"/>
        <v>-20</v>
      </c>
      <c r="BE27" s="60">
        <f t="shared" si="50"/>
        <v>-20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Customer Satisfaction Scores (CSAT, NPS) TARGET</v>
      </c>
      <c r="C30" s="147"/>
      <c r="D30" s="147"/>
      <c r="E30" s="148"/>
      <c r="F30" s="59">
        <v>20</v>
      </c>
      <c r="G30" s="59">
        <f>F30</f>
        <v>20</v>
      </c>
      <c r="H30" s="59">
        <f t="shared" ref="H30:BE30" si="51">G30</f>
        <v>20</v>
      </c>
      <c r="I30" s="59">
        <f t="shared" si="51"/>
        <v>20</v>
      </c>
      <c r="J30" s="59">
        <f t="shared" si="51"/>
        <v>20</v>
      </c>
      <c r="K30" s="59">
        <f t="shared" si="51"/>
        <v>20</v>
      </c>
      <c r="L30" s="59">
        <f t="shared" si="51"/>
        <v>20</v>
      </c>
      <c r="M30" s="59">
        <f t="shared" si="51"/>
        <v>20</v>
      </c>
      <c r="N30" s="59">
        <f t="shared" si="51"/>
        <v>20</v>
      </c>
      <c r="O30" s="59">
        <f t="shared" si="51"/>
        <v>20</v>
      </c>
      <c r="P30" s="59">
        <f t="shared" si="51"/>
        <v>20</v>
      </c>
      <c r="Q30" s="59">
        <f t="shared" si="51"/>
        <v>20</v>
      </c>
      <c r="R30" s="59">
        <f t="shared" si="51"/>
        <v>20</v>
      </c>
      <c r="S30" s="59">
        <f t="shared" si="51"/>
        <v>20</v>
      </c>
      <c r="T30" s="59">
        <f t="shared" si="51"/>
        <v>20</v>
      </c>
      <c r="U30" s="59">
        <f t="shared" si="51"/>
        <v>20</v>
      </c>
      <c r="V30" s="59">
        <f t="shared" si="51"/>
        <v>20</v>
      </c>
      <c r="W30" s="59">
        <f t="shared" si="51"/>
        <v>20</v>
      </c>
      <c r="X30" s="59">
        <f t="shared" si="51"/>
        <v>20</v>
      </c>
      <c r="Y30" s="59">
        <f t="shared" si="51"/>
        <v>20</v>
      </c>
      <c r="Z30" s="59">
        <f t="shared" si="51"/>
        <v>20</v>
      </c>
      <c r="AA30" s="59">
        <f t="shared" si="51"/>
        <v>20</v>
      </c>
      <c r="AB30" s="59">
        <f t="shared" si="51"/>
        <v>20</v>
      </c>
      <c r="AC30" s="59">
        <f t="shared" si="51"/>
        <v>20</v>
      </c>
      <c r="AD30" s="59">
        <f t="shared" si="51"/>
        <v>20</v>
      </c>
      <c r="AE30" s="59">
        <f t="shared" si="51"/>
        <v>20</v>
      </c>
      <c r="AF30" s="59">
        <f t="shared" si="51"/>
        <v>20</v>
      </c>
      <c r="AG30" s="59">
        <f t="shared" si="51"/>
        <v>20</v>
      </c>
      <c r="AH30" s="59">
        <f t="shared" si="51"/>
        <v>20</v>
      </c>
      <c r="AI30" s="59">
        <f t="shared" si="51"/>
        <v>20</v>
      </c>
      <c r="AJ30" s="59">
        <f t="shared" si="51"/>
        <v>20</v>
      </c>
      <c r="AK30" s="59">
        <f t="shared" si="51"/>
        <v>20</v>
      </c>
      <c r="AL30" s="59">
        <f t="shared" si="51"/>
        <v>20</v>
      </c>
      <c r="AM30" s="59">
        <f t="shared" si="51"/>
        <v>20</v>
      </c>
      <c r="AN30" s="59">
        <f t="shared" si="51"/>
        <v>20</v>
      </c>
      <c r="AO30" s="59">
        <f t="shared" si="51"/>
        <v>20</v>
      </c>
      <c r="AP30" s="59">
        <f t="shared" si="51"/>
        <v>20</v>
      </c>
      <c r="AQ30" s="59">
        <f t="shared" si="51"/>
        <v>20</v>
      </c>
      <c r="AR30" s="59">
        <f t="shared" si="51"/>
        <v>20</v>
      </c>
      <c r="AS30" s="59">
        <f t="shared" si="51"/>
        <v>20</v>
      </c>
      <c r="AT30" s="59">
        <f t="shared" si="51"/>
        <v>20</v>
      </c>
      <c r="AU30" s="59">
        <f t="shared" si="51"/>
        <v>20</v>
      </c>
      <c r="AV30" s="59">
        <f t="shared" si="51"/>
        <v>20</v>
      </c>
      <c r="AW30" s="59">
        <f t="shared" si="51"/>
        <v>20</v>
      </c>
      <c r="AX30" s="59">
        <f t="shared" si="51"/>
        <v>20</v>
      </c>
      <c r="AY30" s="59">
        <f t="shared" si="51"/>
        <v>20</v>
      </c>
      <c r="AZ30" s="59">
        <f t="shared" si="51"/>
        <v>20</v>
      </c>
      <c r="BA30" s="59">
        <f t="shared" si="51"/>
        <v>20</v>
      </c>
      <c r="BB30" s="59">
        <f t="shared" si="51"/>
        <v>20</v>
      </c>
      <c r="BC30" s="59">
        <f t="shared" si="51"/>
        <v>20</v>
      </c>
      <c r="BD30" s="59">
        <f t="shared" si="51"/>
        <v>20</v>
      </c>
      <c r="BE30" s="59">
        <f t="shared" si="51"/>
        <v>20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-20</v>
      </c>
      <c r="G32" s="60">
        <f t="shared" ref="G32:BE32" si="52">G31-G30</f>
        <v>-20</v>
      </c>
      <c r="H32" s="60">
        <f t="shared" si="52"/>
        <v>-20</v>
      </c>
      <c r="I32" s="60">
        <f t="shared" si="52"/>
        <v>-20</v>
      </c>
      <c r="J32" s="60">
        <f t="shared" si="52"/>
        <v>-20</v>
      </c>
      <c r="K32" s="60">
        <f t="shared" si="52"/>
        <v>-20</v>
      </c>
      <c r="L32" s="60">
        <f t="shared" si="52"/>
        <v>-20</v>
      </c>
      <c r="M32" s="60">
        <f t="shared" si="52"/>
        <v>-20</v>
      </c>
      <c r="N32" s="60">
        <f t="shared" si="52"/>
        <v>-20</v>
      </c>
      <c r="O32" s="60">
        <f t="shared" si="52"/>
        <v>-20</v>
      </c>
      <c r="P32" s="60">
        <f t="shared" si="52"/>
        <v>-20</v>
      </c>
      <c r="Q32" s="60">
        <f t="shared" si="52"/>
        <v>-20</v>
      </c>
      <c r="R32" s="60">
        <f t="shared" si="52"/>
        <v>-20</v>
      </c>
      <c r="S32" s="60">
        <f t="shared" si="52"/>
        <v>-20</v>
      </c>
      <c r="T32" s="60">
        <f t="shared" si="52"/>
        <v>-20</v>
      </c>
      <c r="U32" s="60">
        <f t="shared" si="52"/>
        <v>-20</v>
      </c>
      <c r="V32" s="60">
        <f t="shared" si="52"/>
        <v>-20</v>
      </c>
      <c r="W32" s="60">
        <f t="shared" si="52"/>
        <v>-20</v>
      </c>
      <c r="X32" s="60">
        <f t="shared" si="52"/>
        <v>-20</v>
      </c>
      <c r="Y32" s="60">
        <f t="shared" si="52"/>
        <v>-20</v>
      </c>
      <c r="Z32" s="60">
        <f t="shared" si="52"/>
        <v>-20</v>
      </c>
      <c r="AA32" s="60">
        <f t="shared" si="52"/>
        <v>-20</v>
      </c>
      <c r="AB32" s="60">
        <f t="shared" si="52"/>
        <v>-20</v>
      </c>
      <c r="AC32" s="60">
        <f t="shared" si="52"/>
        <v>-20</v>
      </c>
      <c r="AD32" s="60">
        <f t="shared" si="52"/>
        <v>-20</v>
      </c>
      <c r="AE32" s="60">
        <f t="shared" si="52"/>
        <v>-20</v>
      </c>
      <c r="AF32" s="60">
        <f t="shared" si="52"/>
        <v>-20</v>
      </c>
      <c r="AG32" s="60">
        <f t="shared" si="52"/>
        <v>-20</v>
      </c>
      <c r="AH32" s="60">
        <f t="shared" si="52"/>
        <v>-20</v>
      </c>
      <c r="AI32" s="60">
        <f t="shared" si="52"/>
        <v>-20</v>
      </c>
      <c r="AJ32" s="60">
        <f t="shared" si="52"/>
        <v>-20</v>
      </c>
      <c r="AK32" s="60">
        <f t="shared" si="52"/>
        <v>-20</v>
      </c>
      <c r="AL32" s="60">
        <f t="shared" si="52"/>
        <v>-20</v>
      </c>
      <c r="AM32" s="60">
        <f t="shared" si="52"/>
        <v>-20</v>
      </c>
      <c r="AN32" s="60">
        <f t="shared" si="52"/>
        <v>-20</v>
      </c>
      <c r="AO32" s="60">
        <f t="shared" si="52"/>
        <v>-20</v>
      </c>
      <c r="AP32" s="60">
        <f t="shared" si="52"/>
        <v>-20</v>
      </c>
      <c r="AQ32" s="60">
        <f t="shared" si="52"/>
        <v>-20</v>
      </c>
      <c r="AR32" s="60">
        <f t="shared" si="52"/>
        <v>-20</v>
      </c>
      <c r="AS32" s="60">
        <f t="shared" si="52"/>
        <v>-20</v>
      </c>
      <c r="AT32" s="60">
        <f t="shared" si="52"/>
        <v>-20</v>
      </c>
      <c r="AU32" s="60">
        <f t="shared" si="52"/>
        <v>-20</v>
      </c>
      <c r="AV32" s="60">
        <f t="shared" si="52"/>
        <v>-20</v>
      </c>
      <c r="AW32" s="60">
        <f t="shared" si="52"/>
        <v>-20</v>
      </c>
      <c r="AX32" s="60">
        <f t="shared" si="52"/>
        <v>-20</v>
      </c>
      <c r="AY32" s="60">
        <f t="shared" si="52"/>
        <v>-20</v>
      </c>
      <c r="AZ32" s="60">
        <f t="shared" si="52"/>
        <v>-20</v>
      </c>
      <c r="BA32" s="60">
        <f t="shared" si="52"/>
        <v>-20</v>
      </c>
      <c r="BB32" s="60">
        <f t="shared" si="52"/>
        <v>-20</v>
      </c>
      <c r="BC32" s="60">
        <f t="shared" si="52"/>
        <v>-20</v>
      </c>
      <c r="BD32" s="60">
        <f t="shared" si="52"/>
        <v>-20</v>
      </c>
      <c r="BE32" s="60">
        <f t="shared" si="52"/>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c r="G35" s="59">
        <f>F35</f>
        <v>0</v>
      </c>
      <c r="H35" s="59">
        <f t="shared" ref="H35:BE35" si="53">G35</f>
        <v>0</v>
      </c>
      <c r="I35" s="59">
        <f t="shared" si="53"/>
        <v>0</v>
      </c>
      <c r="J35" s="59">
        <f t="shared" si="53"/>
        <v>0</v>
      </c>
      <c r="K35" s="59">
        <f t="shared" si="53"/>
        <v>0</v>
      </c>
      <c r="L35" s="59">
        <f t="shared" si="53"/>
        <v>0</v>
      </c>
      <c r="M35" s="59">
        <f t="shared" si="53"/>
        <v>0</v>
      </c>
      <c r="N35" s="59">
        <f t="shared" si="53"/>
        <v>0</v>
      </c>
      <c r="O35" s="59">
        <f t="shared" si="53"/>
        <v>0</v>
      </c>
      <c r="P35" s="59">
        <f t="shared" si="53"/>
        <v>0</v>
      </c>
      <c r="Q35" s="59">
        <f t="shared" si="53"/>
        <v>0</v>
      </c>
      <c r="R35" s="59">
        <f t="shared" si="53"/>
        <v>0</v>
      </c>
      <c r="S35" s="59">
        <f t="shared" si="53"/>
        <v>0</v>
      </c>
      <c r="T35" s="59">
        <f t="shared" si="53"/>
        <v>0</v>
      </c>
      <c r="U35" s="59">
        <f t="shared" si="53"/>
        <v>0</v>
      </c>
      <c r="V35" s="59">
        <f t="shared" si="53"/>
        <v>0</v>
      </c>
      <c r="W35" s="59">
        <f t="shared" si="53"/>
        <v>0</v>
      </c>
      <c r="X35" s="59">
        <f t="shared" si="53"/>
        <v>0</v>
      </c>
      <c r="Y35" s="59">
        <f t="shared" si="53"/>
        <v>0</v>
      </c>
      <c r="Z35" s="59">
        <f t="shared" si="53"/>
        <v>0</v>
      </c>
      <c r="AA35" s="59">
        <f t="shared" si="53"/>
        <v>0</v>
      </c>
      <c r="AB35" s="59">
        <f t="shared" si="53"/>
        <v>0</v>
      </c>
      <c r="AC35" s="59">
        <f t="shared" si="53"/>
        <v>0</v>
      </c>
      <c r="AD35" s="59">
        <f t="shared" si="53"/>
        <v>0</v>
      </c>
      <c r="AE35" s="59">
        <f t="shared" si="53"/>
        <v>0</v>
      </c>
      <c r="AF35" s="59">
        <f t="shared" si="53"/>
        <v>0</v>
      </c>
      <c r="AG35" s="59">
        <f t="shared" si="53"/>
        <v>0</v>
      </c>
      <c r="AH35" s="59">
        <f t="shared" si="53"/>
        <v>0</v>
      </c>
      <c r="AI35" s="59">
        <f t="shared" si="53"/>
        <v>0</v>
      </c>
      <c r="AJ35" s="59">
        <f t="shared" si="53"/>
        <v>0</v>
      </c>
      <c r="AK35" s="59">
        <f t="shared" si="53"/>
        <v>0</v>
      </c>
      <c r="AL35" s="59">
        <f t="shared" si="53"/>
        <v>0</v>
      </c>
      <c r="AM35" s="59">
        <f t="shared" si="53"/>
        <v>0</v>
      </c>
      <c r="AN35" s="59">
        <f t="shared" si="53"/>
        <v>0</v>
      </c>
      <c r="AO35" s="59">
        <f t="shared" si="53"/>
        <v>0</v>
      </c>
      <c r="AP35" s="59">
        <f t="shared" si="53"/>
        <v>0</v>
      </c>
      <c r="AQ35" s="59">
        <f t="shared" si="53"/>
        <v>0</v>
      </c>
      <c r="AR35" s="59">
        <f t="shared" si="53"/>
        <v>0</v>
      </c>
      <c r="AS35" s="59">
        <f t="shared" si="53"/>
        <v>0</v>
      </c>
      <c r="AT35" s="59">
        <f t="shared" si="53"/>
        <v>0</v>
      </c>
      <c r="AU35" s="59">
        <f t="shared" si="53"/>
        <v>0</v>
      </c>
      <c r="AV35" s="59">
        <f t="shared" si="53"/>
        <v>0</v>
      </c>
      <c r="AW35" s="59">
        <f t="shared" si="53"/>
        <v>0</v>
      </c>
      <c r="AX35" s="59">
        <f t="shared" si="53"/>
        <v>0</v>
      </c>
      <c r="AY35" s="59">
        <f t="shared" si="53"/>
        <v>0</v>
      </c>
      <c r="AZ35" s="59">
        <f t="shared" si="53"/>
        <v>0</v>
      </c>
      <c r="BA35" s="59">
        <f t="shared" si="53"/>
        <v>0</v>
      </c>
      <c r="BB35" s="59">
        <f t="shared" si="53"/>
        <v>0</v>
      </c>
      <c r="BC35" s="59">
        <f t="shared" si="53"/>
        <v>0</v>
      </c>
      <c r="BD35" s="59">
        <f t="shared" si="53"/>
        <v>0</v>
      </c>
      <c r="BE35" s="59">
        <f t="shared" si="53"/>
        <v>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0</v>
      </c>
      <c r="G37" s="60">
        <f t="shared" ref="G37:BE37" si="54">G36-G35</f>
        <v>0</v>
      </c>
      <c r="H37" s="60">
        <f t="shared" si="54"/>
        <v>0</v>
      </c>
      <c r="I37" s="60">
        <f t="shared" si="54"/>
        <v>0</v>
      </c>
      <c r="J37" s="60">
        <f t="shared" si="54"/>
        <v>0</v>
      </c>
      <c r="K37" s="60">
        <f t="shared" si="54"/>
        <v>0</v>
      </c>
      <c r="L37" s="60">
        <f t="shared" si="54"/>
        <v>0</v>
      </c>
      <c r="M37" s="60">
        <f t="shared" si="54"/>
        <v>0</v>
      </c>
      <c r="N37" s="60">
        <f t="shared" si="54"/>
        <v>0</v>
      </c>
      <c r="O37" s="60">
        <f t="shared" si="54"/>
        <v>0</v>
      </c>
      <c r="P37" s="60">
        <f t="shared" si="54"/>
        <v>0</v>
      </c>
      <c r="Q37" s="60">
        <f t="shared" si="54"/>
        <v>0</v>
      </c>
      <c r="R37" s="60">
        <f t="shared" si="54"/>
        <v>0</v>
      </c>
      <c r="S37" s="60">
        <f t="shared" si="54"/>
        <v>0</v>
      </c>
      <c r="T37" s="60">
        <f t="shared" si="54"/>
        <v>0</v>
      </c>
      <c r="U37" s="60">
        <f t="shared" si="54"/>
        <v>0</v>
      </c>
      <c r="V37" s="60">
        <f t="shared" si="54"/>
        <v>0</v>
      </c>
      <c r="W37" s="60">
        <f t="shared" si="54"/>
        <v>0</v>
      </c>
      <c r="X37" s="60">
        <f t="shared" si="54"/>
        <v>0</v>
      </c>
      <c r="Y37" s="60">
        <f t="shared" si="54"/>
        <v>0</v>
      </c>
      <c r="Z37" s="60">
        <f t="shared" si="54"/>
        <v>0</v>
      </c>
      <c r="AA37" s="60">
        <f t="shared" si="54"/>
        <v>0</v>
      </c>
      <c r="AB37" s="60">
        <f t="shared" si="54"/>
        <v>0</v>
      </c>
      <c r="AC37" s="60">
        <f t="shared" si="54"/>
        <v>0</v>
      </c>
      <c r="AD37" s="60">
        <f t="shared" si="54"/>
        <v>0</v>
      </c>
      <c r="AE37" s="60">
        <f t="shared" si="54"/>
        <v>0</v>
      </c>
      <c r="AF37" s="60">
        <f t="shared" si="54"/>
        <v>0</v>
      </c>
      <c r="AG37" s="60">
        <f t="shared" si="54"/>
        <v>0</v>
      </c>
      <c r="AH37" s="60">
        <f t="shared" si="54"/>
        <v>0</v>
      </c>
      <c r="AI37" s="60">
        <f t="shared" si="54"/>
        <v>0</v>
      </c>
      <c r="AJ37" s="60">
        <f t="shared" si="54"/>
        <v>0</v>
      </c>
      <c r="AK37" s="60">
        <f t="shared" si="54"/>
        <v>0</v>
      </c>
      <c r="AL37" s="60">
        <f t="shared" si="54"/>
        <v>0</v>
      </c>
      <c r="AM37" s="60">
        <f t="shared" si="54"/>
        <v>0</v>
      </c>
      <c r="AN37" s="60">
        <f t="shared" si="54"/>
        <v>0</v>
      </c>
      <c r="AO37" s="60">
        <f t="shared" si="54"/>
        <v>0</v>
      </c>
      <c r="AP37" s="60">
        <f t="shared" si="54"/>
        <v>0</v>
      </c>
      <c r="AQ37" s="60">
        <f t="shared" si="54"/>
        <v>0</v>
      </c>
      <c r="AR37" s="60">
        <f t="shared" si="54"/>
        <v>0</v>
      </c>
      <c r="AS37" s="60">
        <f t="shared" si="54"/>
        <v>0</v>
      </c>
      <c r="AT37" s="60">
        <f t="shared" si="54"/>
        <v>0</v>
      </c>
      <c r="AU37" s="60">
        <f t="shared" si="54"/>
        <v>0</v>
      </c>
      <c r="AV37" s="60">
        <f t="shared" si="54"/>
        <v>0</v>
      </c>
      <c r="AW37" s="60">
        <f t="shared" si="54"/>
        <v>0</v>
      </c>
      <c r="AX37" s="60">
        <f t="shared" si="54"/>
        <v>0</v>
      </c>
      <c r="AY37" s="60">
        <f t="shared" si="54"/>
        <v>0</v>
      </c>
      <c r="AZ37" s="60">
        <f t="shared" si="54"/>
        <v>0</v>
      </c>
      <c r="BA37" s="60">
        <f t="shared" si="54"/>
        <v>0</v>
      </c>
      <c r="BB37" s="60">
        <f t="shared" si="54"/>
        <v>0</v>
      </c>
      <c r="BC37" s="60">
        <f t="shared" si="54"/>
        <v>0</v>
      </c>
      <c r="BD37" s="60">
        <f t="shared" si="54"/>
        <v>0</v>
      </c>
      <c r="BE37" s="60">
        <f t="shared" si="54"/>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0" priority="1" operator="equal">
      <formula>"No Change"</formula>
    </cfRule>
    <cfRule type="cellIs" dxfId="49" priority="2" operator="equal">
      <formula>"Progression"</formula>
    </cfRule>
  </conditionalFormatting>
  <conditionalFormatting sqref="AU10:AU21">
    <cfRule type="expression" dxfId="48" priority="3">
      <formula>IFERROR(FIND("Ahead",AU10),0)&gt;0</formula>
    </cfRule>
    <cfRule type="expression" dxfId="47" priority="4">
      <formula>IFERROR(FIND("Overdue",AU10),0)&gt;0</formula>
    </cfRule>
    <cfRule type="cellIs" dxfId="46" priority="5" operator="equal">
      <formula>"Met Target"</formula>
    </cfRule>
    <cfRule type="cellIs" dxfId="45" priority="6" operator="equal">
      <formula>"Missing Target"</formula>
    </cfRule>
    <cfRule type="expression" dxfId="4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21" activePane="bottomRight" state="frozen"/>
      <selection pane="bottomRight" activeCell="G32" sqref="G32"/>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134</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Customer Feature - Existing</v>
      </c>
      <c r="AP3" s="87"/>
      <c r="AQ3" s="87"/>
      <c r="AR3" s="87"/>
      <c r="AS3" s="87"/>
      <c r="AT3" s="87"/>
      <c r="AU3" s="87"/>
      <c r="AV3" s="92">
        <f>IF(F7="",0,VLOOKUP(F7,Lookups!B4:H8,3))</f>
        <v>100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Dev</v>
      </c>
      <c r="AP4" s="87"/>
      <c r="AQ4" s="87"/>
      <c r="AR4" s="87"/>
      <c r="AS4" s="87"/>
      <c r="AT4" s="87"/>
      <c r="AU4" s="87"/>
      <c r="AV4" s="89">
        <f ca="1">IF(AO4="Not Def",0,VLOOKUP(AO4,Lookups!L4:M8,2))</f>
        <v>0.4</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135</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Dev</v>
      </c>
      <c r="AP5" s="87"/>
      <c r="AQ5" s="88" t="str">
        <f ca="1">IF(AV5=1,"No Change","Progression")</f>
        <v>No Change</v>
      </c>
      <c r="AR5" s="88"/>
      <c r="AS5" s="88"/>
      <c r="AT5" s="88"/>
      <c r="AU5" s="88"/>
      <c r="AV5" s="89">
        <f ca="1">IF(AO4="Not Def",0,IF(AO5=AO4,1,1.2))</f>
        <v>1</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40</v>
      </c>
      <c r="AW6" s="104"/>
      <c r="AX6" s="104"/>
      <c r="AY6" s="18"/>
      <c r="AZ6" s="18"/>
      <c r="BA6" s="18"/>
      <c r="BB6" s="18"/>
      <c r="BC6" s="18"/>
      <c r="BD6" s="18"/>
      <c r="BH6" s="13"/>
      <c r="BI6" s="17"/>
      <c r="BJ6" s="17"/>
      <c r="BK6" s="17"/>
    </row>
    <row r="7" spans="2:71" ht="28.5" customHeight="1" thickBot="1">
      <c r="B7" s="99" t="s">
        <v>34</v>
      </c>
      <c r="C7" s="100"/>
      <c r="D7" s="100"/>
      <c r="E7" s="101"/>
      <c r="F7" s="105" t="s">
        <v>136</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Customer Feature - Existing</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Smart data analysis in existing dashboards, intelligent recommendations, automated report generation</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45658</v>
      </c>
      <c r="AP10" s="114"/>
      <c r="AQ10" s="114"/>
      <c r="AR10" s="114">
        <v>45658</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45658</v>
      </c>
      <c r="AP11" s="114"/>
      <c r="AQ11" s="114"/>
      <c r="AR11" s="114">
        <v>45658</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Customer Adoption</v>
      </c>
      <c r="G12" s="117"/>
      <c r="H12" s="117"/>
      <c r="I12" s="117"/>
      <c r="J12" s="117"/>
      <c r="K12" s="117"/>
      <c r="L12" s="117"/>
      <c r="M12" s="118"/>
      <c r="O12" s="116" t="str">
        <f>IF(F7="","",VLOOKUP(F7,Lookups!B4:H8,6))</f>
        <v>Usage Metrics</v>
      </c>
      <c r="P12" s="117"/>
      <c r="Q12" s="117"/>
      <c r="R12" s="117"/>
      <c r="S12" s="117"/>
      <c r="T12" s="117"/>
      <c r="U12" s="117"/>
      <c r="V12" s="118"/>
      <c r="X12" s="116" t="str">
        <f>IF(F7="","",VLOOKUP(F7,Lookups!B4:H8,7))</f>
        <v>Revenue Impact</v>
      </c>
      <c r="Y12" s="117"/>
      <c r="Z12" s="117"/>
      <c r="AA12" s="117"/>
      <c r="AB12" s="117"/>
      <c r="AC12" s="117"/>
      <c r="AD12" s="117"/>
      <c r="AE12" s="118"/>
      <c r="AG12" s="121"/>
      <c r="AH12" s="121"/>
      <c r="AI12" s="121"/>
      <c r="AJ12" s="122" t="s">
        <v>50</v>
      </c>
      <c r="AK12" s="122"/>
      <c r="AL12" s="122"/>
      <c r="AM12" s="122"/>
      <c r="AN12" s="122"/>
      <c r="AO12" s="114">
        <v>45658</v>
      </c>
      <c r="AP12" s="114"/>
      <c r="AQ12" s="114"/>
      <c r="AR12" s="114">
        <v>45658</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137</v>
      </c>
      <c r="C13" s="124"/>
      <c r="D13" s="125"/>
      <c r="F13" s="24" t="s">
        <v>52</v>
      </c>
      <c r="G13" s="71" t="s">
        <v>138</v>
      </c>
      <c r="H13" s="72"/>
      <c r="I13" s="72"/>
      <c r="J13" s="72"/>
      <c r="K13" s="72"/>
      <c r="L13" s="72"/>
      <c r="M13" s="73"/>
      <c r="O13" s="24" t="s">
        <v>52</v>
      </c>
      <c r="P13" s="71" t="s">
        <v>130</v>
      </c>
      <c r="Q13" s="72"/>
      <c r="R13" s="72"/>
      <c r="S13" s="72"/>
      <c r="T13" s="72"/>
      <c r="U13" s="72"/>
      <c r="V13" s="73"/>
      <c r="X13" s="24" t="s">
        <v>52</v>
      </c>
      <c r="Y13" s="71" t="s">
        <v>55</v>
      </c>
      <c r="Z13" s="72"/>
      <c r="AA13" s="72"/>
      <c r="AB13" s="72"/>
      <c r="AC13" s="72"/>
      <c r="AD13" s="72"/>
      <c r="AE13" s="73"/>
      <c r="AG13" s="121" t="s">
        <v>56</v>
      </c>
      <c r="AH13" s="121"/>
      <c r="AI13" s="121"/>
      <c r="AJ13" s="122" t="s">
        <v>57</v>
      </c>
      <c r="AK13" s="122"/>
      <c r="AL13" s="122"/>
      <c r="AM13" s="122"/>
      <c r="AN13" s="122"/>
      <c r="AO13" s="114">
        <v>45689</v>
      </c>
      <c r="AP13" s="114"/>
      <c r="AQ13" s="114"/>
      <c r="AR13" s="114">
        <v>45689</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45689</v>
      </c>
      <c r="AP14" s="114"/>
      <c r="AQ14" s="114"/>
      <c r="AR14" s="114">
        <v>45689</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139</v>
      </c>
      <c r="G15" s="133"/>
      <c r="H15" s="133"/>
      <c r="I15" s="133"/>
      <c r="J15" s="133"/>
      <c r="K15" s="133"/>
      <c r="L15" s="133"/>
      <c r="M15" s="134"/>
      <c r="O15" s="132" t="s">
        <v>140</v>
      </c>
      <c r="P15" s="133"/>
      <c r="Q15" s="133"/>
      <c r="R15" s="133"/>
      <c r="S15" s="133"/>
      <c r="T15" s="133"/>
      <c r="U15" s="133"/>
      <c r="V15" s="134"/>
      <c r="X15" s="132"/>
      <c r="Y15" s="133"/>
      <c r="Z15" s="133"/>
      <c r="AA15" s="133"/>
      <c r="AB15" s="133"/>
      <c r="AC15" s="133"/>
      <c r="AD15" s="133"/>
      <c r="AE15" s="134"/>
      <c r="AG15" s="121"/>
      <c r="AH15" s="121"/>
      <c r="AI15" s="121"/>
      <c r="AJ15" s="122" t="s">
        <v>62</v>
      </c>
      <c r="AK15" s="122"/>
      <c r="AL15" s="122"/>
      <c r="AM15" s="122"/>
      <c r="AN15" s="122"/>
      <c r="AO15" s="114">
        <v>45689</v>
      </c>
      <c r="AP15" s="114"/>
      <c r="AQ15" s="114"/>
      <c r="AR15" s="114">
        <v>45689</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46022</v>
      </c>
      <c r="AP16" s="114"/>
      <c r="AQ16" s="114"/>
      <c r="AR16" s="114"/>
      <c r="AS16" s="114"/>
      <c r="AT16" s="114"/>
      <c r="AU16" s="115" t="str">
        <f t="shared" ca="1" si="1"/>
        <v>Incomplete</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46022</v>
      </c>
      <c r="AP17" s="114"/>
      <c r="AQ17" s="114"/>
      <c r="AR17" s="114"/>
      <c r="AS17" s="114"/>
      <c r="AT17" s="114"/>
      <c r="AU17" s="115" t="str">
        <f t="shared" ca="1" si="1"/>
        <v>Incomplete</v>
      </c>
      <c r="AV17" s="115"/>
      <c r="AW17" s="115"/>
      <c r="AX17" s="115"/>
      <c r="AY17" s="158"/>
      <c r="AZ17" s="158"/>
      <c r="BA17" s="158"/>
      <c r="BB17" s="158"/>
      <c r="BC17" s="158"/>
      <c r="BD17" s="158"/>
      <c r="BE17" s="158"/>
      <c r="BL17" s="15"/>
      <c r="BS17" s="12"/>
    </row>
    <row r="18" spans="2:71" ht="28.5" customHeight="1" thickBot="1">
      <c r="B18" s="25" t="s">
        <v>67</v>
      </c>
      <c r="C18" s="74" t="s">
        <v>123</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46022</v>
      </c>
      <c r="AP18" s="114"/>
      <c r="AQ18" s="114"/>
      <c r="AR18" s="114"/>
      <c r="AS18" s="114"/>
      <c r="AT18" s="114"/>
      <c r="AU18" s="115" t="str">
        <f t="shared" ca="1" si="1"/>
        <v>Incomplete</v>
      </c>
      <c r="AV18" s="115"/>
      <c r="AW18" s="115"/>
      <c r="AX18" s="115"/>
      <c r="AY18" s="158"/>
      <c r="AZ18" s="158"/>
      <c r="BA18" s="158"/>
      <c r="BB18" s="158"/>
      <c r="BC18" s="158"/>
      <c r="BD18" s="158"/>
      <c r="BE18" s="158"/>
      <c r="BL18" s="15"/>
      <c r="BS18" s="12"/>
    </row>
    <row r="19" spans="2:71" ht="28.5" customHeight="1" thickBot="1">
      <c r="B19" s="25" t="s">
        <v>71</v>
      </c>
      <c r="C19" s="74" t="s">
        <v>72</v>
      </c>
      <c r="D19" s="76"/>
      <c r="F19" s="132" t="s">
        <v>141</v>
      </c>
      <c r="G19" s="133"/>
      <c r="H19" s="133"/>
      <c r="I19" s="133"/>
      <c r="J19" s="133"/>
      <c r="K19" s="133"/>
      <c r="L19" s="133"/>
      <c r="M19" s="134"/>
      <c r="O19" s="132" t="s">
        <v>142</v>
      </c>
      <c r="P19" s="133"/>
      <c r="Q19" s="133"/>
      <c r="R19" s="133"/>
      <c r="S19" s="133"/>
      <c r="T19" s="133"/>
      <c r="U19" s="133"/>
      <c r="V19" s="134"/>
      <c r="X19" s="132"/>
      <c r="Y19" s="133"/>
      <c r="Z19" s="133"/>
      <c r="AA19" s="133"/>
      <c r="AB19" s="133"/>
      <c r="AC19" s="133"/>
      <c r="AD19" s="133"/>
      <c r="AE19" s="134"/>
      <c r="AF19" s="26"/>
      <c r="AG19" s="121" t="s">
        <v>75</v>
      </c>
      <c r="AH19" s="121"/>
      <c r="AI19" s="121"/>
      <c r="AJ19" s="122" t="s">
        <v>76</v>
      </c>
      <c r="AK19" s="122"/>
      <c r="AL19" s="122"/>
      <c r="AM19" s="122"/>
      <c r="AN19" s="122"/>
      <c r="AO19" s="114">
        <v>46112</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46112</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46112</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46112</v>
      </c>
      <c r="G24" s="31">
        <f>F24+7</f>
        <v>46119</v>
      </c>
      <c r="H24" s="31">
        <f t="shared" ref="H24:BE24" si="4">G24+7</f>
        <v>46126</v>
      </c>
      <c r="I24" s="31">
        <f t="shared" si="4"/>
        <v>46133</v>
      </c>
      <c r="J24" s="31">
        <f t="shared" si="4"/>
        <v>46140</v>
      </c>
      <c r="K24" s="31">
        <f t="shared" si="4"/>
        <v>46147</v>
      </c>
      <c r="L24" s="31">
        <f t="shared" si="4"/>
        <v>46154</v>
      </c>
      <c r="M24" s="31">
        <f t="shared" si="4"/>
        <v>46161</v>
      </c>
      <c r="N24" s="31">
        <f t="shared" si="4"/>
        <v>46168</v>
      </c>
      <c r="O24" s="31">
        <f t="shared" si="4"/>
        <v>46175</v>
      </c>
      <c r="P24" s="31">
        <f t="shared" si="4"/>
        <v>46182</v>
      </c>
      <c r="Q24" s="31">
        <f t="shared" si="4"/>
        <v>46189</v>
      </c>
      <c r="R24" s="31">
        <f t="shared" si="4"/>
        <v>46196</v>
      </c>
      <c r="S24" s="31">
        <f t="shared" si="4"/>
        <v>46203</v>
      </c>
      <c r="T24" s="31">
        <f t="shared" si="4"/>
        <v>46210</v>
      </c>
      <c r="U24" s="31">
        <f t="shared" si="4"/>
        <v>46217</v>
      </c>
      <c r="V24" s="31">
        <f t="shared" si="4"/>
        <v>46224</v>
      </c>
      <c r="W24" s="31">
        <f t="shared" si="4"/>
        <v>46231</v>
      </c>
      <c r="X24" s="31">
        <f t="shared" si="4"/>
        <v>46238</v>
      </c>
      <c r="Y24" s="31">
        <f t="shared" si="4"/>
        <v>46245</v>
      </c>
      <c r="Z24" s="31">
        <f t="shared" si="4"/>
        <v>46252</v>
      </c>
      <c r="AA24" s="31">
        <f t="shared" si="4"/>
        <v>46259</v>
      </c>
      <c r="AB24" s="31">
        <f t="shared" si="4"/>
        <v>46266</v>
      </c>
      <c r="AC24" s="31">
        <f t="shared" si="4"/>
        <v>46273</v>
      </c>
      <c r="AD24" s="31">
        <f t="shared" si="4"/>
        <v>46280</v>
      </c>
      <c r="AE24" s="31">
        <f t="shared" si="4"/>
        <v>46287</v>
      </c>
      <c r="AF24" s="31">
        <f t="shared" si="4"/>
        <v>46294</v>
      </c>
      <c r="AG24" s="31">
        <f t="shared" si="4"/>
        <v>46301</v>
      </c>
      <c r="AH24" s="31">
        <f t="shared" si="4"/>
        <v>46308</v>
      </c>
      <c r="AI24" s="31">
        <f t="shared" si="4"/>
        <v>46315</v>
      </c>
      <c r="AJ24" s="31">
        <f t="shared" si="4"/>
        <v>46322</v>
      </c>
      <c r="AK24" s="31">
        <f t="shared" si="4"/>
        <v>46329</v>
      </c>
      <c r="AL24" s="31">
        <f t="shared" si="4"/>
        <v>46336</v>
      </c>
      <c r="AM24" s="31">
        <f t="shared" si="4"/>
        <v>46343</v>
      </c>
      <c r="AN24" s="31">
        <f t="shared" si="4"/>
        <v>46350</v>
      </c>
      <c r="AO24" s="31">
        <f t="shared" si="4"/>
        <v>46357</v>
      </c>
      <c r="AP24" s="31">
        <f t="shared" si="4"/>
        <v>46364</v>
      </c>
      <c r="AQ24" s="31">
        <f t="shared" si="4"/>
        <v>46371</v>
      </c>
      <c r="AR24" s="31">
        <f t="shared" si="4"/>
        <v>46378</v>
      </c>
      <c r="AS24" s="31">
        <f t="shared" si="4"/>
        <v>46385</v>
      </c>
      <c r="AT24" s="31">
        <f t="shared" si="4"/>
        <v>46392</v>
      </c>
      <c r="AU24" s="31">
        <f t="shared" si="4"/>
        <v>46399</v>
      </c>
      <c r="AV24" s="31">
        <f t="shared" si="4"/>
        <v>46406</v>
      </c>
      <c r="AW24" s="31">
        <f t="shared" si="4"/>
        <v>46413</v>
      </c>
      <c r="AX24" s="31">
        <f t="shared" si="4"/>
        <v>46420</v>
      </c>
      <c r="AY24" s="31">
        <f t="shared" si="4"/>
        <v>46427</v>
      </c>
      <c r="AZ24" s="31">
        <f t="shared" si="4"/>
        <v>46434</v>
      </c>
      <c r="BA24" s="31">
        <f t="shared" si="4"/>
        <v>46441</v>
      </c>
      <c r="BB24" s="31">
        <f t="shared" si="4"/>
        <v>46448</v>
      </c>
      <c r="BC24" s="31">
        <f t="shared" si="4"/>
        <v>46455</v>
      </c>
      <c r="BD24" s="31">
        <f t="shared" si="4"/>
        <v>46462</v>
      </c>
      <c r="BE24" s="31">
        <f t="shared" si="4"/>
        <v>46469</v>
      </c>
      <c r="BJ24" s="21"/>
    </row>
    <row r="25" spans="2:71">
      <c r="B25" s="146" t="str">
        <f>G13&amp;" TARGET"</f>
        <v># of Customers using the AI TARGET</v>
      </c>
      <c r="C25" s="147"/>
      <c r="D25" s="147"/>
      <c r="E25" s="148"/>
      <c r="F25" s="59">
        <v>20</v>
      </c>
      <c r="G25" s="59">
        <f>F25</f>
        <v>20</v>
      </c>
      <c r="H25" s="59">
        <f t="shared" ref="H25:M25" si="5">G25</f>
        <v>20</v>
      </c>
      <c r="I25" s="59">
        <f t="shared" si="5"/>
        <v>20</v>
      </c>
      <c r="J25" s="59">
        <f t="shared" si="5"/>
        <v>20</v>
      </c>
      <c r="K25" s="59">
        <f t="shared" si="5"/>
        <v>20</v>
      </c>
      <c r="L25" s="59">
        <f t="shared" si="5"/>
        <v>20</v>
      </c>
      <c r="M25" s="59">
        <f t="shared" si="5"/>
        <v>20</v>
      </c>
      <c r="N25" s="59">
        <f t="shared" ref="N25" si="6">M25</f>
        <v>20</v>
      </c>
      <c r="O25" s="59">
        <f t="shared" ref="O25" si="7">N25</f>
        <v>20</v>
      </c>
      <c r="P25" s="59">
        <f t="shared" ref="P25" si="8">O25</f>
        <v>20</v>
      </c>
      <c r="Q25" s="59">
        <f t="shared" ref="Q25" si="9">P25</f>
        <v>20</v>
      </c>
      <c r="R25" s="59">
        <f t="shared" ref="R25" si="10">Q25</f>
        <v>20</v>
      </c>
      <c r="S25" s="59">
        <f t="shared" ref="S25" si="11">R25</f>
        <v>20</v>
      </c>
      <c r="T25" s="59">
        <f t="shared" ref="T25" si="12">S25</f>
        <v>20</v>
      </c>
      <c r="U25" s="59">
        <f t="shared" ref="U25" si="13">T25</f>
        <v>20</v>
      </c>
      <c r="V25" s="59">
        <f t="shared" ref="V25" si="14">U25</f>
        <v>20</v>
      </c>
      <c r="W25" s="59">
        <f t="shared" ref="W25" si="15">V25</f>
        <v>20</v>
      </c>
      <c r="X25" s="59">
        <f t="shared" ref="X25" si="16">W25</f>
        <v>20</v>
      </c>
      <c r="Y25" s="59">
        <f t="shared" ref="Y25" si="17">X25</f>
        <v>20</v>
      </c>
      <c r="Z25" s="59">
        <f t="shared" ref="Z25" si="18">Y25</f>
        <v>20</v>
      </c>
      <c r="AA25" s="59">
        <f t="shared" ref="AA25" si="19">Z25</f>
        <v>20</v>
      </c>
      <c r="AB25" s="59">
        <f t="shared" ref="AB25" si="20">AA25</f>
        <v>20</v>
      </c>
      <c r="AC25" s="59">
        <f t="shared" ref="AC25" si="21">AB25</f>
        <v>20</v>
      </c>
      <c r="AD25" s="59">
        <f t="shared" ref="AD25" si="22">AC25</f>
        <v>20</v>
      </c>
      <c r="AE25" s="59">
        <f t="shared" ref="AE25" si="23">AD25</f>
        <v>20</v>
      </c>
      <c r="AF25" s="59">
        <f t="shared" ref="AF25" si="24">AE25</f>
        <v>20</v>
      </c>
      <c r="AG25" s="59">
        <f t="shared" ref="AG25" si="25">AF25</f>
        <v>20</v>
      </c>
      <c r="AH25" s="59">
        <f t="shared" ref="AH25" si="26">AG25</f>
        <v>20</v>
      </c>
      <c r="AI25" s="59">
        <f t="shared" ref="AI25" si="27">AH25</f>
        <v>20</v>
      </c>
      <c r="AJ25" s="59">
        <f t="shared" ref="AJ25" si="28">AI25</f>
        <v>20</v>
      </c>
      <c r="AK25" s="59">
        <f t="shared" ref="AK25" si="29">AJ25</f>
        <v>20</v>
      </c>
      <c r="AL25" s="59">
        <f t="shared" ref="AL25" si="30">AK25</f>
        <v>20</v>
      </c>
      <c r="AM25" s="59">
        <f t="shared" ref="AM25" si="31">AL25</f>
        <v>20</v>
      </c>
      <c r="AN25" s="59">
        <f t="shared" ref="AN25" si="32">AM25</f>
        <v>20</v>
      </c>
      <c r="AO25" s="59">
        <f t="shared" ref="AO25" si="33">AN25</f>
        <v>20</v>
      </c>
      <c r="AP25" s="59">
        <f t="shared" ref="AP25" si="34">AO25</f>
        <v>20</v>
      </c>
      <c r="AQ25" s="59">
        <f t="shared" ref="AQ25" si="35">AP25</f>
        <v>20</v>
      </c>
      <c r="AR25" s="59">
        <f t="shared" ref="AR25" si="36">AQ25</f>
        <v>20</v>
      </c>
      <c r="AS25" s="59">
        <f t="shared" ref="AS25" si="37">AR25</f>
        <v>20</v>
      </c>
      <c r="AT25" s="59">
        <f t="shared" ref="AT25" si="38">AS25</f>
        <v>20</v>
      </c>
      <c r="AU25" s="59">
        <f t="shared" ref="AU25" si="39">AT25</f>
        <v>20</v>
      </c>
      <c r="AV25" s="59">
        <f t="shared" ref="AV25" si="40">AU25</f>
        <v>20</v>
      </c>
      <c r="AW25" s="59">
        <f t="shared" ref="AW25" si="41">AV25</f>
        <v>20</v>
      </c>
      <c r="AX25" s="59">
        <f t="shared" ref="AX25" si="42">AW25</f>
        <v>20</v>
      </c>
      <c r="AY25" s="59">
        <f t="shared" ref="AY25" si="43">AX25</f>
        <v>20</v>
      </c>
      <c r="AZ25" s="59">
        <f t="shared" ref="AZ25" si="44">AY25</f>
        <v>20</v>
      </c>
      <c r="BA25" s="59">
        <f t="shared" ref="BA25" si="45">AZ25</f>
        <v>20</v>
      </c>
      <c r="BB25" s="59">
        <f t="shared" ref="BB25" si="46">BA25</f>
        <v>20</v>
      </c>
      <c r="BC25" s="59">
        <f t="shared" ref="BC25" si="47">BB25</f>
        <v>20</v>
      </c>
      <c r="BD25" s="59">
        <f t="shared" ref="BD25" si="48">BC25</f>
        <v>20</v>
      </c>
      <c r="BE25" s="59">
        <f t="shared" ref="BE25" si="49">BD25</f>
        <v>20</v>
      </c>
    </row>
    <row r="26" spans="2:71">
      <c r="B26" s="146" t="s">
        <v>85</v>
      </c>
      <c r="C26" s="147"/>
      <c r="D26" s="147"/>
      <c r="E26" s="148"/>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-20</v>
      </c>
      <c r="G27" s="60">
        <f t="shared" ref="G27:BE27" si="50">G26-G25</f>
        <v>-20</v>
      </c>
      <c r="H27" s="60">
        <f t="shared" si="50"/>
        <v>-20</v>
      </c>
      <c r="I27" s="60">
        <f t="shared" si="50"/>
        <v>-20</v>
      </c>
      <c r="J27" s="60">
        <f t="shared" si="50"/>
        <v>-20</v>
      </c>
      <c r="K27" s="60">
        <f t="shared" si="50"/>
        <v>-20</v>
      </c>
      <c r="L27" s="60">
        <f t="shared" si="50"/>
        <v>-20</v>
      </c>
      <c r="M27" s="60">
        <f t="shared" si="50"/>
        <v>-20</v>
      </c>
      <c r="N27" s="60">
        <f t="shared" si="50"/>
        <v>-20</v>
      </c>
      <c r="O27" s="60">
        <f t="shared" si="50"/>
        <v>-20</v>
      </c>
      <c r="P27" s="60">
        <f t="shared" si="50"/>
        <v>-20</v>
      </c>
      <c r="Q27" s="60">
        <f t="shared" si="50"/>
        <v>-20</v>
      </c>
      <c r="R27" s="60">
        <f t="shared" si="50"/>
        <v>-20</v>
      </c>
      <c r="S27" s="60">
        <f t="shared" si="50"/>
        <v>-20</v>
      </c>
      <c r="T27" s="60">
        <f t="shared" si="50"/>
        <v>-20</v>
      </c>
      <c r="U27" s="60">
        <f t="shared" si="50"/>
        <v>-20</v>
      </c>
      <c r="V27" s="60">
        <f t="shared" si="50"/>
        <v>-20</v>
      </c>
      <c r="W27" s="60">
        <f t="shared" si="50"/>
        <v>-20</v>
      </c>
      <c r="X27" s="60">
        <f t="shared" si="50"/>
        <v>-20</v>
      </c>
      <c r="Y27" s="60">
        <f t="shared" si="50"/>
        <v>-20</v>
      </c>
      <c r="Z27" s="60">
        <f t="shared" si="50"/>
        <v>-20</v>
      </c>
      <c r="AA27" s="60">
        <f t="shared" si="50"/>
        <v>-20</v>
      </c>
      <c r="AB27" s="60">
        <f t="shared" si="50"/>
        <v>-20</v>
      </c>
      <c r="AC27" s="60">
        <f t="shared" si="50"/>
        <v>-20</v>
      </c>
      <c r="AD27" s="60">
        <f t="shared" si="50"/>
        <v>-20</v>
      </c>
      <c r="AE27" s="60">
        <f t="shared" si="50"/>
        <v>-20</v>
      </c>
      <c r="AF27" s="60">
        <f t="shared" si="50"/>
        <v>-20</v>
      </c>
      <c r="AG27" s="60">
        <f t="shared" si="50"/>
        <v>-20</v>
      </c>
      <c r="AH27" s="60">
        <f t="shared" si="50"/>
        <v>-20</v>
      </c>
      <c r="AI27" s="60">
        <f t="shared" si="50"/>
        <v>-20</v>
      </c>
      <c r="AJ27" s="60">
        <f t="shared" si="50"/>
        <v>-20</v>
      </c>
      <c r="AK27" s="60">
        <f t="shared" si="50"/>
        <v>-20</v>
      </c>
      <c r="AL27" s="60">
        <f t="shared" si="50"/>
        <v>-20</v>
      </c>
      <c r="AM27" s="60">
        <f t="shared" si="50"/>
        <v>-20</v>
      </c>
      <c r="AN27" s="60">
        <f t="shared" si="50"/>
        <v>-20</v>
      </c>
      <c r="AO27" s="60">
        <f t="shared" si="50"/>
        <v>-20</v>
      </c>
      <c r="AP27" s="60">
        <f t="shared" si="50"/>
        <v>-20</v>
      </c>
      <c r="AQ27" s="60">
        <f t="shared" si="50"/>
        <v>-20</v>
      </c>
      <c r="AR27" s="60">
        <f t="shared" si="50"/>
        <v>-20</v>
      </c>
      <c r="AS27" s="60">
        <f t="shared" si="50"/>
        <v>-20</v>
      </c>
      <c r="AT27" s="60">
        <f t="shared" si="50"/>
        <v>-20</v>
      </c>
      <c r="AU27" s="60">
        <f t="shared" si="50"/>
        <v>-20</v>
      </c>
      <c r="AV27" s="60">
        <f t="shared" si="50"/>
        <v>-20</v>
      </c>
      <c r="AW27" s="60">
        <f t="shared" si="50"/>
        <v>-20</v>
      </c>
      <c r="AX27" s="60">
        <f t="shared" si="50"/>
        <v>-20</v>
      </c>
      <c r="AY27" s="60">
        <f t="shared" si="50"/>
        <v>-20</v>
      </c>
      <c r="AZ27" s="60">
        <f t="shared" si="50"/>
        <v>-20</v>
      </c>
      <c r="BA27" s="60">
        <f t="shared" si="50"/>
        <v>-20</v>
      </c>
      <c r="BB27" s="60">
        <f t="shared" si="50"/>
        <v>-20</v>
      </c>
      <c r="BC27" s="60">
        <f t="shared" si="50"/>
        <v>-20</v>
      </c>
      <c r="BD27" s="60">
        <f t="shared" si="50"/>
        <v>-20</v>
      </c>
      <c r="BE27" s="60">
        <f t="shared" si="50"/>
        <v>-20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Customer Satisfaction Scores (CSAT, NPS) TARGET</v>
      </c>
      <c r="C30" s="147"/>
      <c r="D30" s="147"/>
      <c r="E30" s="148"/>
      <c r="F30" s="59">
        <v>20</v>
      </c>
      <c r="G30" s="59">
        <f>F30</f>
        <v>20</v>
      </c>
      <c r="H30" s="59">
        <f t="shared" ref="H30:BE30" si="51">G30</f>
        <v>20</v>
      </c>
      <c r="I30" s="59">
        <f t="shared" si="51"/>
        <v>20</v>
      </c>
      <c r="J30" s="59">
        <f t="shared" si="51"/>
        <v>20</v>
      </c>
      <c r="K30" s="59">
        <f t="shared" si="51"/>
        <v>20</v>
      </c>
      <c r="L30" s="59">
        <f t="shared" si="51"/>
        <v>20</v>
      </c>
      <c r="M30" s="59">
        <f t="shared" si="51"/>
        <v>20</v>
      </c>
      <c r="N30" s="59">
        <f t="shared" si="51"/>
        <v>20</v>
      </c>
      <c r="O30" s="59">
        <f t="shared" si="51"/>
        <v>20</v>
      </c>
      <c r="P30" s="59">
        <f t="shared" si="51"/>
        <v>20</v>
      </c>
      <c r="Q30" s="59">
        <f t="shared" si="51"/>
        <v>20</v>
      </c>
      <c r="R30" s="59">
        <f t="shared" si="51"/>
        <v>20</v>
      </c>
      <c r="S30" s="59">
        <f t="shared" si="51"/>
        <v>20</v>
      </c>
      <c r="T30" s="59">
        <f t="shared" si="51"/>
        <v>20</v>
      </c>
      <c r="U30" s="59">
        <f t="shared" si="51"/>
        <v>20</v>
      </c>
      <c r="V30" s="59">
        <f t="shared" si="51"/>
        <v>20</v>
      </c>
      <c r="W30" s="59">
        <f t="shared" si="51"/>
        <v>20</v>
      </c>
      <c r="X30" s="59">
        <f t="shared" si="51"/>
        <v>20</v>
      </c>
      <c r="Y30" s="59">
        <f t="shared" si="51"/>
        <v>20</v>
      </c>
      <c r="Z30" s="59">
        <f t="shared" si="51"/>
        <v>20</v>
      </c>
      <c r="AA30" s="59">
        <f t="shared" si="51"/>
        <v>20</v>
      </c>
      <c r="AB30" s="59">
        <f t="shared" si="51"/>
        <v>20</v>
      </c>
      <c r="AC30" s="59">
        <f t="shared" si="51"/>
        <v>20</v>
      </c>
      <c r="AD30" s="59">
        <f t="shared" si="51"/>
        <v>20</v>
      </c>
      <c r="AE30" s="59">
        <f t="shared" si="51"/>
        <v>20</v>
      </c>
      <c r="AF30" s="59">
        <f t="shared" si="51"/>
        <v>20</v>
      </c>
      <c r="AG30" s="59">
        <f t="shared" si="51"/>
        <v>20</v>
      </c>
      <c r="AH30" s="59">
        <f t="shared" si="51"/>
        <v>20</v>
      </c>
      <c r="AI30" s="59">
        <f t="shared" si="51"/>
        <v>20</v>
      </c>
      <c r="AJ30" s="59">
        <f t="shared" si="51"/>
        <v>20</v>
      </c>
      <c r="AK30" s="59">
        <f t="shared" si="51"/>
        <v>20</v>
      </c>
      <c r="AL30" s="59">
        <f t="shared" si="51"/>
        <v>20</v>
      </c>
      <c r="AM30" s="59">
        <f t="shared" si="51"/>
        <v>20</v>
      </c>
      <c r="AN30" s="59">
        <f t="shared" si="51"/>
        <v>20</v>
      </c>
      <c r="AO30" s="59">
        <f t="shared" si="51"/>
        <v>20</v>
      </c>
      <c r="AP30" s="59">
        <f t="shared" si="51"/>
        <v>20</v>
      </c>
      <c r="AQ30" s="59">
        <f t="shared" si="51"/>
        <v>20</v>
      </c>
      <c r="AR30" s="59">
        <f t="shared" si="51"/>
        <v>20</v>
      </c>
      <c r="AS30" s="59">
        <f t="shared" si="51"/>
        <v>20</v>
      </c>
      <c r="AT30" s="59">
        <f t="shared" si="51"/>
        <v>20</v>
      </c>
      <c r="AU30" s="59">
        <f t="shared" si="51"/>
        <v>20</v>
      </c>
      <c r="AV30" s="59">
        <f t="shared" si="51"/>
        <v>20</v>
      </c>
      <c r="AW30" s="59">
        <f t="shared" si="51"/>
        <v>20</v>
      </c>
      <c r="AX30" s="59">
        <f t="shared" si="51"/>
        <v>20</v>
      </c>
      <c r="AY30" s="59">
        <f t="shared" si="51"/>
        <v>20</v>
      </c>
      <c r="AZ30" s="59">
        <f t="shared" si="51"/>
        <v>20</v>
      </c>
      <c r="BA30" s="59">
        <f t="shared" si="51"/>
        <v>20</v>
      </c>
      <c r="BB30" s="59">
        <f t="shared" si="51"/>
        <v>20</v>
      </c>
      <c r="BC30" s="59">
        <f t="shared" si="51"/>
        <v>20</v>
      </c>
      <c r="BD30" s="59">
        <f t="shared" si="51"/>
        <v>20</v>
      </c>
      <c r="BE30" s="59">
        <f t="shared" si="51"/>
        <v>20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-20</v>
      </c>
      <c r="G32" s="60">
        <f t="shared" ref="G32:BE32" si="52">G31-G30</f>
        <v>-20</v>
      </c>
      <c r="H32" s="60">
        <f t="shared" si="52"/>
        <v>-20</v>
      </c>
      <c r="I32" s="60">
        <f t="shared" si="52"/>
        <v>-20</v>
      </c>
      <c r="J32" s="60">
        <f t="shared" si="52"/>
        <v>-20</v>
      </c>
      <c r="K32" s="60">
        <f t="shared" si="52"/>
        <v>-20</v>
      </c>
      <c r="L32" s="60">
        <f t="shared" si="52"/>
        <v>-20</v>
      </c>
      <c r="M32" s="60">
        <f t="shared" si="52"/>
        <v>-20</v>
      </c>
      <c r="N32" s="60">
        <f t="shared" si="52"/>
        <v>-20</v>
      </c>
      <c r="O32" s="60">
        <f t="shared" si="52"/>
        <v>-20</v>
      </c>
      <c r="P32" s="60">
        <f t="shared" si="52"/>
        <v>-20</v>
      </c>
      <c r="Q32" s="60">
        <f t="shared" si="52"/>
        <v>-20</v>
      </c>
      <c r="R32" s="60">
        <f t="shared" si="52"/>
        <v>-20</v>
      </c>
      <c r="S32" s="60">
        <f t="shared" si="52"/>
        <v>-20</v>
      </c>
      <c r="T32" s="60">
        <f t="shared" si="52"/>
        <v>-20</v>
      </c>
      <c r="U32" s="60">
        <f t="shared" si="52"/>
        <v>-20</v>
      </c>
      <c r="V32" s="60">
        <f t="shared" si="52"/>
        <v>-20</v>
      </c>
      <c r="W32" s="60">
        <f t="shared" si="52"/>
        <v>-20</v>
      </c>
      <c r="X32" s="60">
        <f t="shared" si="52"/>
        <v>-20</v>
      </c>
      <c r="Y32" s="60">
        <f t="shared" si="52"/>
        <v>-20</v>
      </c>
      <c r="Z32" s="60">
        <f t="shared" si="52"/>
        <v>-20</v>
      </c>
      <c r="AA32" s="60">
        <f t="shared" si="52"/>
        <v>-20</v>
      </c>
      <c r="AB32" s="60">
        <f t="shared" si="52"/>
        <v>-20</v>
      </c>
      <c r="AC32" s="60">
        <f t="shared" si="52"/>
        <v>-20</v>
      </c>
      <c r="AD32" s="60">
        <f t="shared" si="52"/>
        <v>-20</v>
      </c>
      <c r="AE32" s="60">
        <f t="shared" si="52"/>
        <v>-20</v>
      </c>
      <c r="AF32" s="60">
        <f t="shared" si="52"/>
        <v>-20</v>
      </c>
      <c r="AG32" s="60">
        <f t="shared" si="52"/>
        <v>-20</v>
      </c>
      <c r="AH32" s="60">
        <f t="shared" si="52"/>
        <v>-20</v>
      </c>
      <c r="AI32" s="60">
        <f t="shared" si="52"/>
        <v>-20</v>
      </c>
      <c r="AJ32" s="60">
        <f t="shared" si="52"/>
        <v>-20</v>
      </c>
      <c r="AK32" s="60">
        <f t="shared" si="52"/>
        <v>-20</v>
      </c>
      <c r="AL32" s="60">
        <f t="shared" si="52"/>
        <v>-20</v>
      </c>
      <c r="AM32" s="60">
        <f t="shared" si="52"/>
        <v>-20</v>
      </c>
      <c r="AN32" s="60">
        <f t="shared" si="52"/>
        <v>-20</v>
      </c>
      <c r="AO32" s="60">
        <f t="shared" si="52"/>
        <v>-20</v>
      </c>
      <c r="AP32" s="60">
        <f t="shared" si="52"/>
        <v>-20</v>
      </c>
      <c r="AQ32" s="60">
        <f t="shared" si="52"/>
        <v>-20</v>
      </c>
      <c r="AR32" s="60">
        <f t="shared" si="52"/>
        <v>-20</v>
      </c>
      <c r="AS32" s="60">
        <f t="shared" si="52"/>
        <v>-20</v>
      </c>
      <c r="AT32" s="60">
        <f t="shared" si="52"/>
        <v>-20</v>
      </c>
      <c r="AU32" s="60">
        <f t="shared" si="52"/>
        <v>-20</v>
      </c>
      <c r="AV32" s="60">
        <f t="shared" si="52"/>
        <v>-20</v>
      </c>
      <c r="AW32" s="60">
        <f t="shared" si="52"/>
        <v>-20</v>
      </c>
      <c r="AX32" s="60">
        <f t="shared" si="52"/>
        <v>-20</v>
      </c>
      <c r="AY32" s="60">
        <f t="shared" si="52"/>
        <v>-20</v>
      </c>
      <c r="AZ32" s="60">
        <f t="shared" si="52"/>
        <v>-20</v>
      </c>
      <c r="BA32" s="60">
        <f t="shared" si="52"/>
        <v>-20</v>
      </c>
      <c r="BB32" s="60">
        <f t="shared" si="52"/>
        <v>-20</v>
      </c>
      <c r="BC32" s="60">
        <f t="shared" si="52"/>
        <v>-20</v>
      </c>
      <c r="BD32" s="60">
        <f t="shared" si="52"/>
        <v>-20</v>
      </c>
      <c r="BE32" s="60">
        <f t="shared" si="52"/>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 Select the primary KPI (Jonas Library) TARGET</v>
      </c>
      <c r="C35" s="147"/>
      <c r="D35" s="147"/>
      <c r="E35" s="148"/>
      <c r="F35" s="59"/>
      <c r="G35" s="59">
        <f>F35</f>
        <v>0</v>
      </c>
      <c r="H35" s="59">
        <f t="shared" ref="H35:BE35" si="53">G35</f>
        <v>0</v>
      </c>
      <c r="I35" s="59">
        <f t="shared" si="53"/>
        <v>0</v>
      </c>
      <c r="J35" s="59">
        <f t="shared" si="53"/>
        <v>0</v>
      </c>
      <c r="K35" s="59">
        <f t="shared" si="53"/>
        <v>0</v>
      </c>
      <c r="L35" s="59">
        <f t="shared" si="53"/>
        <v>0</v>
      </c>
      <c r="M35" s="59">
        <f t="shared" si="53"/>
        <v>0</v>
      </c>
      <c r="N35" s="59">
        <f t="shared" si="53"/>
        <v>0</v>
      </c>
      <c r="O35" s="59">
        <f t="shared" si="53"/>
        <v>0</v>
      </c>
      <c r="P35" s="59">
        <f t="shared" si="53"/>
        <v>0</v>
      </c>
      <c r="Q35" s="59">
        <f t="shared" si="53"/>
        <v>0</v>
      </c>
      <c r="R35" s="59">
        <f t="shared" si="53"/>
        <v>0</v>
      </c>
      <c r="S35" s="59">
        <f t="shared" si="53"/>
        <v>0</v>
      </c>
      <c r="T35" s="59">
        <f t="shared" si="53"/>
        <v>0</v>
      </c>
      <c r="U35" s="59">
        <f t="shared" si="53"/>
        <v>0</v>
      </c>
      <c r="V35" s="59">
        <f t="shared" si="53"/>
        <v>0</v>
      </c>
      <c r="W35" s="59">
        <f t="shared" si="53"/>
        <v>0</v>
      </c>
      <c r="X35" s="59">
        <f t="shared" si="53"/>
        <v>0</v>
      </c>
      <c r="Y35" s="59">
        <f t="shared" si="53"/>
        <v>0</v>
      </c>
      <c r="Z35" s="59">
        <f t="shared" si="53"/>
        <v>0</v>
      </c>
      <c r="AA35" s="59">
        <f t="shared" si="53"/>
        <v>0</v>
      </c>
      <c r="AB35" s="59">
        <f t="shared" si="53"/>
        <v>0</v>
      </c>
      <c r="AC35" s="59">
        <f t="shared" si="53"/>
        <v>0</v>
      </c>
      <c r="AD35" s="59">
        <f t="shared" si="53"/>
        <v>0</v>
      </c>
      <c r="AE35" s="59">
        <f t="shared" si="53"/>
        <v>0</v>
      </c>
      <c r="AF35" s="59">
        <f t="shared" si="53"/>
        <v>0</v>
      </c>
      <c r="AG35" s="59">
        <f t="shared" si="53"/>
        <v>0</v>
      </c>
      <c r="AH35" s="59">
        <f t="shared" si="53"/>
        <v>0</v>
      </c>
      <c r="AI35" s="59">
        <f t="shared" si="53"/>
        <v>0</v>
      </c>
      <c r="AJ35" s="59">
        <f t="shared" si="53"/>
        <v>0</v>
      </c>
      <c r="AK35" s="59">
        <f t="shared" si="53"/>
        <v>0</v>
      </c>
      <c r="AL35" s="59">
        <f t="shared" si="53"/>
        <v>0</v>
      </c>
      <c r="AM35" s="59">
        <f t="shared" si="53"/>
        <v>0</v>
      </c>
      <c r="AN35" s="59">
        <f t="shared" si="53"/>
        <v>0</v>
      </c>
      <c r="AO35" s="59">
        <f t="shared" si="53"/>
        <v>0</v>
      </c>
      <c r="AP35" s="59">
        <f t="shared" si="53"/>
        <v>0</v>
      </c>
      <c r="AQ35" s="59">
        <f t="shared" si="53"/>
        <v>0</v>
      </c>
      <c r="AR35" s="59">
        <f t="shared" si="53"/>
        <v>0</v>
      </c>
      <c r="AS35" s="59">
        <f t="shared" si="53"/>
        <v>0</v>
      </c>
      <c r="AT35" s="59">
        <f t="shared" si="53"/>
        <v>0</v>
      </c>
      <c r="AU35" s="59">
        <f t="shared" si="53"/>
        <v>0</v>
      </c>
      <c r="AV35" s="59">
        <f t="shared" si="53"/>
        <v>0</v>
      </c>
      <c r="AW35" s="59">
        <f t="shared" si="53"/>
        <v>0</v>
      </c>
      <c r="AX35" s="59">
        <f t="shared" si="53"/>
        <v>0</v>
      </c>
      <c r="AY35" s="59">
        <f t="shared" si="53"/>
        <v>0</v>
      </c>
      <c r="AZ35" s="59">
        <f t="shared" si="53"/>
        <v>0</v>
      </c>
      <c r="BA35" s="59">
        <f t="shared" si="53"/>
        <v>0</v>
      </c>
      <c r="BB35" s="59">
        <f t="shared" si="53"/>
        <v>0</v>
      </c>
      <c r="BC35" s="59">
        <f t="shared" si="53"/>
        <v>0</v>
      </c>
      <c r="BD35" s="59">
        <f t="shared" si="53"/>
        <v>0</v>
      </c>
      <c r="BE35" s="59">
        <f t="shared" si="53"/>
        <v>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0</v>
      </c>
      <c r="G37" s="60">
        <f t="shared" ref="G37:BE37" si="54">G36-G35</f>
        <v>0</v>
      </c>
      <c r="H37" s="60">
        <f t="shared" si="54"/>
        <v>0</v>
      </c>
      <c r="I37" s="60">
        <f t="shared" si="54"/>
        <v>0</v>
      </c>
      <c r="J37" s="60">
        <f t="shared" si="54"/>
        <v>0</v>
      </c>
      <c r="K37" s="60">
        <f t="shared" si="54"/>
        <v>0</v>
      </c>
      <c r="L37" s="60">
        <f t="shared" si="54"/>
        <v>0</v>
      </c>
      <c r="M37" s="60">
        <f t="shared" si="54"/>
        <v>0</v>
      </c>
      <c r="N37" s="60">
        <f t="shared" si="54"/>
        <v>0</v>
      </c>
      <c r="O37" s="60">
        <f t="shared" si="54"/>
        <v>0</v>
      </c>
      <c r="P37" s="60">
        <f t="shared" si="54"/>
        <v>0</v>
      </c>
      <c r="Q37" s="60">
        <f t="shared" si="54"/>
        <v>0</v>
      </c>
      <c r="R37" s="60">
        <f t="shared" si="54"/>
        <v>0</v>
      </c>
      <c r="S37" s="60">
        <f t="shared" si="54"/>
        <v>0</v>
      </c>
      <c r="T37" s="60">
        <f t="shared" si="54"/>
        <v>0</v>
      </c>
      <c r="U37" s="60">
        <f t="shared" si="54"/>
        <v>0</v>
      </c>
      <c r="V37" s="60">
        <f t="shared" si="54"/>
        <v>0</v>
      </c>
      <c r="W37" s="60">
        <f t="shared" si="54"/>
        <v>0</v>
      </c>
      <c r="X37" s="60">
        <f t="shared" si="54"/>
        <v>0</v>
      </c>
      <c r="Y37" s="60">
        <f t="shared" si="54"/>
        <v>0</v>
      </c>
      <c r="Z37" s="60">
        <f t="shared" si="54"/>
        <v>0</v>
      </c>
      <c r="AA37" s="60">
        <f t="shared" si="54"/>
        <v>0</v>
      </c>
      <c r="AB37" s="60">
        <f t="shared" si="54"/>
        <v>0</v>
      </c>
      <c r="AC37" s="60">
        <f t="shared" si="54"/>
        <v>0</v>
      </c>
      <c r="AD37" s="60">
        <f t="shared" si="54"/>
        <v>0</v>
      </c>
      <c r="AE37" s="60">
        <f t="shared" si="54"/>
        <v>0</v>
      </c>
      <c r="AF37" s="60">
        <f t="shared" si="54"/>
        <v>0</v>
      </c>
      <c r="AG37" s="60">
        <f t="shared" si="54"/>
        <v>0</v>
      </c>
      <c r="AH37" s="60">
        <f t="shared" si="54"/>
        <v>0</v>
      </c>
      <c r="AI37" s="60">
        <f t="shared" si="54"/>
        <v>0</v>
      </c>
      <c r="AJ37" s="60">
        <f t="shared" si="54"/>
        <v>0</v>
      </c>
      <c r="AK37" s="60">
        <f t="shared" si="54"/>
        <v>0</v>
      </c>
      <c r="AL37" s="60">
        <f t="shared" si="54"/>
        <v>0</v>
      </c>
      <c r="AM37" s="60">
        <f t="shared" si="54"/>
        <v>0</v>
      </c>
      <c r="AN37" s="60">
        <f t="shared" si="54"/>
        <v>0</v>
      </c>
      <c r="AO37" s="60">
        <f t="shared" si="54"/>
        <v>0</v>
      </c>
      <c r="AP37" s="60">
        <f t="shared" si="54"/>
        <v>0</v>
      </c>
      <c r="AQ37" s="60">
        <f t="shared" si="54"/>
        <v>0</v>
      </c>
      <c r="AR37" s="60">
        <f t="shared" si="54"/>
        <v>0</v>
      </c>
      <c r="AS37" s="60">
        <f t="shared" si="54"/>
        <v>0</v>
      </c>
      <c r="AT37" s="60">
        <f t="shared" si="54"/>
        <v>0</v>
      </c>
      <c r="AU37" s="60">
        <f t="shared" si="54"/>
        <v>0</v>
      </c>
      <c r="AV37" s="60">
        <f t="shared" si="54"/>
        <v>0</v>
      </c>
      <c r="AW37" s="60">
        <f t="shared" si="54"/>
        <v>0</v>
      </c>
      <c r="AX37" s="60">
        <f t="shared" si="54"/>
        <v>0</v>
      </c>
      <c r="AY37" s="60">
        <f t="shared" si="54"/>
        <v>0</v>
      </c>
      <c r="AZ37" s="60">
        <f t="shared" si="54"/>
        <v>0</v>
      </c>
      <c r="BA37" s="60">
        <f t="shared" si="54"/>
        <v>0</v>
      </c>
      <c r="BB37" s="60">
        <f t="shared" si="54"/>
        <v>0</v>
      </c>
      <c r="BC37" s="60">
        <f t="shared" si="54"/>
        <v>0</v>
      </c>
      <c r="BD37" s="60">
        <f t="shared" si="54"/>
        <v>0</v>
      </c>
      <c r="BE37" s="60">
        <f t="shared" si="54"/>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3" priority="1" operator="equal">
      <formula>"No Change"</formula>
    </cfRule>
    <cfRule type="cellIs" dxfId="42" priority="2" operator="equal">
      <formula>"Progression"</formula>
    </cfRule>
  </conditionalFormatting>
  <conditionalFormatting sqref="AU10:AU21">
    <cfRule type="expression" dxfId="41" priority="3">
      <formula>IFERROR(FIND("Ahead",AU10),0)&gt;0</formula>
    </cfRule>
    <cfRule type="expression" dxfId="40" priority="4">
      <formula>IFERROR(FIND("Overdue",AU10),0)&gt;0</formula>
    </cfRule>
    <cfRule type="cellIs" dxfId="39" priority="5" operator="equal">
      <formula>"Met Target"</formula>
    </cfRule>
    <cfRule type="cellIs" dxfId="38" priority="6" operator="equal">
      <formula>"Missing Target"</formula>
    </cfRule>
    <cfRule type="expression" dxfId="3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F27" activePane="bottomRight" state="frozen"/>
      <selection pane="bottomRight" activeCell="I37" sqref="I37"/>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143</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Customer Feature - Existing</v>
      </c>
      <c r="AP3" s="87"/>
      <c r="AQ3" s="87"/>
      <c r="AR3" s="87"/>
      <c r="AS3" s="87"/>
      <c r="AT3" s="87"/>
      <c r="AU3" s="87"/>
      <c r="AV3" s="92">
        <f>IF(F7="",0,VLOOKUP(F7,Lookups!B4:H8,3))</f>
        <v>100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Dev</v>
      </c>
      <c r="AP4" s="87"/>
      <c r="AQ4" s="87"/>
      <c r="AR4" s="87"/>
      <c r="AS4" s="87"/>
      <c r="AT4" s="87"/>
      <c r="AU4" s="87"/>
      <c r="AV4" s="89">
        <f ca="1">IF(AO4="Not Def",0,VLOOKUP(AO4,Lookups!L4:M8,2))</f>
        <v>0.4</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144</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Dev</v>
      </c>
      <c r="AP5" s="87"/>
      <c r="AQ5" s="88" t="str">
        <f ca="1">IF(AV5=1,"No Change","Progression")</f>
        <v>No Change</v>
      </c>
      <c r="AR5" s="88"/>
      <c r="AS5" s="88"/>
      <c r="AT5" s="88"/>
      <c r="AU5" s="88"/>
      <c r="AV5" s="89">
        <f ca="1">IF(AO4="Not Def",0,IF(AO5=AO4,1,1.2))</f>
        <v>1</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40</v>
      </c>
      <c r="AW6" s="104"/>
      <c r="AX6" s="104"/>
      <c r="AY6" s="18"/>
      <c r="AZ6" s="18"/>
      <c r="BA6" s="18"/>
      <c r="BB6" s="18"/>
      <c r="BC6" s="18"/>
      <c r="BD6" s="18"/>
      <c r="BH6" s="13"/>
      <c r="BI6" s="17"/>
      <c r="BJ6" s="17"/>
      <c r="BK6" s="17"/>
    </row>
    <row r="7" spans="2:71" ht="28.5" customHeight="1" thickBot="1">
      <c r="B7" s="99" t="s">
        <v>34</v>
      </c>
      <c r="C7" s="100"/>
      <c r="D7" s="100"/>
      <c r="E7" s="101"/>
      <c r="F7" s="105" t="s">
        <v>136</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Customer Feature - Existing</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Smart data analysis in existing dashboards, intelligent recommendations, automated report generation</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45658</v>
      </c>
      <c r="AP10" s="114"/>
      <c r="AQ10" s="114"/>
      <c r="AR10" s="114">
        <v>45658</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45658</v>
      </c>
      <c r="AP11" s="114"/>
      <c r="AQ11" s="114"/>
      <c r="AR11" s="114">
        <v>45658</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Customer Adoption</v>
      </c>
      <c r="G12" s="117"/>
      <c r="H12" s="117"/>
      <c r="I12" s="117"/>
      <c r="J12" s="117"/>
      <c r="K12" s="117"/>
      <c r="L12" s="117"/>
      <c r="M12" s="118"/>
      <c r="O12" s="116" t="str">
        <f>IF(F7="","",VLOOKUP(F7,Lookups!B4:H8,6))</f>
        <v>Usage Metrics</v>
      </c>
      <c r="P12" s="117"/>
      <c r="Q12" s="117"/>
      <c r="R12" s="117"/>
      <c r="S12" s="117"/>
      <c r="T12" s="117"/>
      <c r="U12" s="117"/>
      <c r="V12" s="118"/>
      <c r="X12" s="116" t="str">
        <f>IF(F7="","",VLOOKUP(F7,Lookups!B4:H8,7))</f>
        <v>Revenue Impact</v>
      </c>
      <c r="Y12" s="117"/>
      <c r="Z12" s="117"/>
      <c r="AA12" s="117"/>
      <c r="AB12" s="117"/>
      <c r="AC12" s="117"/>
      <c r="AD12" s="117"/>
      <c r="AE12" s="118"/>
      <c r="AG12" s="121"/>
      <c r="AH12" s="121"/>
      <c r="AI12" s="121"/>
      <c r="AJ12" s="122" t="s">
        <v>50</v>
      </c>
      <c r="AK12" s="122"/>
      <c r="AL12" s="122"/>
      <c r="AM12" s="122"/>
      <c r="AN12" s="122"/>
      <c r="AO12" s="114">
        <v>45658</v>
      </c>
      <c r="AP12" s="114"/>
      <c r="AQ12" s="114"/>
      <c r="AR12" s="114">
        <v>45658</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145</v>
      </c>
      <c r="C13" s="124"/>
      <c r="D13" s="125"/>
      <c r="F13" s="24" t="s">
        <v>52</v>
      </c>
      <c r="G13" s="71" t="s">
        <v>55</v>
      </c>
      <c r="H13" s="72"/>
      <c r="I13" s="72"/>
      <c r="J13" s="72"/>
      <c r="K13" s="72"/>
      <c r="L13" s="72"/>
      <c r="M13" s="73"/>
      <c r="O13" s="24" t="s">
        <v>52</v>
      </c>
      <c r="P13" s="71" t="s">
        <v>138</v>
      </c>
      <c r="Q13" s="72"/>
      <c r="R13" s="72"/>
      <c r="S13" s="72"/>
      <c r="T13" s="72"/>
      <c r="U13" s="72"/>
      <c r="V13" s="73"/>
      <c r="X13" s="24" t="s">
        <v>52</v>
      </c>
      <c r="Y13" s="71" t="s">
        <v>146</v>
      </c>
      <c r="Z13" s="72"/>
      <c r="AA13" s="72"/>
      <c r="AB13" s="72"/>
      <c r="AC13" s="72"/>
      <c r="AD13" s="72"/>
      <c r="AE13" s="73"/>
      <c r="AG13" s="121" t="s">
        <v>56</v>
      </c>
      <c r="AH13" s="121"/>
      <c r="AI13" s="121"/>
      <c r="AJ13" s="122" t="s">
        <v>57</v>
      </c>
      <c r="AK13" s="122"/>
      <c r="AL13" s="122"/>
      <c r="AM13" s="122"/>
      <c r="AN13" s="122"/>
      <c r="AO13" s="114">
        <v>45689</v>
      </c>
      <c r="AP13" s="114"/>
      <c r="AQ13" s="114"/>
      <c r="AR13" s="114">
        <v>45689</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45689</v>
      </c>
      <c r="AP14" s="114"/>
      <c r="AQ14" s="114"/>
      <c r="AR14" s="114">
        <v>45689</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c r="G15" s="133"/>
      <c r="H15" s="133"/>
      <c r="I15" s="133"/>
      <c r="J15" s="133"/>
      <c r="K15" s="133"/>
      <c r="L15" s="133"/>
      <c r="M15" s="134"/>
      <c r="O15" s="132" t="s">
        <v>140</v>
      </c>
      <c r="P15" s="133"/>
      <c r="Q15" s="133"/>
      <c r="R15" s="133"/>
      <c r="S15" s="133"/>
      <c r="T15" s="133"/>
      <c r="U15" s="133"/>
      <c r="V15" s="134"/>
      <c r="X15" s="132" t="s">
        <v>147</v>
      </c>
      <c r="Y15" s="133"/>
      <c r="Z15" s="133"/>
      <c r="AA15" s="133"/>
      <c r="AB15" s="133"/>
      <c r="AC15" s="133"/>
      <c r="AD15" s="133"/>
      <c r="AE15" s="134"/>
      <c r="AG15" s="121"/>
      <c r="AH15" s="121"/>
      <c r="AI15" s="121"/>
      <c r="AJ15" s="122" t="s">
        <v>62</v>
      </c>
      <c r="AK15" s="122"/>
      <c r="AL15" s="122"/>
      <c r="AM15" s="122"/>
      <c r="AN15" s="122"/>
      <c r="AO15" s="114">
        <v>46112</v>
      </c>
      <c r="AP15" s="114"/>
      <c r="AQ15" s="114"/>
      <c r="AR15" s="114"/>
      <c r="AS15" s="114"/>
      <c r="AT15" s="114"/>
      <c r="AU15" s="115" t="str">
        <f t="shared" ref="AU15:AU21" ca="1" si="1">IF(AO15=$A$1,"Missing Target",IF(AR15=$A$1,IF($AZ$3&gt;AO15,INT($AZ$3-AO15)&amp;" Day(s) Overdue","Incomplete"),IF(AR15&gt;AO15,INT(AR15-AO15)&amp;" Day(s) Late",IF(AR15=AO15,"OK",INT(AO15-AR15)&amp;" Day(s) Ahead"))))</f>
        <v>Incomplete</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46234</v>
      </c>
      <c r="AP16" s="114"/>
      <c r="AQ16" s="114"/>
      <c r="AR16" s="114"/>
      <c r="AS16" s="114"/>
      <c r="AT16" s="114"/>
      <c r="AU16" s="115" t="str">
        <f t="shared" ca="1" si="1"/>
        <v>Incomplete</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46234</v>
      </c>
      <c r="AP17" s="114"/>
      <c r="AQ17" s="114"/>
      <c r="AR17" s="114"/>
      <c r="AS17" s="114"/>
      <c r="AT17" s="114"/>
      <c r="AU17" s="115" t="str">
        <f t="shared" ca="1" si="1"/>
        <v>Incomplete</v>
      </c>
      <c r="AV17" s="115"/>
      <c r="AW17" s="115"/>
      <c r="AX17" s="115"/>
      <c r="AY17" s="158"/>
      <c r="AZ17" s="158"/>
      <c r="BA17" s="158"/>
      <c r="BB17" s="158"/>
      <c r="BC17" s="158"/>
      <c r="BD17" s="158"/>
      <c r="BE17" s="158"/>
      <c r="BL17" s="15"/>
      <c r="BS17" s="12"/>
    </row>
    <row r="18" spans="2:71" ht="28.5" customHeight="1" thickBot="1">
      <c r="B18" s="25" t="s">
        <v>67</v>
      </c>
      <c r="C18" s="74" t="s">
        <v>123</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46234</v>
      </c>
      <c r="AP18" s="114"/>
      <c r="AQ18" s="114"/>
      <c r="AR18" s="114"/>
      <c r="AS18" s="114"/>
      <c r="AT18" s="114"/>
      <c r="AU18" s="115" t="str">
        <f t="shared" ca="1" si="1"/>
        <v>Incomplete</v>
      </c>
      <c r="AV18" s="115"/>
      <c r="AW18" s="115"/>
      <c r="AX18" s="115"/>
      <c r="AY18" s="158"/>
      <c r="AZ18" s="158"/>
      <c r="BA18" s="158"/>
      <c r="BB18" s="158"/>
      <c r="BC18" s="158"/>
      <c r="BD18" s="158"/>
      <c r="BE18" s="158"/>
      <c r="BL18" s="15"/>
      <c r="BS18" s="12"/>
    </row>
    <row r="19" spans="2:71" ht="28.5" customHeight="1" thickBot="1">
      <c r="B19" s="25" t="s">
        <v>71</v>
      </c>
      <c r="C19" s="74" t="s">
        <v>72</v>
      </c>
      <c r="D19" s="76"/>
      <c r="F19" s="132"/>
      <c r="G19" s="133"/>
      <c r="H19" s="133"/>
      <c r="I19" s="133"/>
      <c r="J19" s="133"/>
      <c r="K19" s="133"/>
      <c r="L19" s="133"/>
      <c r="M19" s="134"/>
      <c r="O19" s="132" t="s">
        <v>148</v>
      </c>
      <c r="P19" s="133"/>
      <c r="Q19" s="133"/>
      <c r="R19" s="133"/>
      <c r="S19" s="133"/>
      <c r="T19" s="133"/>
      <c r="U19" s="133"/>
      <c r="V19" s="134"/>
      <c r="X19" s="132" t="s">
        <v>149</v>
      </c>
      <c r="Y19" s="133"/>
      <c r="Z19" s="133"/>
      <c r="AA19" s="133"/>
      <c r="AB19" s="133"/>
      <c r="AC19" s="133"/>
      <c r="AD19" s="133"/>
      <c r="AE19" s="134"/>
      <c r="AF19" s="26"/>
      <c r="AG19" s="121" t="s">
        <v>75</v>
      </c>
      <c r="AH19" s="121"/>
      <c r="AI19" s="121"/>
      <c r="AJ19" s="122" t="s">
        <v>76</v>
      </c>
      <c r="AK19" s="122"/>
      <c r="AL19" s="122"/>
      <c r="AM19" s="122"/>
      <c r="AN19" s="122"/>
      <c r="AO19" s="114">
        <v>46264</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46264</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46264</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46234</v>
      </c>
      <c r="G24" s="31">
        <f>F24+7</f>
        <v>46241</v>
      </c>
      <c r="H24" s="31">
        <f t="shared" ref="H24:BE24" si="4">G24+7</f>
        <v>46248</v>
      </c>
      <c r="I24" s="31">
        <f t="shared" si="4"/>
        <v>46255</v>
      </c>
      <c r="J24" s="31">
        <f t="shared" si="4"/>
        <v>46262</v>
      </c>
      <c r="K24" s="31">
        <f t="shared" si="4"/>
        <v>46269</v>
      </c>
      <c r="L24" s="31">
        <f t="shared" si="4"/>
        <v>46276</v>
      </c>
      <c r="M24" s="31">
        <f t="shared" si="4"/>
        <v>46283</v>
      </c>
      <c r="N24" s="31">
        <f t="shared" si="4"/>
        <v>46290</v>
      </c>
      <c r="O24" s="31">
        <f t="shared" si="4"/>
        <v>46297</v>
      </c>
      <c r="P24" s="31">
        <f t="shared" si="4"/>
        <v>46304</v>
      </c>
      <c r="Q24" s="31">
        <f t="shared" si="4"/>
        <v>46311</v>
      </c>
      <c r="R24" s="31">
        <f t="shared" si="4"/>
        <v>46318</v>
      </c>
      <c r="S24" s="31">
        <f t="shared" si="4"/>
        <v>46325</v>
      </c>
      <c r="T24" s="31">
        <f t="shared" si="4"/>
        <v>46332</v>
      </c>
      <c r="U24" s="31">
        <f t="shared" si="4"/>
        <v>46339</v>
      </c>
      <c r="V24" s="31">
        <f t="shared" si="4"/>
        <v>46346</v>
      </c>
      <c r="W24" s="31">
        <f t="shared" si="4"/>
        <v>46353</v>
      </c>
      <c r="X24" s="31">
        <f t="shared" si="4"/>
        <v>46360</v>
      </c>
      <c r="Y24" s="31">
        <f t="shared" si="4"/>
        <v>46367</v>
      </c>
      <c r="Z24" s="31">
        <f t="shared" si="4"/>
        <v>46374</v>
      </c>
      <c r="AA24" s="31">
        <f t="shared" si="4"/>
        <v>46381</v>
      </c>
      <c r="AB24" s="31">
        <f t="shared" si="4"/>
        <v>46388</v>
      </c>
      <c r="AC24" s="31">
        <f t="shared" si="4"/>
        <v>46395</v>
      </c>
      <c r="AD24" s="31">
        <f t="shared" si="4"/>
        <v>46402</v>
      </c>
      <c r="AE24" s="31">
        <f t="shared" si="4"/>
        <v>46409</v>
      </c>
      <c r="AF24" s="31">
        <f t="shared" si="4"/>
        <v>46416</v>
      </c>
      <c r="AG24" s="31">
        <f t="shared" si="4"/>
        <v>46423</v>
      </c>
      <c r="AH24" s="31">
        <f t="shared" si="4"/>
        <v>46430</v>
      </c>
      <c r="AI24" s="31">
        <f t="shared" si="4"/>
        <v>46437</v>
      </c>
      <c r="AJ24" s="31">
        <f t="shared" si="4"/>
        <v>46444</v>
      </c>
      <c r="AK24" s="31">
        <f t="shared" si="4"/>
        <v>46451</v>
      </c>
      <c r="AL24" s="31">
        <f t="shared" si="4"/>
        <v>46458</v>
      </c>
      <c r="AM24" s="31">
        <f t="shared" si="4"/>
        <v>46465</v>
      </c>
      <c r="AN24" s="31">
        <f t="shared" si="4"/>
        <v>46472</v>
      </c>
      <c r="AO24" s="31">
        <f t="shared" si="4"/>
        <v>46479</v>
      </c>
      <c r="AP24" s="31">
        <f t="shared" si="4"/>
        <v>46486</v>
      </c>
      <c r="AQ24" s="31">
        <f t="shared" si="4"/>
        <v>46493</v>
      </c>
      <c r="AR24" s="31">
        <f t="shared" si="4"/>
        <v>46500</v>
      </c>
      <c r="AS24" s="31">
        <f t="shared" si="4"/>
        <v>46507</v>
      </c>
      <c r="AT24" s="31">
        <f t="shared" si="4"/>
        <v>46514</v>
      </c>
      <c r="AU24" s="31">
        <f t="shared" si="4"/>
        <v>46521</v>
      </c>
      <c r="AV24" s="31">
        <f t="shared" si="4"/>
        <v>46528</v>
      </c>
      <c r="AW24" s="31">
        <f t="shared" si="4"/>
        <v>46535</v>
      </c>
      <c r="AX24" s="31">
        <f t="shared" si="4"/>
        <v>46542</v>
      </c>
      <c r="AY24" s="31">
        <f t="shared" si="4"/>
        <v>46549</v>
      </c>
      <c r="AZ24" s="31">
        <f t="shared" si="4"/>
        <v>46556</v>
      </c>
      <c r="BA24" s="31">
        <f t="shared" si="4"/>
        <v>46563</v>
      </c>
      <c r="BB24" s="31">
        <f t="shared" si="4"/>
        <v>46570</v>
      </c>
      <c r="BC24" s="31">
        <f t="shared" si="4"/>
        <v>46577</v>
      </c>
      <c r="BD24" s="31">
        <f t="shared" si="4"/>
        <v>46584</v>
      </c>
      <c r="BE24" s="31">
        <f t="shared" si="4"/>
        <v>46591</v>
      </c>
      <c r="BJ24" s="21"/>
    </row>
    <row r="25" spans="2:71">
      <c r="B25" s="146" t="str">
        <f>G13&amp;" TARGET"</f>
        <v>.... Select the primary KPI (Jonas Library) TARGET</v>
      </c>
      <c r="C25" s="147"/>
      <c r="D25" s="147"/>
      <c r="E25" s="148"/>
      <c r="F25" s="59">
        <v>0</v>
      </c>
      <c r="G25" s="59">
        <f>F25</f>
        <v>0</v>
      </c>
      <c r="H25" s="59">
        <f t="shared" ref="H25:M25" si="5">G25</f>
        <v>0</v>
      </c>
      <c r="I25" s="59">
        <f t="shared" si="5"/>
        <v>0</v>
      </c>
      <c r="J25" s="59">
        <f t="shared" si="5"/>
        <v>0</v>
      </c>
      <c r="K25" s="59">
        <f t="shared" si="5"/>
        <v>0</v>
      </c>
      <c r="L25" s="59">
        <f t="shared" si="5"/>
        <v>0</v>
      </c>
      <c r="M25" s="59">
        <f t="shared" si="5"/>
        <v>0</v>
      </c>
      <c r="N25" s="59">
        <f t="shared" ref="N25" si="6">M25</f>
        <v>0</v>
      </c>
      <c r="O25" s="59">
        <f t="shared" ref="O25" si="7">N25</f>
        <v>0</v>
      </c>
      <c r="P25" s="59">
        <f t="shared" ref="P25" si="8">O25</f>
        <v>0</v>
      </c>
      <c r="Q25" s="59">
        <f t="shared" ref="Q25" si="9">P25</f>
        <v>0</v>
      </c>
      <c r="R25" s="59">
        <f t="shared" ref="R25" si="10">Q25</f>
        <v>0</v>
      </c>
      <c r="S25" s="59">
        <f t="shared" ref="S25" si="11">R25</f>
        <v>0</v>
      </c>
      <c r="T25" s="59">
        <f t="shared" ref="T25" si="12">S25</f>
        <v>0</v>
      </c>
      <c r="U25" s="59">
        <f t="shared" ref="U25" si="13">T25</f>
        <v>0</v>
      </c>
      <c r="V25" s="59">
        <f t="shared" ref="V25" si="14">U25</f>
        <v>0</v>
      </c>
      <c r="W25" s="59">
        <f t="shared" ref="W25" si="15">V25</f>
        <v>0</v>
      </c>
      <c r="X25" s="59">
        <f t="shared" ref="X25" si="16">W25</f>
        <v>0</v>
      </c>
      <c r="Y25" s="59">
        <f t="shared" ref="Y25" si="17">X25</f>
        <v>0</v>
      </c>
      <c r="Z25" s="59">
        <f t="shared" ref="Z25" si="18">Y25</f>
        <v>0</v>
      </c>
      <c r="AA25" s="59">
        <f t="shared" ref="AA25" si="19">Z25</f>
        <v>0</v>
      </c>
      <c r="AB25" s="59">
        <f t="shared" ref="AB25" si="20">AA25</f>
        <v>0</v>
      </c>
      <c r="AC25" s="59">
        <f t="shared" ref="AC25" si="21">AB25</f>
        <v>0</v>
      </c>
      <c r="AD25" s="59">
        <f t="shared" ref="AD25" si="22">AC25</f>
        <v>0</v>
      </c>
      <c r="AE25" s="59">
        <f t="shared" ref="AE25" si="23">AD25</f>
        <v>0</v>
      </c>
      <c r="AF25" s="59">
        <f t="shared" ref="AF25" si="24">AE25</f>
        <v>0</v>
      </c>
      <c r="AG25" s="59">
        <f t="shared" ref="AG25" si="25">AF25</f>
        <v>0</v>
      </c>
      <c r="AH25" s="59">
        <f t="shared" ref="AH25" si="26">AG25</f>
        <v>0</v>
      </c>
      <c r="AI25" s="59">
        <f t="shared" ref="AI25" si="27">AH25</f>
        <v>0</v>
      </c>
      <c r="AJ25" s="59">
        <f t="shared" ref="AJ25" si="28">AI25</f>
        <v>0</v>
      </c>
      <c r="AK25" s="59">
        <f t="shared" ref="AK25" si="29">AJ25</f>
        <v>0</v>
      </c>
      <c r="AL25" s="59">
        <f t="shared" ref="AL25" si="30">AK25</f>
        <v>0</v>
      </c>
      <c r="AM25" s="59">
        <f t="shared" ref="AM25" si="31">AL25</f>
        <v>0</v>
      </c>
      <c r="AN25" s="59">
        <f t="shared" ref="AN25" si="32">AM25</f>
        <v>0</v>
      </c>
      <c r="AO25" s="59">
        <f t="shared" ref="AO25" si="33">AN25</f>
        <v>0</v>
      </c>
      <c r="AP25" s="59">
        <f t="shared" ref="AP25" si="34">AO25</f>
        <v>0</v>
      </c>
      <c r="AQ25" s="59">
        <f t="shared" ref="AQ25" si="35">AP25</f>
        <v>0</v>
      </c>
      <c r="AR25" s="59">
        <f t="shared" ref="AR25" si="36">AQ25</f>
        <v>0</v>
      </c>
      <c r="AS25" s="59">
        <f t="shared" ref="AS25" si="37">AR25</f>
        <v>0</v>
      </c>
      <c r="AT25" s="59">
        <f t="shared" ref="AT25" si="38">AS25</f>
        <v>0</v>
      </c>
      <c r="AU25" s="59">
        <f t="shared" ref="AU25" si="39">AT25</f>
        <v>0</v>
      </c>
      <c r="AV25" s="59">
        <f t="shared" ref="AV25" si="40">AU25</f>
        <v>0</v>
      </c>
      <c r="AW25" s="59">
        <f t="shared" ref="AW25" si="41">AV25</f>
        <v>0</v>
      </c>
      <c r="AX25" s="59">
        <f t="shared" ref="AX25" si="42">AW25</f>
        <v>0</v>
      </c>
      <c r="AY25" s="59">
        <f t="shared" ref="AY25" si="43">AX25</f>
        <v>0</v>
      </c>
      <c r="AZ25" s="59">
        <f t="shared" ref="AZ25" si="44">AY25</f>
        <v>0</v>
      </c>
      <c r="BA25" s="59">
        <f t="shared" ref="BA25" si="45">AZ25</f>
        <v>0</v>
      </c>
      <c r="BB25" s="59">
        <f t="shared" ref="BB25" si="46">BA25</f>
        <v>0</v>
      </c>
      <c r="BC25" s="59">
        <f t="shared" ref="BC25" si="47">BB25</f>
        <v>0</v>
      </c>
      <c r="BD25" s="59">
        <f t="shared" ref="BD25" si="48">BC25</f>
        <v>0</v>
      </c>
      <c r="BE25" s="59">
        <f t="shared" ref="BE25" si="49">BD25</f>
        <v>0</v>
      </c>
    </row>
    <row r="26" spans="2:71">
      <c r="B26" s="146" t="s">
        <v>85</v>
      </c>
      <c r="C26" s="147"/>
      <c r="D26" s="147"/>
      <c r="E26" s="148"/>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0</v>
      </c>
      <c r="G27" s="60">
        <f t="shared" ref="G27:BE27" si="50">G26-G25</f>
        <v>0</v>
      </c>
      <c r="H27" s="60">
        <f t="shared" si="50"/>
        <v>0</v>
      </c>
      <c r="I27" s="60">
        <f t="shared" si="50"/>
        <v>0</v>
      </c>
      <c r="J27" s="60">
        <f t="shared" si="50"/>
        <v>0</v>
      </c>
      <c r="K27" s="60">
        <f t="shared" si="50"/>
        <v>0</v>
      </c>
      <c r="L27" s="60">
        <f t="shared" si="50"/>
        <v>0</v>
      </c>
      <c r="M27" s="60">
        <f t="shared" si="50"/>
        <v>0</v>
      </c>
      <c r="N27" s="60">
        <f t="shared" si="50"/>
        <v>0</v>
      </c>
      <c r="O27" s="60">
        <f t="shared" si="50"/>
        <v>0</v>
      </c>
      <c r="P27" s="60">
        <f t="shared" si="50"/>
        <v>0</v>
      </c>
      <c r="Q27" s="60">
        <f t="shared" si="50"/>
        <v>0</v>
      </c>
      <c r="R27" s="60">
        <f t="shared" si="50"/>
        <v>0</v>
      </c>
      <c r="S27" s="60">
        <f t="shared" si="50"/>
        <v>0</v>
      </c>
      <c r="T27" s="60">
        <f t="shared" si="50"/>
        <v>0</v>
      </c>
      <c r="U27" s="60">
        <f t="shared" si="50"/>
        <v>0</v>
      </c>
      <c r="V27" s="60">
        <f t="shared" si="50"/>
        <v>0</v>
      </c>
      <c r="W27" s="60">
        <f t="shared" si="50"/>
        <v>0</v>
      </c>
      <c r="X27" s="60">
        <f t="shared" si="50"/>
        <v>0</v>
      </c>
      <c r="Y27" s="60">
        <f t="shared" si="50"/>
        <v>0</v>
      </c>
      <c r="Z27" s="60">
        <f t="shared" si="50"/>
        <v>0</v>
      </c>
      <c r="AA27" s="60">
        <f t="shared" si="50"/>
        <v>0</v>
      </c>
      <c r="AB27" s="60">
        <f t="shared" si="50"/>
        <v>0</v>
      </c>
      <c r="AC27" s="60">
        <f t="shared" si="50"/>
        <v>0</v>
      </c>
      <c r="AD27" s="60">
        <f t="shared" si="50"/>
        <v>0</v>
      </c>
      <c r="AE27" s="60">
        <f t="shared" si="50"/>
        <v>0</v>
      </c>
      <c r="AF27" s="60">
        <f t="shared" si="50"/>
        <v>0</v>
      </c>
      <c r="AG27" s="60">
        <f t="shared" si="50"/>
        <v>0</v>
      </c>
      <c r="AH27" s="60">
        <f t="shared" si="50"/>
        <v>0</v>
      </c>
      <c r="AI27" s="60">
        <f t="shared" si="50"/>
        <v>0</v>
      </c>
      <c r="AJ27" s="60">
        <f t="shared" si="50"/>
        <v>0</v>
      </c>
      <c r="AK27" s="60">
        <f t="shared" si="50"/>
        <v>0</v>
      </c>
      <c r="AL27" s="60">
        <f t="shared" si="50"/>
        <v>0</v>
      </c>
      <c r="AM27" s="60">
        <f t="shared" si="50"/>
        <v>0</v>
      </c>
      <c r="AN27" s="60">
        <f t="shared" si="50"/>
        <v>0</v>
      </c>
      <c r="AO27" s="60">
        <f t="shared" si="50"/>
        <v>0</v>
      </c>
      <c r="AP27" s="60">
        <f t="shared" si="50"/>
        <v>0</v>
      </c>
      <c r="AQ27" s="60">
        <f t="shared" si="50"/>
        <v>0</v>
      </c>
      <c r="AR27" s="60">
        <f t="shared" si="50"/>
        <v>0</v>
      </c>
      <c r="AS27" s="60">
        <f t="shared" si="50"/>
        <v>0</v>
      </c>
      <c r="AT27" s="60">
        <f t="shared" si="50"/>
        <v>0</v>
      </c>
      <c r="AU27" s="60">
        <f t="shared" si="50"/>
        <v>0</v>
      </c>
      <c r="AV27" s="60">
        <f t="shared" si="50"/>
        <v>0</v>
      </c>
      <c r="AW27" s="60">
        <f t="shared" si="50"/>
        <v>0</v>
      </c>
      <c r="AX27" s="60">
        <f t="shared" si="50"/>
        <v>0</v>
      </c>
      <c r="AY27" s="60">
        <f t="shared" si="50"/>
        <v>0</v>
      </c>
      <c r="AZ27" s="60">
        <f t="shared" si="50"/>
        <v>0</v>
      </c>
      <c r="BA27" s="60">
        <f t="shared" si="50"/>
        <v>0</v>
      </c>
      <c r="BB27" s="60">
        <f t="shared" si="50"/>
        <v>0</v>
      </c>
      <c r="BC27" s="60">
        <f t="shared" si="50"/>
        <v>0</v>
      </c>
      <c r="BD27" s="60">
        <f t="shared" si="50"/>
        <v>0</v>
      </c>
      <c r="BE27" s="60">
        <f t="shared" si="50"/>
        <v>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 of Customers using the AI TARGET</v>
      </c>
      <c r="C30" s="147"/>
      <c r="D30" s="147"/>
      <c r="E30" s="148"/>
      <c r="F30" s="59">
        <v>20</v>
      </c>
      <c r="G30" s="59">
        <f>F30</f>
        <v>20</v>
      </c>
      <c r="H30" s="59">
        <f t="shared" ref="H30:BE30" si="51">G30</f>
        <v>20</v>
      </c>
      <c r="I30" s="59">
        <f t="shared" si="51"/>
        <v>20</v>
      </c>
      <c r="J30" s="59">
        <f t="shared" si="51"/>
        <v>20</v>
      </c>
      <c r="K30" s="59">
        <f t="shared" si="51"/>
        <v>20</v>
      </c>
      <c r="L30" s="59">
        <f t="shared" si="51"/>
        <v>20</v>
      </c>
      <c r="M30" s="59">
        <f t="shared" si="51"/>
        <v>20</v>
      </c>
      <c r="N30" s="59">
        <f t="shared" si="51"/>
        <v>20</v>
      </c>
      <c r="O30" s="59">
        <f t="shared" si="51"/>
        <v>20</v>
      </c>
      <c r="P30" s="59">
        <f t="shared" si="51"/>
        <v>20</v>
      </c>
      <c r="Q30" s="59">
        <f t="shared" si="51"/>
        <v>20</v>
      </c>
      <c r="R30" s="59">
        <f t="shared" si="51"/>
        <v>20</v>
      </c>
      <c r="S30" s="59">
        <f t="shared" si="51"/>
        <v>20</v>
      </c>
      <c r="T30" s="59">
        <f t="shared" si="51"/>
        <v>20</v>
      </c>
      <c r="U30" s="59">
        <f t="shared" si="51"/>
        <v>20</v>
      </c>
      <c r="V30" s="59">
        <f t="shared" si="51"/>
        <v>20</v>
      </c>
      <c r="W30" s="59">
        <f t="shared" si="51"/>
        <v>20</v>
      </c>
      <c r="X30" s="59">
        <f t="shared" si="51"/>
        <v>20</v>
      </c>
      <c r="Y30" s="59">
        <f t="shared" si="51"/>
        <v>20</v>
      </c>
      <c r="Z30" s="59">
        <f t="shared" si="51"/>
        <v>20</v>
      </c>
      <c r="AA30" s="59">
        <f t="shared" si="51"/>
        <v>20</v>
      </c>
      <c r="AB30" s="59">
        <f t="shared" si="51"/>
        <v>20</v>
      </c>
      <c r="AC30" s="59">
        <f t="shared" si="51"/>
        <v>20</v>
      </c>
      <c r="AD30" s="59">
        <f t="shared" si="51"/>
        <v>20</v>
      </c>
      <c r="AE30" s="59">
        <f t="shared" si="51"/>
        <v>20</v>
      </c>
      <c r="AF30" s="59">
        <f t="shared" si="51"/>
        <v>20</v>
      </c>
      <c r="AG30" s="59">
        <f t="shared" si="51"/>
        <v>20</v>
      </c>
      <c r="AH30" s="59">
        <f t="shared" si="51"/>
        <v>20</v>
      </c>
      <c r="AI30" s="59">
        <f t="shared" si="51"/>
        <v>20</v>
      </c>
      <c r="AJ30" s="59">
        <f t="shared" si="51"/>
        <v>20</v>
      </c>
      <c r="AK30" s="59">
        <f t="shared" si="51"/>
        <v>20</v>
      </c>
      <c r="AL30" s="59">
        <f t="shared" si="51"/>
        <v>20</v>
      </c>
      <c r="AM30" s="59">
        <f t="shared" si="51"/>
        <v>20</v>
      </c>
      <c r="AN30" s="59">
        <f t="shared" si="51"/>
        <v>20</v>
      </c>
      <c r="AO30" s="59">
        <f t="shared" si="51"/>
        <v>20</v>
      </c>
      <c r="AP30" s="59">
        <f t="shared" si="51"/>
        <v>20</v>
      </c>
      <c r="AQ30" s="59">
        <f t="shared" si="51"/>
        <v>20</v>
      </c>
      <c r="AR30" s="59">
        <f t="shared" si="51"/>
        <v>20</v>
      </c>
      <c r="AS30" s="59">
        <f t="shared" si="51"/>
        <v>20</v>
      </c>
      <c r="AT30" s="59">
        <f t="shared" si="51"/>
        <v>20</v>
      </c>
      <c r="AU30" s="59">
        <f t="shared" si="51"/>
        <v>20</v>
      </c>
      <c r="AV30" s="59">
        <f t="shared" si="51"/>
        <v>20</v>
      </c>
      <c r="AW30" s="59">
        <f t="shared" si="51"/>
        <v>20</v>
      </c>
      <c r="AX30" s="59">
        <f t="shared" si="51"/>
        <v>20</v>
      </c>
      <c r="AY30" s="59">
        <f t="shared" si="51"/>
        <v>20</v>
      </c>
      <c r="AZ30" s="59">
        <f t="shared" si="51"/>
        <v>20</v>
      </c>
      <c r="BA30" s="59">
        <f t="shared" si="51"/>
        <v>20</v>
      </c>
      <c r="BB30" s="59">
        <f t="shared" si="51"/>
        <v>20</v>
      </c>
      <c r="BC30" s="59">
        <f t="shared" si="51"/>
        <v>20</v>
      </c>
      <c r="BD30" s="59">
        <f t="shared" si="51"/>
        <v>20</v>
      </c>
      <c r="BE30" s="59">
        <f t="shared" si="51"/>
        <v>20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-20</v>
      </c>
      <c r="G32" s="60">
        <f t="shared" ref="G32:BE32" si="52">G31-G30</f>
        <v>-20</v>
      </c>
      <c r="H32" s="60">
        <f t="shared" si="52"/>
        <v>-20</v>
      </c>
      <c r="I32" s="60">
        <f t="shared" si="52"/>
        <v>-20</v>
      </c>
      <c r="J32" s="60">
        <f t="shared" si="52"/>
        <v>-20</v>
      </c>
      <c r="K32" s="60">
        <f t="shared" si="52"/>
        <v>-20</v>
      </c>
      <c r="L32" s="60">
        <f t="shared" si="52"/>
        <v>-20</v>
      </c>
      <c r="M32" s="60">
        <f t="shared" si="52"/>
        <v>-20</v>
      </c>
      <c r="N32" s="60">
        <f t="shared" si="52"/>
        <v>-20</v>
      </c>
      <c r="O32" s="60">
        <f t="shared" si="52"/>
        <v>-20</v>
      </c>
      <c r="P32" s="60">
        <f t="shared" si="52"/>
        <v>-20</v>
      </c>
      <c r="Q32" s="60">
        <f t="shared" si="52"/>
        <v>-20</v>
      </c>
      <c r="R32" s="60">
        <f t="shared" si="52"/>
        <v>-20</v>
      </c>
      <c r="S32" s="60">
        <f t="shared" si="52"/>
        <v>-20</v>
      </c>
      <c r="T32" s="60">
        <f t="shared" si="52"/>
        <v>-20</v>
      </c>
      <c r="U32" s="60">
        <f t="shared" si="52"/>
        <v>-20</v>
      </c>
      <c r="V32" s="60">
        <f t="shared" si="52"/>
        <v>-20</v>
      </c>
      <c r="W32" s="60">
        <f t="shared" si="52"/>
        <v>-20</v>
      </c>
      <c r="X32" s="60">
        <f t="shared" si="52"/>
        <v>-20</v>
      </c>
      <c r="Y32" s="60">
        <f t="shared" si="52"/>
        <v>-20</v>
      </c>
      <c r="Z32" s="60">
        <f t="shared" si="52"/>
        <v>-20</v>
      </c>
      <c r="AA32" s="60">
        <f t="shared" si="52"/>
        <v>-20</v>
      </c>
      <c r="AB32" s="60">
        <f t="shared" si="52"/>
        <v>-20</v>
      </c>
      <c r="AC32" s="60">
        <f t="shared" si="52"/>
        <v>-20</v>
      </c>
      <c r="AD32" s="60">
        <f t="shared" si="52"/>
        <v>-20</v>
      </c>
      <c r="AE32" s="60">
        <f t="shared" si="52"/>
        <v>-20</v>
      </c>
      <c r="AF32" s="60">
        <f t="shared" si="52"/>
        <v>-20</v>
      </c>
      <c r="AG32" s="60">
        <f t="shared" si="52"/>
        <v>-20</v>
      </c>
      <c r="AH32" s="60">
        <f t="shared" si="52"/>
        <v>-20</v>
      </c>
      <c r="AI32" s="60">
        <f t="shared" si="52"/>
        <v>-20</v>
      </c>
      <c r="AJ32" s="60">
        <f t="shared" si="52"/>
        <v>-20</v>
      </c>
      <c r="AK32" s="60">
        <f t="shared" si="52"/>
        <v>-20</v>
      </c>
      <c r="AL32" s="60">
        <f t="shared" si="52"/>
        <v>-20</v>
      </c>
      <c r="AM32" s="60">
        <f t="shared" si="52"/>
        <v>-20</v>
      </c>
      <c r="AN32" s="60">
        <f t="shared" si="52"/>
        <v>-20</v>
      </c>
      <c r="AO32" s="60">
        <f t="shared" si="52"/>
        <v>-20</v>
      </c>
      <c r="AP32" s="60">
        <f t="shared" si="52"/>
        <v>-20</v>
      </c>
      <c r="AQ32" s="60">
        <f t="shared" si="52"/>
        <v>-20</v>
      </c>
      <c r="AR32" s="60">
        <f t="shared" si="52"/>
        <v>-20</v>
      </c>
      <c r="AS32" s="60">
        <f t="shared" si="52"/>
        <v>-20</v>
      </c>
      <c r="AT32" s="60">
        <f t="shared" si="52"/>
        <v>-20</v>
      </c>
      <c r="AU32" s="60">
        <f t="shared" si="52"/>
        <v>-20</v>
      </c>
      <c r="AV32" s="60">
        <f t="shared" si="52"/>
        <v>-20</v>
      </c>
      <c r="AW32" s="60">
        <f t="shared" si="52"/>
        <v>-20</v>
      </c>
      <c r="AX32" s="60">
        <f t="shared" si="52"/>
        <v>-20</v>
      </c>
      <c r="AY32" s="60">
        <f t="shared" si="52"/>
        <v>-20</v>
      </c>
      <c r="AZ32" s="60">
        <f t="shared" si="52"/>
        <v>-20</v>
      </c>
      <c r="BA32" s="60">
        <f t="shared" si="52"/>
        <v>-20</v>
      </c>
      <c r="BB32" s="60">
        <f t="shared" si="52"/>
        <v>-20</v>
      </c>
      <c r="BC32" s="60">
        <f t="shared" si="52"/>
        <v>-20</v>
      </c>
      <c r="BD32" s="60">
        <f t="shared" si="52"/>
        <v>-20</v>
      </c>
      <c r="BE32" s="60">
        <f t="shared" si="52"/>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Revenue Growth from AI-enhanced products TARGET</v>
      </c>
      <c r="C35" s="147"/>
      <c r="D35" s="147"/>
      <c r="E35" s="148"/>
      <c r="F35" s="59">
        <v>100</v>
      </c>
      <c r="G35" s="59">
        <f>F35</f>
        <v>100</v>
      </c>
      <c r="H35" s="59">
        <f t="shared" ref="H35:BE35" si="53">G35</f>
        <v>100</v>
      </c>
      <c r="I35" s="59">
        <f t="shared" si="53"/>
        <v>100</v>
      </c>
      <c r="J35" s="59">
        <f t="shared" si="53"/>
        <v>100</v>
      </c>
      <c r="K35" s="59">
        <f t="shared" si="53"/>
        <v>100</v>
      </c>
      <c r="L35" s="59">
        <f t="shared" si="53"/>
        <v>100</v>
      </c>
      <c r="M35" s="59">
        <f t="shared" si="53"/>
        <v>100</v>
      </c>
      <c r="N35" s="59">
        <f t="shared" si="53"/>
        <v>100</v>
      </c>
      <c r="O35" s="59">
        <f t="shared" si="53"/>
        <v>100</v>
      </c>
      <c r="P35" s="59">
        <f t="shared" si="53"/>
        <v>100</v>
      </c>
      <c r="Q35" s="59">
        <f t="shared" si="53"/>
        <v>100</v>
      </c>
      <c r="R35" s="59">
        <f t="shared" si="53"/>
        <v>100</v>
      </c>
      <c r="S35" s="59">
        <f t="shared" si="53"/>
        <v>100</v>
      </c>
      <c r="T35" s="59">
        <f t="shared" si="53"/>
        <v>100</v>
      </c>
      <c r="U35" s="59">
        <f t="shared" si="53"/>
        <v>100</v>
      </c>
      <c r="V35" s="59">
        <f t="shared" si="53"/>
        <v>100</v>
      </c>
      <c r="W35" s="59">
        <f t="shared" si="53"/>
        <v>100</v>
      </c>
      <c r="X35" s="59">
        <f t="shared" si="53"/>
        <v>100</v>
      </c>
      <c r="Y35" s="59">
        <f t="shared" si="53"/>
        <v>100</v>
      </c>
      <c r="Z35" s="59">
        <f t="shared" si="53"/>
        <v>100</v>
      </c>
      <c r="AA35" s="59">
        <f t="shared" si="53"/>
        <v>100</v>
      </c>
      <c r="AB35" s="59">
        <f t="shared" si="53"/>
        <v>100</v>
      </c>
      <c r="AC35" s="59">
        <f t="shared" si="53"/>
        <v>100</v>
      </c>
      <c r="AD35" s="59">
        <f t="shared" si="53"/>
        <v>100</v>
      </c>
      <c r="AE35" s="59">
        <f t="shared" si="53"/>
        <v>100</v>
      </c>
      <c r="AF35" s="59">
        <f t="shared" si="53"/>
        <v>100</v>
      </c>
      <c r="AG35" s="59">
        <f t="shared" si="53"/>
        <v>100</v>
      </c>
      <c r="AH35" s="59">
        <f t="shared" si="53"/>
        <v>100</v>
      </c>
      <c r="AI35" s="59">
        <f t="shared" si="53"/>
        <v>100</v>
      </c>
      <c r="AJ35" s="59">
        <f t="shared" si="53"/>
        <v>100</v>
      </c>
      <c r="AK35" s="59">
        <f t="shared" si="53"/>
        <v>100</v>
      </c>
      <c r="AL35" s="59">
        <f t="shared" si="53"/>
        <v>100</v>
      </c>
      <c r="AM35" s="59">
        <f t="shared" si="53"/>
        <v>100</v>
      </c>
      <c r="AN35" s="59">
        <f t="shared" si="53"/>
        <v>100</v>
      </c>
      <c r="AO35" s="59">
        <f t="shared" si="53"/>
        <v>100</v>
      </c>
      <c r="AP35" s="59">
        <f t="shared" si="53"/>
        <v>100</v>
      </c>
      <c r="AQ35" s="59">
        <f t="shared" si="53"/>
        <v>100</v>
      </c>
      <c r="AR35" s="59">
        <f t="shared" si="53"/>
        <v>100</v>
      </c>
      <c r="AS35" s="59">
        <f t="shared" si="53"/>
        <v>100</v>
      </c>
      <c r="AT35" s="59">
        <f t="shared" si="53"/>
        <v>100</v>
      </c>
      <c r="AU35" s="59">
        <f t="shared" si="53"/>
        <v>100</v>
      </c>
      <c r="AV35" s="59">
        <f t="shared" si="53"/>
        <v>100</v>
      </c>
      <c r="AW35" s="59">
        <f t="shared" si="53"/>
        <v>100</v>
      </c>
      <c r="AX35" s="59">
        <f t="shared" si="53"/>
        <v>100</v>
      </c>
      <c r="AY35" s="59">
        <f t="shared" si="53"/>
        <v>100</v>
      </c>
      <c r="AZ35" s="59">
        <f t="shared" si="53"/>
        <v>100</v>
      </c>
      <c r="BA35" s="59">
        <f t="shared" si="53"/>
        <v>100</v>
      </c>
      <c r="BB35" s="59">
        <f t="shared" si="53"/>
        <v>100</v>
      </c>
      <c r="BC35" s="59">
        <f t="shared" si="53"/>
        <v>100</v>
      </c>
      <c r="BD35" s="59">
        <f t="shared" si="53"/>
        <v>100</v>
      </c>
      <c r="BE35" s="59">
        <f t="shared" si="53"/>
        <v>100</v>
      </c>
    </row>
    <row r="36" spans="2:62">
      <c r="B36" s="146" t="s">
        <v>85</v>
      </c>
      <c r="C36" s="147"/>
      <c r="D36" s="147"/>
      <c r="E36" s="148"/>
      <c r="F36" s="59">
        <v>0</v>
      </c>
      <c r="G36" s="59">
        <v>0</v>
      </c>
      <c r="H36" s="59">
        <v>0</v>
      </c>
      <c r="I36" s="59">
        <v>0</v>
      </c>
      <c r="J36" s="59">
        <v>0</v>
      </c>
      <c r="K36" s="59">
        <v>0</v>
      </c>
      <c r="L36" s="59">
        <v>0</v>
      </c>
      <c r="M36" s="59">
        <v>0</v>
      </c>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row>
    <row r="37" spans="2:62">
      <c r="B37" s="146" t="s">
        <v>86</v>
      </c>
      <c r="C37" s="147"/>
      <c r="D37" s="147"/>
      <c r="E37" s="148"/>
      <c r="F37" s="60">
        <f>F36-F35</f>
        <v>-100</v>
      </c>
      <c r="G37" s="60">
        <f t="shared" ref="G37:BE37" si="54">G36-G35</f>
        <v>-100</v>
      </c>
      <c r="H37" s="60">
        <f t="shared" si="54"/>
        <v>-100</v>
      </c>
      <c r="I37" s="60">
        <f t="shared" si="54"/>
        <v>-100</v>
      </c>
      <c r="J37" s="60">
        <f t="shared" si="54"/>
        <v>-100</v>
      </c>
      <c r="K37" s="60">
        <f t="shared" si="54"/>
        <v>-100</v>
      </c>
      <c r="L37" s="60">
        <f t="shared" si="54"/>
        <v>-100</v>
      </c>
      <c r="M37" s="60">
        <f t="shared" si="54"/>
        <v>-100</v>
      </c>
      <c r="N37" s="60">
        <f t="shared" si="54"/>
        <v>-100</v>
      </c>
      <c r="O37" s="60">
        <f t="shared" si="54"/>
        <v>-100</v>
      </c>
      <c r="P37" s="60">
        <f t="shared" si="54"/>
        <v>-100</v>
      </c>
      <c r="Q37" s="60">
        <f t="shared" si="54"/>
        <v>-100</v>
      </c>
      <c r="R37" s="60">
        <f t="shared" si="54"/>
        <v>-100</v>
      </c>
      <c r="S37" s="60">
        <f t="shared" si="54"/>
        <v>-100</v>
      </c>
      <c r="T37" s="60">
        <f t="shared" si="54"/>
        <v>-100</v>
      </c>
      <c r="U37" s="60">
        <f t="shared" si="54"/>
        <v>-100</v>
      </c>
      <c r="V37" s="60">
        <f t="shared" si="54"/>
        <v>-100</v>
      </c>
      <c r="W37" s="60">
        <f t="shared" si="54"/>
        <v>-100</v>
      </c>
      <c r="X37" s="60">
        <f t="shared" si="54"/>
        <v>-100</v>
      </c>
      <c r="Y37" s="60">
        <f t="shared" si="54"/>
        <v>-100</v>
      </c>
      <c r="Z37" s="60">
        <f t="shared" si="54"/>
        <v>-100</v>
      </c>
      <c r="AA37" s="60">
        <f t="shared" si="54"/>
        <v>-100</v>
      </c>
      <c r="AB37" s="60">
        <f t="shared" si="54"/>
        <v>-100</v>
      </c>
      <c r="AC37" s="60">
        <f t="shared" si="54"/>
        <v>-100</v>
      </c>
      <c r="AD37" s="60">
        <f t="shared" si="54"/>
        <v>-100</v>
      </c>
      <c r="AE37" s="60">
        <f t="shared" si="54"/>
        <v>-100</v>
      </c>
      <c r="AF37" s="60">
        <f t="shared" si="54"/>
        <v>-100</v>
      </c>
      <c r="AG37" s="60">
        <f t="shared" si="54"/>
        <v>-100</v>
      </c>
      <c r="AH37" s="60">
        <f t="shared" si="54"/>
        <v>-100</v>
      </c>
      <c r="AI37" s="60">
        <f t="shared" si="54"/>
        <v>-100</v>
      </c>
      <c r="AJ37" s="60">
        <f t="shared" si="54"/>
        <v>-100</v>
      </c>
      <c r="AK37" s="60">
        <f t="shared" si="54"/>
        <v>-100</v>
      </c>
      <c r="AL37" s="60">
        <f t="shared" si="54"/>
        <v>-100</v>
      </c>
      <c r="AM37" s="60">
        <f t="shared" si="54"/>
        <v>-100</v>
      </c>
      <c r="AN37" s="60">
        <f t="shared" si="54"/>
        <v>-100</v>
      </c>
      <c r="AO37" s="60">
        <f t="shared" si="54"/>
        <v>-100</v>
      </c>
      <c r="AP37" s="60">
        <f t="shared" si="54"/>
        <v>-100</v>
      </c>
      <c r="AQ37" s="60">
        <f t="shared" si="54"/>
        <v>-100</v>
      </c>
      <c r="AR37" s="60">
        <f t="shared" si="54"/>
        <v>-100</v>
      </c>
      <c r="AS37" s="60">
        <f t="shared" si="54"/>
        <v>-100</v>
      </c>
      <c r="AT37" s="60">
        <f t="shared" si="54"/>
        <v>-100</v>
      </c>
      <c r="AU37" s="60">
        <f t="shared" si="54"/>
        <v>-100</v>
      </c>
      <c r="AV37" s="60">
        <f t="shared" si="54"/>
        <v>-100</v>
      </c>
      <c r="AW37" s="60">
        <f t="shared" si="54"/>
        <v>-100</v>
      </c>
      <c r="AX37" s="60">
        <f t="shared" si="54"/>
        <v>-100</v>
      </c>
      <c r="AY37" s="60">
        <f t="shared" si="54"/>
        <v>-100</v>
      </c>
      <c r="AZ37" s="60">
        <f t="shared" si="54"/>
        <v>-100</v>
      </c>
      <c r="BA37" s="60">
        <f t="shared" si="54"/>
        <v>-100</v>
      </c>
      <c r="BB37" s="60">
        <f t="shared" si="54"/>
        <v>-100</v>
      </c>
      <c r="BC37" s="60">
        <f t="shared" si="54"/>
        <v>-100</v>
      </c>
      <c r="BD37" s="60">
        <f t="shared" si="54"/>
        <v>-100</v>
      </c>
      <c r="BE37" s="60">
        <f t="shared" si="54"/>
        <v>-100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100</v>
      </c>
      <c r="G41" s="33">
        <f t="shared" si="55"/>
        <v>100</v>
      </c>
      <c r="H41" s="33">
        <f t="shared" si="55"/>
        <v>100</v>
      </c>
      <c r="I41" s="33">
        <f t="shared" si="55"/>
        <v>100</v>
      </c>
      <c r="J41" s="33">
        <f t="shared" si="55"/>
        <v>100</v>
      </c>
      <c r="K41" s="33">
        <f t="shared" si="55"/>
        <v>100</v>
      </c>
      <c r="L41" s="33">
        <f t="shared" si="55"/>
        <v>100</v>
      </c>
      <c r="M41" s="33">
        <f t="shared" si="55"/>
        <v>100</v>
      </c>
      <c r="N41" s="33">
        <f t="shared" si="55"/>
        <v>100</v>
      </c>
      <c r="O41" s="33">
        <f t="shared" si="55"/>
        <v>100</v>
      </c>
      <c r="P41" s="33">
        <f t="shared" si="55"/>
        <v>100</v>
      </c>
      <c r="Q41" s="33">
        <f t="shared" si="55"/>
        <v>100</v>
      </c>
      <c r="R41" s="33">
        <f t="shared" si="55"/>
        <v>100</v>
      </c>
      <c r="S41" s="33">
        <f t="shared" si="55"/>
        <v>100</v>
      </c>
      <c r="T41" s="33">
        <f t="shared" si="55"/>
        <v>100</v>
      </c>
      <c r="U41" s="33">
        <f t="shared" si="55"/>
        <v>100</v>
      </c>
      <c r="V41" s="33">
        <f t="shared" si="55"/>
        <v>100</v>
      </c>
      <c r="W41" s="33">
        <f t="shared" si="55"/>
        <v>100</v>
      </c>
      <c r="X41" s="33">
        <f t="shared" si="55"/>
        <v>100</v>
      </c>
      <c r="Y41" s="33">
        <f t="shared" si="55"/>
        <v>100</v>
      </c>
      <c r="Z41" s="33">
        <f t="shared" si="55"/>
        <v>100</v>
      </c>
      <c r="AA41" s="33">
        <f t="shared" si="55"/>
        <v>100</v>
      </c>
      <c r="AB41" s="33">
        <f t="shared" si="55"/>
        <v>100</v>
      </c>
      <c r="AC41" s="33">
        <f t="shared" si="55"/>
        <v>100</v>
      </c>
      <c r="AD41" s="33">
        <f t="shared" si="55"/>
        <v>100</v>
      </c>
      <c r="AE41" s="33">
        <f t="shared" si="55"/>
        <v>100</v>
      </c>
      <c r="AF41" s="33">
        <f t="shared" si="55"/>
        <v>100</v>
      </c>
      <c r="AG41" s="33">
        <f t="shared" si="55"/>
        <v>100</v>
      </c>
      <c r="AH41" s="33">
        <f t="shared" si="55"/>
        <v>100</v>
      </c>
      <c r="AI41" s="33">
        <f t="shared" si="55"/>
        <v>100</v>
      </c>
      <c r="AJ41" s="33">
        <f t="shared" si="55"/>
        <v>100</v>
      </c>
      <c r="AK41" s="33">
        <f t="shared" si="55"/>
        <v>100</v>
      </c>
      <c r="AL41" s="33">
        <f t="shared" ref="AL41:BE41" si="56">IF($X$12="Revenue Impact",AL35,0)</f>
        <v>100</v>
      </c>
      <c r="AM41" s="33">
        <f t="shared" si="56"/>
        <v>100</v>
      </c>
      <c r="AN41" s="33">
        <f t="shared" si="56"/>
        <v>100</v>
      </c>
      <c r="AO41" s="33">
        <f t="shared" si="56"/>
        <v>100</v>
      </c>
      <c r="AP41" s="33">
        <f t="shared" si="56"/>
        <v>100</v>
      </c>
      <c r="AQ41" s="33">
        <f t="shared" si="56"/>
        <v>100</v>
      </c>
      <c r="AR41" s="33">
        <f t="shared" si="56"/>
        <v>100</v>
      </c>
      <c r="AS41" s="33">
        <f t="shared" si="56"/>
        <v>100</v>
      </c>
      <c r="AT41" s="33">
        <f t="shared" si="56"/>
        <v>100</v>
      </c>
      <c r="AU41" s="33">
        <f t="shared" si="56"/>
        <v>100</v>
      </c>
      <c r="AV41" s="33">
        <f t="shared" si="56"/>
        <v>100</v>
      </c>
      <c r="AW41" s="33">
        <f t="shared" si="56"/>
        <v>100</v>
      </c>
      <c r="AX41" s="33">
        <f t="shared" si="56"/>
        <v>100</v>
      </c>
      <c r="AY41" s="33">
        <f t="shared" si="56"/>
        <v>100</v>
      </c>
      <c r="AZ41" s="33">
        <f t="shared" si="56"/>
        <v>100</v>
      </c>
      <c r="BA41" s="33">
        <f t="shared" si="56"/>
        <v>100</v>
      </c>
      <c r="BB41" s="33">
        <f t="shared" si="56"/>
        <v>100</v>
      </c>
      <c r="BC41" s="33">
        <f t="shared" si="56"/>
        <v>100</v>
      </c>
      <c r="BD41" s="33">
        <f t="shared" si="56"/>
        <v>100</v>
      </c>
      <c r="BE41" s="33">
        <f t="shared" si="56"/>
        <v>100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100</v>
      </c>
      <c r="G47" s="33">
        <f t="shared" ref="G47:BE47" si="63">G41+G44</f>
        <v>100</v>
      </c>
      <c r="H47" s="33">
        <f t="shared" si="63"/>
        <v>100</v>
      </c>
      <c r="I47" s="33">
        <f t="shared" si="63"/>
        <v>100</v>
      </c>
      <c r="J47" s="33">
        <f t="shared" si="63"/>
        <v>100</v>
      </c>
      <c r="K47" s="33">
        <f t="shared" si="63"/>
        <v>100</v>
      </c>
      <c r="L47" s="33">
        <f t="shared" si="63"/>
        <v>100</v>
      </c>
      <c r="M47" s="33">
        <f t="shared" si="63"/>
        <v>100</v>
      </c>
      <c r="N47" s="33">
        <f t="shared" si="63"/>
        <v>100</v>
      </c>
      <c r="O47" s="33">
        <f t="shared" si="63"/>
        <v>100</v>
      </c>
      <c r="P47" s="33">
        <f t="shared" si="63"/>
        <v>100</v>
      </c>
      <c r="Q47" s="33">
        <f t="shared" si="63"/>
        <v>100</v>
      </c>
      <c r="R47" s="33">
        <f t="shared" si="63"/>
        <v>100</v>
      </c>
      <c r="S47" s="33">
        <f t="shared" si="63"/>
        <v>100</v>
      </c>
      <c r="T47" s="33">
        <f t="shared" si="63"/>
        <v>100</v>
      </c>
      <c r="U47" s="33">
        <f t="shared" si="63"/>
        <v>100</v>
      </c>
      <c r="V47" s="33">
        <f t="shared" si="63"/>
        <v>100</v>
      </c>
      <c r="W47" s="33">
        <f t="shared" si="63"/>
        <v>100</v>
      </c>
      <c r="X47" s="33">
        <f t="shared" si="63"/>
        <v>100</v>
      </c>
      <c r="Y47" s="33">
        <f t="shared" si="63"/>
        <v>100</v>
      </c>
      <c r="Z47" s="33">
        <f t="shared" si="63"/>
        <v>100</v>
      </c>
      <c r="AA47" s="33">
        <f t="shared" si="63"/>
        <v>100</v>
      </c>
      <c r="AB47" s="33">
        <f t="shared" si="63"/>
        <v>100</v>
      </c>
      <c r="AC47" s="33">
        <f t="shared" si="63"/>
        <v>100</v>
      </c>
      <c r="AD47" s="33">
        <f t="shared" si="63"/>
        <v>100</v>
      </c>
      <c r="AE47" s="33">
        <f t="shared" si="63"/>
        <v>100</v>
      </c>
      <c r="AF47" s="33">
        <f t="shared" si="63"/>
        <v>100</v>
      </c>
      <c r="AG47" s="33">
        <f t="shared" si="63"/>
        <v>100</v>
      </c>
      <c r="AH47" s="33">
        <f t="shared" si="63"/>
        <v>100</v>
      </c>
      <c r="AI47" s="33">
        <f t="shared" si="63"/>
        <v>100</v>
      </c>
      <c r="AJ47" s="33">
        <f t="shared" si="63"/>
        <v>100</v>
      </c>
      <c r="AK47" s="33">
        <f t="shared" si="63"/>
        <v>100</v>
      </c>
      <c r="AL47" s="33">
        <f t="shared" si="63"/>
        <v>100</v>
      </c>
      <c r="AM47" s="33">
        <f t="shared" si="63"/>
        <v>100</v>
      </c>
      <c r="AN47" s="33">
        <f t="shared" si="63"/>
        <v>100</v>
      </c>
      <c r="AO47" s="33">
        <f t="shared" si="63"/>
        <v>100</v>
      </c>
      <c r="AP47" s="33">
        <f t="shared" si="63"/>
        <v>100</v>
      </c>
      <c r="AQ47" s="33">
        <f t="shared" si="63"/>
        <v>100</v>
      </c>
      <c r="AR47" s="33">
        <f t="shared" si="63"/>
        <v>100</v>
      </c>
      <c r="AS47" s="33">
        <f t="shared" si="63"/>
        <v>100</v>
      </c>
      <c r="AT47" s="33">
        <f t="shared" si="63"/>
        <v>100</v>
      </c>
      <c r="AU47" s="33">
        <f t="shared" si="63"/>
        <v>100</v>
      </c>
      <c r="AV47" s="33">
        <f t="shared" si="63"/>
        <v>100</v>
      </c>
      <c r="AW47" s="33">
        <f t="shared" si="63"/>
        <v>100</v>
      </c>
      <c r="AX47" s="33">
        <f t="shared" si="63"/>
        <v>100</v>
      </c>
      <c r="AY47" s="33">
        <f t="shared" si="63"/>
        <v>100</v>
      </c>
      <c r="AZ47" s="33">
        <f t="shared" si="63"/>
        <v>100</v>
      </c>
      <c r="BA47" s="33">
        <f t="shared" si="63"/>
        <v>100</v>
      </c>
      <c r="BB47" s="33">
        <f t="shared" si="63"/>
        <v>100</v>
      </c>
      <c r="BC47" s="33">
        <f t="shared" si="63"/>
        <v>100</v>
      </c>
      <c r="BD47" s="33">
        <f t="shared" si="63"/>
        <v>100</v>
      </c>
      <c r="BE47" s="33">
        <f t="shared" si="63"/>
        <v>100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6" priority="1" operator="equal">
      <formula>"No Change"</formula>
    </cfRule>
    <cfRule type="cellIs" dxfId="35" priority="2" operator="equal">
      <formula>"Progression"</formula>
    </cfRule>
  </conditionalFormatting>
  <conditionalFormatting sqref="AU10:AU21">
    <cfRule type="expression" dxfId="34" priority="3">
      <formula>IFERROR(FIND("Ahead",AU10),0)&gt;0</formula>
    </cfRule>
    <cfRule type="expression" dxfId="33" priority="4">
      <formula>IFERROR(FIND("Overdue",AU10),0)&gt;0</formula>
    </cfRule>
    <cfRule type="cellIs" dxfId="32" priority="5" operator="equal">
      <formula>"Met Target"</formula>
    </cfRule>
    <cfRule type="cellIs" dxfId="31" priority="6" operator="equal">
      <formula>"Missing Target"</formula>
    </cfRule>
    <cfRule type="expression" dxfId="3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24" activePane="bottomRight" state="frozen"/>
      <selection pane="bottomRight" activeCell="AB35" sqref="AB35"/>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150</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Customer Feature - New</v>
      </c>
      <c r="AP3" s="87"/>
      <c r="AQ3" s="87"/>
      <c r="AR3" s="87"/>
      <c r="AS3" s="87"/>
      <c r="AT3" s="87"/>
      <c r="AU3" s="87"/>
      <c r="AV3" s="92">
        <f>IF(F7="",0,VLOOKUP(F7,Lookups!B4:H8,3))</f>
        <v>200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Dev</v>
      </c>
      <c r="AP4" s="87"/>
      <c r="AQ4" s="87"/>
      <c r="AR4" s="87"/>
      <c r="AS4" s="87"/>
      <c r="AT4" s="87"/>
      <c r="AU4" s="87"/>
      <c r="AV4" s="89">
        <f ca="1">IF(AO4="Not Def",0,VLOOKUP(AO4,Lookups!L4:M8,2))</f>
        <v>0.4</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151</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Idea</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96</v>
      </c>
      <c r="AW6" s="104"/>
      <c r="AX6" s="104"/>
      <c r="AY6" s="18"/>
      <c r="AZ6" s="18"/>
      <c r="BA6" s="18"/>
      <c r="BB6" s="18"/>
      <c r="BC6" s="18"/>
      <c r="BD6" s="18"/>
      <c r="BH6" s="13"/>
      <c r="BI6" s="17"/>
      <c r="BJ6" s="17"/>
      <c r="BK6" s="17"/>
    </row>
    <row r="7" spans="2:71" ht="28.5" customHeight="1" thickBot="1">
      <c r="B7" s="99" t="s">
        <v>34</v>
      </c>
      <c r="C7" s="100"/>
      <c r="D7" s="100"/>
      <c r="E7" s="101"/>
      <c r="F7" s="105" t="s">
        <v>117</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Customer Feature - New</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Predictive analytics modules, AI-powered workflow automation, intelligent decision support systems</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45658</v>
      </c>
      <c r="AP10" s="114"/>
      <c r="AQ10" s="114"/>
      <c r="AR10" s="114">
        <v>45658</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45658</v>
      </c>
      <c r="AP11" s="114"/>
      <c r="AQ11" s="114"/>
      <c r="AR11" s="114">
        <v>45658</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Market Differentiation</v>
      </c>
      <c r="G12" s="117"/>
      <c r="H12" s="117"/>
      <c r="I12" s="117"/>
      <c r="J12" s="117"/>
      <c r="K12" s="117"/>
      <c r="L12" s="117"/>
      <c r="M12" s="118"/>
      <c r="O12" s="116" t="str">
        <f>IF(F7="","",VLOOKUP(F7,Lookups!B4:H8,6))</f>
        <v>Competitive Advantage</v>
      </c>
      <c r="P12" s="117"/>
      <c r="Q12" s="117"/>
      <c r="R12" s="117"/>
      <c r="S12" s="117"/>
      <c r="T12" s="117"/>
      <c r="U12" s="117"/>
      <c r="V12" s="118"/>
      <c r="X12" s="116" t="str">
        <f>IF(F7="","",VLOOKUP(F7,Lookups!B4:H8,7))</f>
        <v>Revenue Impact</v>
      </c>
      <c r="Y12" s="117"/>
      <c r="Z12" s="117"/>
      <c r="AA12" s="117"/>
      <c r="AB12" s="117"/>
      <c r="AC12" s="117"/>
      <c r="AD12" s="117"/>
      <c r="AE12" s="118"/>
      <c r="AG12" s="121"/>
      <c r="AH12" s="121"/>
      <c r="AI12" s="121"/>
      <c r="AJ12" s="122" t="s">
        <v>50</v>
      </c>
      <c r="AK12" s="122"/>
      <c r="AL12" s="122"/>
      <c r="AM12" s="122"/>
      <c r="AN12" s="122"/>
      <c r="AO12" s="114">
        <v>45658</v>
      </c>
      <c r="AP12" s="114"/>
      <c r="AQ12" s="114"/>
      <c r="AR12" s="114">
        <v>45658</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152</v>
      </c>
      <c r="C13" s="124"/>
      <c r="D13" s="125"/>
      <c r="F13" s="24" t="s">
        <v>52</v>
      </c>
      <c r="G13" s="71" t="s">
        <v>138</v>
      </c>
      <c r="H13" s="72"/>
      <c r="I13" s="72"/>
      <c r="J13" s="72"/>
      <c r="K13" s="72"/>
      <c r="L13" s="72"/>
      <c r="M13" s="73"/>
      <c r="O13" s="24" t="s">
        <v>52</v>
      </c>
      <c r="P13" s="71" t="s">
        <v>130</v>
      </c>
      <c r="Q13" s="72"/>
      <c r="R13" s="72"/>
      <c r="S13" s="72"/>
      <c r="T13" s="72"/>
      <c r="U13" s="72"/>
      <c r="V13" s="73"/>
      <c r="X13" s="24" t="s">
        <v>52</v>
      </c>
      <c r="Y13" s="71" t="s">
        <v>146</v>
      </c>
      <c r="Z13" s="72"/>
      <c r="AA13" s="72"/>
      <c r="AB13" s="72"/>
      <c r="AC13" s="72"/>
      <c r="AD13" s="72"/>
      <c r="AE13" s="73"/>
      <c r="AG13" s="121" t="s">
        <v>56</v>
      </c>
      <c r="AH13" s="121"/>
      <c r="AI13" s="121"/>
      <c r="AJ13" s="122" t="s">
        <v>57</v>
      </c>
      <c r="AK13" s="122"/>
      <c r="AL13" s="122"/>
      <c r="AM13" s="122"/>
      <c r="AN13" s="122"/>
      <c r="AO13" s="114">
        <v>45931</v>
      </c>
      <c r="AP13" s="114"/>
      <c r="AQ13" s="114"/>
      <c r="AR13" s="114">
        <v>45931</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45931</v>
      </c>
      <c r="AP14" s="114"/>
      <c r="AQ14" s="114"/>
      <c r="AR14" s="114">
        <v>45931</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153</v>
      </c>
      <c r="G15" s="133"/>
      <c r="H15" s="133"/>
      <c r="I15" s="133"/>
      <c r="J15" s="133"/>
      <c r="K15" s="133"/>
      <c r="L15" s="133"/>
      <c r="M15" s="134"/>
      <c r="O15" s="132" t="s">
        <v>154</v>
      </c>
      <c r="P15" s="133"/>
      <c r="Q15" s="133"/>
      <c r="R15" s="133"/>
      <c r="S15" s="133"/>
      <c r="T15" s="133"/>
      <c r="U15" s="133"/>
      <c r="V15" s="134"/>
      <c r="X15" s="132" t="s">
        <v>155</v>
      </c>
      <c r="Y15" s="133"/>
      <c r="Z15" s="133"/>
      <c r="AA15" s="133"/>
      <c r="AB15" s="133"/>
      <c r="AC15" s="133"/>
      <c r="AD15" s="133"/>
      <c r="AE15" s="134"/>
      <c r="AG15" s="121"/>
      <c r="AH15" s="121"/>
      <c r="AI15" s="121"/>
      <c r="AJ15" s="122" t="s">
        <v>62</v>
      </c>
      <c r="AK15" s="122"/>
      <c r="AL15" s="122"/>
      <c r="AM15" s="122"/>
      <c r="AN15" s="122"/>
      <c r="AO15" s="114">
        <v>46112</v>
      </c>
      <c r="AP15" s="114"/>
      <c r="AQ15" s="114"/>
      <c r="AR15" s="114"/>
      <c r="AS15" s="114"/>
      <c r="AT15" s="114"/>
      <c r="AU15" s="115" t="str">
        <f t="shared" ref="AU15:AU21" ca="1" si="1">IF(AO15=$A$1,"Missing Target",IF(AR15=$A$1,IF($AZ$3&gt;AO15,INT($AZ$3-AO15)&amp;" Day(s) Overdue","Incomplete"),IF(AR15&gt;AO15,INT(AR15-AO15)&amp;" Day(s) Late",IF(AR15=AO15,"OK",INT(AO15-AR15)&amp;" Day(s) Ahead"))))</f>
        <v>Incomplete</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46233</v>
      </c>
      <c r="AP16" s="114"/>
      <c r="AQ16" s="114"/>
      <c r="AR16" s="114"/>
      <c r="AS16" s="114"/>
      <c r="AT16" s="114"/>
      <c r="AU16" s="115" t="str">
        <f t="shared" ca="1" si="1"/>
        <v>Incomplete</v>
      </c>
      <c r="AV16" s="115"/>
      <c r="AW16" s="115"/>
      <c r="AX16" s="115"/>
      <c r="AY16" s="158"/>
      <c r="AZ16" s="158"/>
      <c r="BA16" s="158"/>
      <c r="BB16" s="158"/>
      <c r="BC16" s="158"/>
      <c r="BD16" s="158"/>
      <c r="BE16" s="158"/>
      <c r="BL16" s="15"/>
      <c r="BS16" s="12"/>
    </row>
    <row r="17" spans="2:71" ht="28.5" customHeight="1" thickBot="1">
      <c r="B17" s="25" t="s">
        <v>3</v>
      </c>
      <c r="C17" s="141" t="s">
        <v>65</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46264</v>
      </c>
      <c r="AP17" s="114"/>
      <c r="AQ17" s="114"/>
      <c r="AR17" s="114"/>
      <c r="AS17" s="114"/>
      <c r="AT17" s="114"/>
      <c r="AU17" s="115" t="str">
        <f t="shared" ca="1" si="1"/>
        <v>Incomplete</v>
      </c>
      <c r="AV17" s="115"/>
      <c r="AW17" s="115"/>
      <c r="AX17" s="115"/>
      <c r="AY17" s="158"/>
      <c r="AZ17" s="158"/>
      <c r="BA17" s="158"/>
      <c r="BB17" s="158"/>
      <c r="BC17" s="158"/>
      <c r="BD17" s="158"/>
      <c r="BE17" s="158"/>
      <c r="BL17" s="15"/>
      <c r="BS17" s="12"/>
    </row>
    <row r="18" spans="2:71" ht="28.5" customHeight="1" thickBot="1">
      <c r="B18" s="25" t="s">
        <v>67</v>
      </c>
      <c r="C18" s="74" t="s">
        <v>123</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46264</v>
      </c>
      <c r="AP18" s="114"/>
      <c r="AQ18" s="114"/>
      <c r="AR18" s="114"/>
      <c r="AS18" s="114"/>
      <c r="AT18" s="114"/>
      <c r="AU18" s="115" t="str">
        <f t="shared" ca="1" si="1"/>
        <v>Incomplete</v>
      </c>
      <c r="AV18" s="115"/>
      <c r="AW18" s="115"/>
      <c r="AX18" s="115"/>
      <c r="AY18" s="158"/>
      <c r="AZ18" s="158"/>
      <c r="BA18" s="158"/>
      <c r="BB18" s="158"/>
      <c r="BC18" s="158"/>
      <c r="BD18" s="158"/>
      <c r="BE18" s="158"/>
      <c r="BL18" s="15"/>
      <c r="BS18" s="12"/>
    </row>
    <row r="19" spans="2:71" ht="28.5" customHeight="1" thickBot="1">
      <c r="B19" s="25" t="s">
        <v>71</v>
      </c>
      <c r="C19" s="74" t="s">
        <v>72</v>
      </c>
      <c r="D19" s="76"/>
      <c r="F19" s="132" t="s">
        <v>156</v>
      </c>
      <c r="G19" s="133"/>
      <c r="H19" s="133"/>
      <c r="I19" s="133"/>
      <c r="J19" s="133"/>
      <c r="K19" s="133"/>
      <c r="L19" s="133"/>
      <c r="M19" s="134"/>
      <c r="O19" s="132" t="s">
        <v>157</v>
      </c>
      <c r="P19" s="133"/>
      <c r="Q19" s="133"/>
      <c r="R19" s="133"/>
      <c r="S19" s="133"/>
      <c r="T19" s="133"/>
      <c r="U19" s="133"/>
      <c r="V19" s="134"/>
      <c r="X19" s="132" t="s">
        <v>158</v>
      </c>
      <c r="Y19" s="133"/>
      <c r="Z19" s="133"/>
      <c r="AA19" s="133"/>
      <c r="AB19" s="133"/>
      <c r="AC19" s="133"/>
      <c r="AD19" s="133"/>
      <c r="AE19" s="134"/>
      <c r="AF19" s="26"/>
      <c r="AG19" s="121" t="s">
        <v>75</v>
      </c>
      <c r="AH19" s="121"/>
      <c r="AI19" s="121"/>
      <c r="AJ19" s="122" t="s">
        <v>76</v>
      </c>
      <c r="AK19" s="122"/>
      <c r="AL19" s="122"/>
      <c r="AM19" s="122"/>
      <c r="AN19" s="122"/>
      <c r="AO19" s="114">
        <v>46295</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46296</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46297</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46233</v>
      </c>
      <c r="G24" s="31">
        <f>F24+7</f>
        <v>46240</v>
      </c>
      <c r="H24" s="31">
        <f t="shared" ref="H24:BE24" si="4">G24+7</f>
        <v>46247</v>
      </c>
      <c r="I24" s="31">
        <f t="shared" si="4"/>
        <v>46254</v>
      </c>
      <c r="J24" s="31">
        <f t="shared" si="4"/>
        <v>46261</v>
      </c>
      <c r="K24" s="31">
        <f t="shared" si="4"/>
        <v>46268</v>
      </c>
      <c r="L24" s="31">
        <f t="shared" si="4"/>
        <v>46275</v>
      </c>
      <c r="M24" s="31">
        <f t="shared" si="4"/>
        <v>46282</v>
      </c>
      <c r="N24" s="31">
        <f t="shared" si="4"/>
        <v>46289</v>
      </c>
      <c r="O24" s="31">
        <f t="shared" si="4"/>
        <v>46296</v>
      </c>
      <c r="P24" s="31">
        <f t="shared" si="4"/>
        <v>46303</v>
      </c>
      <c r="Q24" s="31">
        <f t="shared" si="4"/>
        <v>46310</v>
      </c>
      <c r="R24" s="31">
        <f t="shared" si="4"/>
        <v>46317</v>
      </c>
      <c r="S24" s="31">
        <f t="shared" si="4"/>
        <v>46324</v>
      </c>
      <c r="T24" s="31">
        <f t="shared" si="4"/>
        <v>46331</v>
      </c>
      <c r="U24" s="31">
        <f t="shared" si="4"/>
        <v>46338</v>
      </c>
      <c r="V24" s="31">
        <f t="shared" si="4"/>
        <v>46345</v>
      </c>
      <c r="W24" s="31">
        <f t="shared" si="4"/>
        <v>46352</v>
      </c>
      <c r="X24" s="31">
        <f t="shared" si="4"/>
        <v>46359</v>
      </c>
      <c r="Y24" s="31">
        <f t="shared" si="4"/>
        <v>46366</v>
      </c>
      <c r="Z24" s="31">
        <f t="shared" si="4"/>
        <v>46373</v>
      </c>
      <c r="AA24" s="31">
        <f t="shared" si="4"/>
        <v>46380</v>
      </c>
      <c r="AB24" s="31">
        <f t="shared" si="4"/>
        <v>46387</v>
      </c>
      <c r="AC24" s="31">
        <f t="shared" si="4"/>
        <v>46394</v>
      </c>
      <c r="AD24" s="31">
        <f t="shared" si="4"/>
        <v>46401</v>
      </c>
      <c r="AE24" s="31">
        <f t="shared" si="4"/>
        <v>46408</v>
      </c>
      <c r="AF24" s="31">
        <f t="shared" si="4"/>
        <v>46415</v>
      </c>
      <c r="AG24" s="31">
        <f t="shared" si="4"/>
        <v>46422</v>
      </c>
      <c r="AH24" s="31">
        <f t="shared" si="4"/>
        <v>46429</v>
      </c>
      <c r="AI24" s="31">
        <f t="shared" si="4"/>
        <v>46436</v>
      </c>
      <c r="AJ24" s="31">
        <f t="shared" si="4"/>
        <v>46443</v>
      </c>
      <c r="AK24" s="31">
        <f t="shared" si="4"/>
        <v>46450</v>
      </c>
      <c r="AL24" s="31">
        <f t="shared" si="4"/>
        <v>46457</v>
      </c>
      <c r="AM24" s="31">
        <f t="shared" si="4"/>
        <v>46464</v>
      </c>
      <c r="AN24" s="31">
        <f t="shared" si="4"/>
        <v>46471</v>
      </c>
      <c r="AO24" s="31">
        <f t="shared" si="4"/>
        <v>46478</v>
      </c>
      <c r="AP24" s="31">
        <f t="shared" si="4"/>
        <v>46485</v>
      </c>
      <c r="AQ24" s="31">
        <f t="shared" si="4"/>
        <v>46492</v>
      </c>
      <c r="AR24" s="31">
        <f t="shared" si="4"/>
        <v>46499</v>
      </c>
      <c r="AS24" s="31">
        <f t="shared" si="4"/>
        <v>46506</v>
      </c>
      <c r="AT24" s="31">
        <f t="shared" si="4"/>
        <v>46513</v>
      </c>
      <c r="AU24" s="31">
        <f t="shared" si="4"/>
        <v>46520</v>
      </c>
      <c r="AV24" s="31">
        <f t="shared" si="4"/>
        <v>46527</v>
      </c>
      <c r="AW24" s="31">
        <f t="shared" si="4"/>
        <v>46534</v>
      </c>
      <c r="AX24" s="31">
        <f t="shared" si="4"/>
        <v>46541</v>
      </c>
      <c r="AY24" s="31">
        <f t="shared" si="4"/>
        <v>46548</v>
      </c>
      <c r="AZ24" s="31">
        <f t="shared" si="4"/>
        <v>46555</v>
      </c>
      <c r="BA24" s="31">
        <f t="shared" si="4"/>
        <v>46562</v>
      </c>
      <c r="BB24" s="31">
        <f t="shared" si="4"/>
        <v>46569</v>
      </c>
      <c r="BC24" s="31">
        <f t="shared" si="4"/>
        <v>46576</v>
      </c>
      <c r="BD24" s="31">
        <f t="shared" si="4"/>
        <v>46583</v>
      </c>
      <c r="BE24" s="31">
        <f t="shared" si="4"/>
        <v>46590</v>
      </c>
      <c r="BJ24" s="21"/>
    </row>
    <row r="25" spans="2:71">
      <c r="B25" s="146" t="str">
        <f>G13&amp;" TARGET"</f>
        <v># of Customers using the AI TARGET</v>
      </c>
      <c r="C25" s="147"/>
      <c r="D25" s="147"/>
      <c r="E25" s="148"/>
      <c r="F25" s="59">
        <v>20</v>
      </c>
      <c r="G25" s="59">
        <f>F25</f>
        <v>20</v>
      </c>
      <c r="H25" s="59">
        <f t="shared" ref="H25:M25" si="5">G25</f>
        <v>20</v>
      </c>
      <c r="I25" s="59">
        <f t="shared" si="5"/>
        <v>20</v>
      </c>
      <c r="J25" s="59">
        <f t="shared" si="5"/>
        <v>20</v>
      </c>
      <c r="K25" s="59">
        <f t="shared" si="5"/>
        <v>20</v>
      </c>
      <c r="L25" s="59">
        <f t="shared" si="5"/>
        <v>20</v>
      </c>
      <c r="M25" s="59">
        <f t="shared" si="5"/>
        <v>20</v>
      </c>
      <c r="N25" s="59">
        <f t="shared" ref="N25" si="6">M25</f>
        <v>20</v>
      </c>
      <c r="O25" s="59">
        <f t="shared" ref="O25" si="7">N25</f>
        <v>20</v>
      </c>
      <c r="P25" s="59">
        <f t="shared" ref="P25" si="8">O25</f>
        <v>20</v>
      </c>
      <c r="Q25" s="59">
        <f t="shared" ref="Q25" si="9">P25</f>
        <v>20</v>
      </c>
      <c r="R25" s="59">
        <f t="shared" ref="R25" si="10">Q25</f>
        <v>20</v>
      </c>
      <c r="S25" s="59">
        <f t="shared" ref="S25" si="11">R25</f>
        <v>20</v>
      </c>
      <c r="T25" s="59">
        <f t="shared" ref="T25" si="12">S25</f>
        <v>20</v>
      </c>
      <c r="U25" s="59">
        <f t="shared" ref="U25" si="13">T25</f>
        <v>20</v>
      </c>
      <c r="V25" s="59">
        <f t="shared" ref="V25" si="14">U25</f>
        <v>20</v>
      </c>
      <c r="W25" s="59">
        <f t="shared" ref="W25" si="15">V25</f>
        <v>20</v>
      </c>
      <c r="X25" s="59">
        <f t="shared" ref="X25" si="16">W25</f>
        <v>20</v>
      </c>
      <c r="Y25" s="59">
        <f t="shared" ref="Y25" si="17">X25</f>
        <v>20</v>
      </c>
      <c r="Z25" s="59">
        <f t="shared" ref="Z25" si="18">Y25</f>
        <v>20</v>
      </c>
      <c r="AA25" s="59">
        <f t="shared" ref="AA25" si="19">Z25</f>
        <v>20</v>
      </c>
      <c r="AB25" s="59">
        <f t="shared" ref="AB25" si="20">AA25</f>
        <v>20</v>
      </c>
      <c r="AC25" s="59">
        <f t="shared" ref="AC25" si="21">AB25</f>
        <v>20</v>
      </c>
      <c r="AD25" s="59">
        <f t="shared" ref="AD25" si="22">AC25</f>
        <v>20</v>
      </c>
      <c r="AE25" s="59">
        <f t="shared" ref="AE25" si="23">AD25</f>
        <v>20</v>
      </c>
      <c r="AF25" s="59">
        <f t="shared" ref="AF25" si="24">AE25</f>
        <v>20</v>
      </c>
      <c r="AG25" s="59">
        <f t="shared" ref="AG25" si="25">AF25</f>
        <v>20</v>
      </c>
      <c r="AH25" s="59">
        <f t="shared" ref="AH25" si="26">AG25</f>
        <v>20</v>
      </c>
      <c r="AI25" s="59">
        <f t="shared" ref="AI25" si="27">AH25</f>
        <v>20</v>
      </c>
      <c r="AJ25" s="59">
        <f t="shared" ref="AJ25" si="28">AI25</f>
        <v>20</v>
      </c>
      <c r="AK25" s="59">
        <f t="shared" ref="AK25" si="29">AJ25</f>
        <v>20</v>
      </c>
      <c r="AL25" s="59">
        <f t="shared" ref="AL25" si="30">AK25</f>
        <v>20</v>
      </c>
      <c r="AM25" s="59">
        <f t="shared" ref="AM25" si="31">AL25</f>
        <v>20</v>
      </c>
      <c r="AN25" s="59">
        <f t="shared" ref="AN25" si="32">AM25</f>
        <v>20</v>
      </c>
      <c r="AO25" s="59">
        <f t="shared" ref="AO25" si="33">AN25</f>
        <v>20</v>
      </c>
      <c r="AP25" s="59">
        <f t="shared" ref="AP25" si="34">AO25</f>
        <v>20</v>
      </c>
      <c r="AQ25" s="59">
        <f t="shared" ref="AQ25" si="35">AP25</f>
        <v>20</v>
      </c>
      <c r="AR25" s="59">
        <f t="shared" ref="AR25" si="36">AQ25</f>
        <v>20</v>
      </c>
      <c r="AS25" s="59">
        <f t="shared" ref="AS25" si="37">AR25</f>
        <v>20</v>
      </c>
      <c r="AT25" s="59">
        <f t="shared" ref="AT25" si="38">AS25</f>
        <v>20</v>
      </c>
      <c r="AU25" s="59">
        <f t="shared" ref="AU25" si="39">AT25</f>
        <v>20</v>
      </c>
      <c r="AV25" s="59">
        <f t="shared" ref="AV25" si="40">AU25</f>
        <v>20</v>
      </c>
      <c r="AW25" s="59">
        <f t="shared" ref="AW25" si="41">AV25</f>
        <v>20</v>
      </c>
      <c r="AX25" s="59">
        <f t="shared" ref="AX25" si="42">AW25</f>
        <v>20</v>
      </c>
      <c r="AY25" s="59">
        <f t="shared" ref="AY25" si="43">AX25</f>
        <v>20</v>
      </c>
      <c r="AZ25" s="59">
        <f t="shared" ref="AZ25" si="44">AY25</f>
        <v>20</v>
      </c>
      <c r="BA25" s="59">
        <f t="shared" ref="BA25" si="45">AZ25</f>
        <v>20</v>
      </c>
      <c r="BB25" s="59">
        <f t="shared" ref="BB25" si="46">BA25</f>
        <v>20</v>
      </c>
      <c r="BC25" s="59">
        <f t="shared" ref="BC25" si="47">BB25</f>
        <v>20</v>
      </c>
      <c r="BD25" s="59">
        <f t="shared" ref="BD25" si="48">BC25</f>
        <v>20</v>
      </c>
      <c r="BE25" s="59">
        <f t="shared" ref="BE25" si="49">BD25</f>
        <v>20</v>
      </c>
    </row>
    <row r="26" spans="2:71">
      <c r="B26" s="146" t="s">
        <v>85</v>
      </c>
      <c r="C26" s="147"/>
      <c r="D26" s="147"/>
      <c r="E26" s="148"/>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-20</v>
      </c>
      <c r="G27" s="60">
        <f t="shared" ref="G27:BE27" si="50">G26-G25</f>
        <v>-20</v>
      </c>
      <c r="H27" s="60">
        <f t="shared" si="50"/>
        <v>-20</v>
      </c>
      <c r="I27" s="60">
        <f t="shared" si="50"/>
        <v>-20</v>
      </c>
      <c r="J27" s="60">
        <f t="shared" si="50"/>
        <v>-20</v>
      </c>
      <c r="K27" s="60">
        <f t="shared" si="50"/>
        <v>-20</v>
      </c>
      <c r="L27" s="60">
        <f t="shared" si="50"/>
        <v>-20</v>
      </c>
      <c r="M27" s="60">
        <f t="shared" si="50"/>
        <v>-20</v>
      </c>
      <c r="N27" s="60">
        <f t="shared" si="50"/>
        <v>-20</v>
      </c>
      <c r="O27" s="60">
        <f t="shared" si="50"/>
        <v>-20</v>
      </c>
      <c r="P27" s="60">
        <f t="shared" si="50"/>
        <v>-20</v>
      </c>
      <c r="Q27" s="60">
        <f t="shared" si="50"/>
        <v>-20</v>
      </c>
      <c r="R27" s="60">
        <f t="shared" si="50"/>
        <v>-20</v>
      </c>
      <c r="S27" s="60">
        <f t="shared" si="50"/>
        <v>-20</v>
      </c>
      <c r="T27" s="60">
        <f t="shared" si="50"/>
        <v>-20</v>
      </c>
      <c r="U27" s="60">
        <f t="shared" si="50"/>
        <v>-20</v>
      </c>
      <c r="V27" s="60">
        <f t="shared" si="50"/>
        <v>-20</v>
      </c>
      <c r="W27" s="60">
        <f t="shared" si="50"/>
        <v>-20</v>
      </c>
      <c r="X27" s="60">
        <f t="shared" si="50"/>
        <v>-20</v>
      </c>
      <c r="Y27" s="60">
        <f t="shared" si="50"/>
        <v>-20</v>
      </c>
      <c r="Z27" s="60">
        <f t="shared" si="50"/>
        <v>-20</v>
      </c>
      <c r="AA27" s="60">
        <f t="shared" si="50"/>
        <v>-20</v>
      </c>
      <c r="AB27" s="60">
        <f t="shared" si="50"/>
        <v>-20</v>
      </c>
      <c r="AC27" s="60">
        <f t="shared" si="50"/>
        <v>-20</v>
      </c>
      <c r="AD27" s="60">
        <f t="shared" si="50"/>
        <v>-20</v>
      </c>
      <c r="AE27" s="60">
        <f t="shared" si="50"/>
        <v>-20</v>
      </c>
      <c r="AF27" s="60">
        <f t="shared" si="50"/>
        <v>-20</v>
      </c>
      <c r="AG27" s="60">
        <f t="shared" si="50"/>
        <v>-20</v>
      </c>
      <c r="AH27" s="60">
        <f t="shared" si="50"/>
        <v>-20</v>
      </c>
      <c r="AI27" s="60">
        <f t="shared" si="50"/>
        <v>-20</v>
      </c>
      <c r="AJ27" s="60">
        <f t="shared" si="50"/>
        <v>-20</v>
      </c>
      <c r="AK27" s="60">
        <f t="shared" si="50"/>
        <v>-20</v>
      </c>
      <c r="AL27" s="60">
        <f t="shared" si="50"/>
        <v>-20</v>
      </c>
      <c r="AM27" s="60">
        <f t="shared" si="50"/>
        <v>-20</v>
      </c>
      <c r="AN27" s="60">
        <f t="shared" si="50"/>
        <v>-20</v>
      </c>
      <c r="AO27" s="60">
        <f t="shared" si="50"/>
        <v>-20</v>
      </c>
      <c r="AP27" s="60">
        <f t="shared" si="50"/>
        <v>-20</v>
      </c>
      <c r="AQ27" s="60">
        <f t="shared" si="50"/>
        <v>-20</v>
      </c>
      <c r="AR27" s="60">
        <f t="shared" si="50"/>
        <v>-20</v>
      </c>
      <c r="AS27" s="60">
        <f t="shared" si="50"/>
        <v>-20</v>
      </c>
      <c r="AT27" s="60">
        <f t="shared" si="50"/>
        <v>-20</v>
      </c>
      <c r="AU27" s="60">
        <f t="shared" si="50"/>
        <v>-20</v>
      </c>
      <c r="AV27" s="60">
        <f t="shared" si="50"/>
        <v>-20</v>
      </c>
      <c r="AW27" s="60">
        <f t="shared" si="50"/>
        <v>-20</v>
      </c>
      <c r="AX27" s="60">
        <f t="shared" si="50"/>
        <v>-20</v>
      </c>
      <c r="AY27" s="60">
        <f t="shared" si="50"/>
        <v>-20</v>
      </c>
      <c r="AZ27" s="60">
        <f t="shared" si="50"/>
        <v>-20</v>
      </c>
      <c r="BA27" s="60">
        <f t="shared" si="50"/>
        <v>-20</v>
      </c>
      <c r="BB27" s="60">
        <f t="shared" si="50"/>
        <v>-20</v>
      </c>
      <c r="BC27" s="60">
        <f t="shared" si="50"/>
        <v>-20</v>
      </c>
      <c r="BD27" s="60">
        <f t="shared" si="50"/>
        <v>-20</v>
      </c>
      <c r="BE27" s="60">
        <f t="shared" si="50"/>
        <v>-20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Customer Satisfaction Scores (CSAT, NPS) TARGET</v>
      </c>
      <c r="C30" s="147"/>
      <c r="D30" s="147"/>
      <c r="E30" s="148"/>
      <c r="F30" s="59">
        <v>20</v>
      </c>
      <c r="G30" s="59">
        <f>F30</f>
        <v>20</v>
      </c>
      <c r="H30" s="59">
        <f t="shared" ref="H30:BE30" si="51">G30</f>
        <v>20</v>
      </c>
      <c r="I30" s="59">
        <f t="shared" si="51"/>
        <v>20</v>
      </c>
      <c r="J30" s="59">
        <f t="shared" si="51"/>
        <v>20</v>
      </c>
      <c r="K30" s="59">
        <f t="shared" si="51"/>
        <v>20</v>
      </c>
      <c r="L30" s="59">
        <f t="shared" si="51"/>
        <v>20</v>
      </c>
      <c r="M30" s="59">
        <f t="shared" si="51"/>
        <v>20</v>
      </c>
      <c r="N30" s="59">
        <f t="shared" si="51"/>
        <v>20</v>
      </c>
      <c r="O30" s="59">
        <f t="shared" si="51"/>
        <v>20</v>
      </c>
      <c r="P30" s="59">
        <f t="shared" si="51"/>
        <v>20</v>
      </c>
      <c r="Q30" s="59">
        <f t="shared" si="51"/>
        <v>20</v>
      </c>
      <c r="R30" s="59">
        <f t="shared" si="51"/>
        <v>20</v>
      </c>
      <c r="S30" s="59">
        <f t="shared" si="51"/>
        <v>20</v>
      </c>
      <c r="T30" s="59">
        <f t="shared" si="51"/>
        <v>20</v>
      </c>
      <c r="U30" s="59">
        <f t="shared" si="51"/>
        <v>20</v>
      </c>
      <c r="V30" s="59">
        <f t="shared" si="51"/>
        <v>20</v>
      </c>
      <c r="W30" s="59">
        <f t="shared" si="51"/>
        <v>20</v>
      </c>
      <c r="X30" s="59">
        <f t="shared" si="51"/>
        <v>20</v>
      </c>
      <c r="Y30" s="59">
        <f t="shared" si="51"/>
        <v>20</v>
      </c>
      <c r="Z30" s="59">
        <f t="shared" si="51"/>
        <v>20</v>
      </c>
      <c r="AA30" s="59">
        <f t="shared" si="51"/>
        <v>20</v>
      </c>
      <c r="AB30" s="59">
        <f t="shared" si="51"/>
        <v>20</v>
      </c>
      <c r="AC30" s="59">
        <f t="shared" si="51"/>
        <v>20</v>
      </c>
      <c r="AD30" s="59">
        <f t="shared" si="51"/>
        <v>20</v>
      </c>
      <c r="AE30" s="59">
        <f t="shared" si="51"/>
        <v>20</v>
      </c>
      <c r="AF30" s="59">
        <f t="shared" si="51"/>
        <v>20</v>
      </c>
      <c r="AG30" s="59">
        <f t="shared" si="51"/>
        <v>20</v>
      </c>
      <c r="AH30" s="59">
        <f t="shared" si="51"/>
        <v>20</v>
      </c>
      <c r="AI30" s="59">
        <f t="shared" si="51"/>
        <v>20</v>
      </c>
      <c r="AJ30" s="59">
        <f t="shared" si="51"/>
        <v>20</v>
      </c>
      <c r="AK30" s="59">
        <f t="shared" si="51"/>
        <v>20</v>
      </c>
      <c r="AL30" s="59">
        <f t="shared" si="51"/>
        <v>20</v>
      </c>
      <c r="AM30" s="59">
        <f t="shared" si="51"/>
        <v>20</v>
      </c>
      <c r="AN30" s="59">
        <f t="shared" si="51"/>
        <v>20</v>
      </c>
      <c r="AO30" s="59">
        <f t="shared" si="51"/>
        <v>20</v>
      </c>
      <c r="AP30" s="59">
        <f t="shared" si="51"/>
        <v>20</v>
      </c>
      <c r="AQ30" s="59">
        <f t="shared" si="51"/>
        <v>20</v>
      </c>
      <c r="AR30" s="59">
        <f t="shared" si="51"/>
        <v>20</v>
      </c>
      <c r="AS30" s="59">
        <f t="shared" si="51"/>
        <v>20</v>
      </c>
      <c r="AT30" s="59">
        <f t="shared" si="51"/>
        <v>20</v>
      </c>
      <c r="AU30" s="59">
        <f t="shared" si="51"/>
        <v>20</v>
      </c>
      <c r="AV30" s="59">
        <f t="shared" si="51"/>
        <v>20</v>
      </c>
      <c r="AW30" s="59">
        <f t="shared" si="51"/>
        <v>20</v>
      </c>
      <c r="AX30" s="59">
        <f t="shared" si="51"/>
        <v>20</v>
      </c>
      <c r="AY30" s="59">
        <f t="shared" si="51"/>
        <v>20</v>
      </c>
      <c r="AZ30" s="59">
        <f t="shared" si="51"/>
        <v>20</v>
      </c>
      <c r="BA30" s="59">
        <f t="shared" si="51"/>
        <v>20</v>
      </c>
      <c r="BB30" s="59">
        <f t="shared" si="51"/>
        <v>20</v>
      </c>
      <c r="BC30" s="59">
        <f t="shared" si="51"/>
        <v>20</v>
      </c>
      <c r="BD30" s="59">
        <f t="shared" si="51"/>
        <v>20</v>
      </c>
      <c r="BE30" s="59">
        <f t="shared" si="51"/>
        <v>20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-20</v>
      </c>
      <c r="G32" s="60">
        <f t="shared" ref="G32:BE32" si="52">G31-G30</f>
        <v>-20</v>
      </c>
      <c r="H32" s="60">
        <f t="shared" si="52"/>
        <v>-20</v>
      </c>
      <c r="I32" s="60">
        <f t="shared" si="52"/>
        <v>-20</v>
      </c>
      <c r="J32" s="60">
        <f t="shared" si="52"/>
        <v>-20</v>
      </c>
      <c r="K32" s="60">
        <f t="shared" si="52"/>
        <v>-20</v>
      </c>
      <c r="L32" s="60">
        <f t="shared" si="52"/>
        <v>-20</v>
      </c>
      <c r="M32" s="60">
        <f t="shared" si="52"/>
        <v>-20</v>
      </c>
      <c r="N32" s="60">
        <f t="shared" si="52"/>
        <v>-20</v>
      </c>
      <c r="O32" s="60">
        <f t="shared" si="52"/>
        <v>-20</v>
      </c>
      <c r="P32" s="60">
        <f t="shared" si="52"/>
        <v>-20</v>
      </c>
      <c r="Q32" s="60">
        <f t="shared" si="52"/>
        <v>-20</v>
      </c>
      <c r="R32" s="60">
        <f t="shared" si="52"/>
        <v>-20</v>
      </c>
      <c r="S32" s="60">
        <f t="shared" si="52"/>
        <v>-20</v>
      </c>
      <c r="T32" s="60">
        <f t="shared" si="52"/>
        <v>-20</v>
      </c>
      <c r="U32" s="60">
        <f t="shared" si="52"/>
        <v>-20</v>
      </c>
      <c r="V32" s="60">
        <f t="shared" si="52"/>
        <v>-20</v>
      </c>
      <c r="W32" s="60">
        <f t="shared" si="52"/>
        <v>-20</v>
      </c>
      <c r="X32" s="60">
        <f t="shared" si="52"/>
        <v>-20</v>
      </c>
      <c r="Y32" s="60">
        <f t="shared" si="52"/>
        <v>-20</v>
      </c>
      <c r="Z32" s="60">
        <f t="shared" si="52"/>
        <v>-20</v>
      </c>
      <c r="AA32" s="60">
        <f t="shared" si="52"/>
        <v>-20</v>
      </c>
      <c r="AB32" s="60">
        <f t="shared" si="52"/>
        <v>-20</v>
      </c>
      <c r="AC32" s="60">
        <f t="shared" si="52"/>
        <v>-20</v>
      </c>
      <c r="AD32" s="60">
        <f t="shared" si="52"/>
        <v>-20</v>
      </c>
      <c r="AE32" s="60">
        <f t="shared" si="52"/>
        <v>-20</v>
      </c>
      <c r="AF32" s="60">
        <f t="shared" si="52"/>
        <v>-20</v>
      </c>
      <c r="AG32" s="60">
        <f t="shared" si="52"/>
        <v>-20</v>
      </c>
      <c r="AH32" s="60">
        <f t="shared" si="52"/>
        <v>-20</v>
      </c>
      <c r="AI32" s="60">
        <f t="shared" si="52"/>
        <v>-20</v>
      </c>
      <c r="AJ32" s="60">
        <f t="shared" si="52"/>
        <v>-20</v>
      </c>
      <c r="AK32" s="60">
        <f t="shared" si="52"/>
        <v>-20</v>
      </c>
      <c r="AL32" s="60">
        <f t="shared" si="52"/>
        <v>-20</v>
      </c>
      <c r="AM32" s="60">
        <f t="shared" si="52"/>
        <v>-20</v>
      </c>
      <c r="AN32" s="60">
        <f t="shared" si="52"/>
        <v>-20</v>
      </c>
      <c r="AO32" s="60">
        <f t="shared" si="52"/>
        <v>-20</v>
      </c>
      <c r="AP32" s="60">
        <f t="shared" si="52"/>
        <v>-20</v>
      </c>
      <c r="AQ32" s="60">
        <f t="shared" si="52"/>
        <v>-20</v>
      </c>
      <c r="AR32" s="60">
        <f t="shared" si="52"/>
        <v>-20</v>
      </c>
      <c r="AS32" s="60">
        <f t="shared" si="52"/>
        <v>-20</v>
      </c>
      <c r="AT32" s="60">
        <f t="shared" si="52"/>
        <v>-20</v>
      </c>
      <c r="AU32" s="60">
        <f t="shared" si="52"/>
        <v>-20</v>
      </c>
      <c r="AV32" s="60">
        <f t="shared" si="52"/>
        <v>-20</v>
      </c>
      <c r="AW32" s="60">
        <f t="shared" si="52"/>
        <v>-20</v>
      </c>
      <c r="AX32" s="60">
        <f t="shared" si="52"/>
        <v>-20</v>
      </c>
      <c r="AY32" s="60">
        <f t="shared" si="52"/>
        <v>-20</v>
      </c>
      <c r="AZ32" s="60">
        <f t="shared" si="52"/>
        <v>-20</v>
      </c>
      <c r="BA32" s="60">
        <f t="shared" si="52"/>
        <v>-20</v>
      </c>
      <c r="BB32" s="60">
        <f t="shared" si="52"/>
        <v>-20</v>
      </c>
      <c r="BC32" s="60">
        <f t="shared" si="52"/>
        <v>-20</v>
      </c>
      <c r="BD32" s="60">
        <f t="shared" si="52"/>
        <v>-20</v>
      </c>
      <c r="BE32" s="60">
        <f t="shared" si="52"/>
        <v>-20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Revenue Growth from AI-enhanced products TARGET</v>
      </c>
      <c r="C35" s="147"/>
      <c r="D35" s="147"/>
      <c r="E35" s="148"/>
      <c r="F35" s="59">
        <v>0</v>
      </c>
      <c r="G35" s="59">
        <f>F35</f>
        <v>0</v>
      </c>
      <c r="H35" s="59">
        <f t="shared" ref="H35:BE35" si="53">G35</f>
        <v>0</v>
      </c>
      <c r="I35" s="59">
        <f t="shared" si="53"/>
        <v>0</v>
      </c>
      <c r="J35" s="59">
        <f t="shared" si="53"/>
        <v>0</v>
      </c>
      <c r="K35" s="59">
        <f t="shared" si="53"/>
        <v>0</v>
      </c>
      <c r="L35" s="59">
        <f t="shared" si="53"/>
        <v>0</v>
      </c>
      <c r="M35" s="59">
        <f t="shared" si="53"/>
        <v>0</v>
      </c>
      <c r="N35" s="59">
        <f t="shared" si="53"/>
        <v>0</v>
      </c>
      <c r="O35" s="59">
        <f t="shared" si="53"/>
        <v>0</v>
      </c>
      <c r="P35" s="59">
        <f t="shared" si="53"/>
        <v>0</v>
      </c>
      <c r="Q35" s="59">
        <f t="shared" si="53"/>
        <v>0</v>
      </c>
      <c r="R35" s="59">
        <f t="shared" si="53"/>
        <v>0</v>
      </c>
      <c r="S35" s="59">
        <f t="shared" si="53"/>
        <v>0</v>
      </c>
      <c r="T35" s="59">
        <f t="shared" si="53"/>
        <v>0</v>
      </c>
      <c r="U35" s="59">
        <f t="shared" si="53"/>
        <v>0</v>
      </c>
      <c r="V35" s="59">
        <f t="shared" si="53"/>
        <v>0</v>
      </c>
      <c r="W35" s="59">
        <f t="shared" si="53"/>
        <v>0</v>
      </c>
      <c r="X35" s="59">
        <f t="shared" si="53"/>
        <v>0</v>
      </c>
      <c r="Y35" s="59">
        <f t="shared" si="53"/>
        <v>0</v>
      </c>
      <c r="Z35" s="59">
        <f t="shared" si="53"/>
        <v>0</v>
      </c>
      <c r="AA35" s="59">
        <f t="shared" si="53"/>
        <v>0</v>
      </c>
      <c r="AB35" s="59">
        <f t="shared" si="53"/>
        <v>0</v>
      </c>
      <c r="AC35" s="59">
        <v>200</v>
      </c>
      <c r="AD35" s="59">
        <f t="shared" si="53"/>
        <v>200</v>
      </c>
      <c r="AE35" s="59">
        <f t="shared" si="53"/>
        <v>200</v>
      </c>
      <c r="AF35" s="59">
        <f t="shared" si="53"/>
        <v>200</v>
      </c>
      <c r="AG35" s="59">
        <f t="shared" si="53"/>
        <v>200</v>
      </c>
      <c r="AH35" s="59">
        <f t="shared" si="53"/>
        <v>200</v>
      </c>
      <c r="AI35" s="59">
        <f t="shared" si="53"/>
        <v>200</v>
      </c>
      <c r="AJ35" s="59">
        <f t="shared" si="53"/>
        <v>200</v>
      </c>
      <c r="AK35" s="59">
        <f t="shared" si="53"/>
        <v>200</v>
      </c>
      <c r="AL35" s="59">
        <f t="shared" si="53"/>
        <v>200</v>
      </c>
      <c r="AM35" s="59">
        <f t="shared" si="53"/>
        <v>200</v>
      </c>
      <c r="AN35" s="59">
        <f t="shared" si="53"/>
        <v>200</v>
      </c>
      <c r="AO35" s="59">
        <f t="shared" si="53"/>
        <v>200</v>
      </c>
      <c r="AP35" s="59">
        <f t="shared" si="53"/>
        <v>200</v>
      </c>
      <c r="AQ35" s="59">
        <f t="shared" si="53"/>
        <v>200</v>
      </c>
      <c r="AR35" s="59">
        <f t="shared" si="53"/>
        <v>200</v>
      </c>
      <c r="AS35" s="59">
        <f t="shared" si="53"/>
        <v>200</v>
      </c>
      <c r="AT35" s="59">
        <f t="shared" si="53"/>
        <v>200</v>
      </c>
      <c r="AU35" s="59">
        <f t="shared" si="53"/>
        <v>200</v>
      </c>
      <c r="AV35" s="59">
        <f t="shared" si="53"/>
        <v>200</v>
      </c>
      <c r="AW35" s="59">
        <f t="shared" si="53"/>
        <v>200</v>
      </c>
      <c r="AX35" s="59">
        <f t="shared" si="53"/>
        <v>200</v>
      </c>
      <c r="AY35" s="59">
        <f t="shared" si="53"/>
        <v>200</v>
      </c>
      <c r="AZ35" s="59">
        <f t="shared" si="53"/>
        <v>200</v>
      </c>
      <c r="BA35" s="59">
        <f t="shared" si="53"/>
        <v>200</v>
      </c>
      <c r="BB35" s="59">
        <f t="shared" si="53"/>
        <v>200</v>
      </c>
      <c r="BC35" s="59">
        <f t="shared" si="53"/>
        <v>200</v>
      </c>
      <c r="BD35" s="59">
        <f t="shared" si="53"/>
        <v>200</v>
      </c>
      <c r="BE35" s="59">
        <f t="shared" si="53"/>
        <v>200</v>
      </c>
    </row>
    <row r="36" spans="2:62">
      <c r="B36" s="146" t="s">
        <v>85</v>
      </c>
      <c r="C36" s="147"/>
      <c r="D36" s="147"/>
      <c r="E36" s="148"/>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59">
        <v>0</v>
      </c>
      <c r="AE36" s="59">
        <v>0</v>
      </c>
      <c r="AF36" s="59">
        <v>0</v>
      </c>
      <c r="AG36" s="59">
        <v>0</v>
      </c>
      <c r="AH36" s="59">
        <v>0</v>
      </c>
      <c r="AI36" s="59">
        <v>0</v>
      </c>
      <c r="AJ36" s="59">
        <v>0</v>
      </c>
      <c r="AK36" s="59">
        <v>0</v>
      </c>
      <c r="AL36" s="59">
        <v>0</v>
      </c>
      <c r="AM36" s="59">
        <v>0</v>
      </c>
      <c r="AN36" s="59">
        <v>0</v>
      </c>
      <c r="AO36" s="59">
        <v>0</v>
      </c>
      <c r="AP36" s="59">
        <v>0</v>
      </c>
      <c r="AQ36" s="59">
        <v>0</v>
      </c>
      <c r="AR36" s="59">
        <v>0</v>
      </c>
      <c r="AS36" s="59">
        <v>0</v>
      </c>
      <c r="AT36" s="59">
        <v>0</v>
      </c>
      <c r="AU36" s="59">
        <v>0</v>
      </c>
      <c r="AV36" s="59">
        <v>0</v>
      </c>
      <c r="AW36" s="59">
        <v>0</v>
      </c>
      <c r="AX36" s="59">
        <v>0</v>
      </c>
      <c r="AY36" s="59">
        <v>0</v>
      </c>
      <c r="AZ36" s="59">
        <v>0</v>
      </c>
      <c r="BA36" s="59">
        <v>0</v>
      </c>
      <c r="BB36" s="59">
        <v>0</v>
      </c>
      <c r="BC36" s="59">
        <v>0</v>
      </c>
      <c r="BD36" s="59">
        <v>0</v>
      </c>
      <c r="BE36" s="59">
        <v>0</v>
      </c>
    </row>
    <row r="37" spans="2:62">
      <c r="B37" s="146" t="s">
        <v>86</v>
      </c>
      <c r="C37" s="147"/>
      <c r="D37" s="147"/>
      <c r="E37" s="148"/>
      <c r="F37" s="60">
        <f>F36-F35</f>
        <v>0</v>
      </c>
      <c r="G37" s="60">
        <f t="shared" ref="G37:BE37" si="54">G36-G35</f>
        <v>0</v>
      </c>
      <c r="H37" s="60">
        <f t="shared" si="54"/>
        <v>0</v>
      </c>
      <c r="I37" s="60">
        <f t="shared" si="54"/>
        <v>0</v>
      </c>
      <c r="J37" s="60">
        <f t="shared" si="54"/>
        <v>0</v>
      </c>
      <c r="K37" s="60">
        <f t="shared" si="54"/>
        <v>0</v>
      </c>
      <c r="L37" s="60">
        <f t="shared" si="54"/>
        <v>0</v>
      </c>
      <c r="M37" s="60">
        <f t="shared" si="54"/>
        <v>0</v>
      </c>
      <c r="N37" s="60">
        <f t="shared" si="54"/>
        <v>0</v>
      </c>
      <c r="O37" s="60">
        <f t="shared" si="54"/>
        <v>0</v>
      </c>
      <c r="P37" s="60">
        <f t="shared" si="54"/>
        <v>0</v>
      </c>
      <c r="Q37" s="60">
        <f t="shared" si="54"/>
        <v>0</v>
      </c>
      <c r="R37" s="60">
        <f t="shared" si="54"/>
        <v>0</v>
      </c>
      <c r="S37" s="60">
        <f t="shared" si="54"/>
        <v>0</v>
      </c>
      <c r="T37" s="60">
        <f t="shared" si="54"/>
        <v>0</v>
      </c>
      <c r="U37" s="60">
        <f t="shared" si="54"/>
        <v>0</v>
      </c>
      <c r="V37" s="60">
        <f t="shared" si="54"/>
        <v>0</v>
      </c>
      <c r="W37" s="60">
        <f t="shared" si="54"/>
        <v>0</v>
      </c>
      <c r="X37" s="60">
        <f t="shared" si="54"/>
        <v>0</v>
      </c>
      <c r="Y37" s="60">
        <f t="shared" si="54"/>
        <v>0</v>
      </c>
      <c r="Z37" s="60">
        <f t="shared" si="54"/>
        <v>0</v>
      </c>
      <c r="AA37" s="60">
        <f t="shared" si="54"/>
        <v>0</v>
      </c>
      <c r="AB37" s="60">
        <f t="shared" si="54"/>
        <v>0</v>
      </c>
      <c r="AC37" s="60">
        <f t="shared" si="54"/>
        <v>-200</v>
      </c>
      <c r="AD37" s="60">
        <f t="shared" si="54"/>
        <v>-200</v>
      </c>
      <c r="AE37" s="60">
        <f t="shared" si="54"/>
        <v>-200</v>
      </c>
      <c r="AF37" s="60">
        <f t="shared" si="54"/>
        <v>-200</v>
      </c>
      <c r="AG37" s="60">
        <f t="shared" si="54"/>
        <v>-200</v>
      </c>
      <c r="AH37" s="60">
        <f t="shared" si="54"/>
        <v>-200</v>
      </c>
      <c r="AI37" s="60">
        <f t="shared" si="54"/>
        <v>-200</v>
      </c>
      <c r="AJ37" s="60">
        <f t="shared" si="54"/>
        <v>-200</v>
      </c>
      <c r="AK37" s="60">
        <f t="shared" si="54"/>
        <v>-200</v>
      </c>
      <c r="AL37" s="60">
        <f t="shared" si="54"/>
        <v>-200</v>
      </c>
      <c r="AM37" s="60">
        <f t="shared" si="54"/>
        <v>-200</v>
      </c>
      <c r="AN37" s="60">
        <f t="shared" si="54"/>
        <v>-200</v>
      </c>
      <c r="AO37" s="60">
        <f t="shared" si="54"/>
        <v>-200</v>
      </c>
      <c r="AP37" s="60">
        <f t="shared" si="54"/>
        <v>-200</v>
      </c>
      <c r="AQ37" s="60">
        <f t="shared" si="54"/>
        <v>-200</v>
      </c>
      <c r="AR37" s="60">
        <f t="shared" si="54"/>
        <v>-200</v>
      </c>
      <c r="AS37" s="60">
        <f t="shared" si="54"/>
        <v>-200</v>
      </c>
      <c r="AT37" s="60">
        <f t="shared" si="54"/>
        <v>-200</v>
      </c>
      <c r="AU37" s="60">
        <f t="shared" si="54"/>
        <v>-200</v>
      </c>
      <c r="AV37" s="60">
        <f t="shared" si="54"/>
        <v>-200</v>
      </c>
      <c r="AW37" s="60">
        <f t="shared" si="54"/>
        <v>-200</v>
      </c>
      <c r="AX37" s="60">
        <f t="shared" si="54"/>
        <v>-200</v>
      </c>
      <c r="AY37" s="60">
        <f t="shared" si="54"/>
        <v>-200</v>
      </c>
      <c r="AZ37" s="60">
        <f t="shared" si="54"/>
        <v>-200</v>
      </c>
      <c r="BA37" s="60">
        <f t="shared" si="54"/>
        <v>-200</v>
      </c>
      <c r="BB37" s="60">
        <f t="shared" si="54"/>
        <v>-200</v>
      </c>
      <c r="BC37" s="60">
        <f t="shared" si="54"/>
        <v>-200</v>
      </c>
      <c r="BD37" s="60">
        <f t="shared" si="54"/>
        <v>-200</v>
      </c>
      <c r="BE37" s="60">
        <f t="shared" si="54"/>
        <v>-200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200</v>
      </c>
      <c r="AD41" s="33">
        <f t="shared" si="55"/>
        <v>200</v>
      </c>
      <c r="AE41" s="33">
        <f t="shared" si="55"/>
        <v>200</v>
      </c>
      <c r="AF41" s="33">
        <f t="shared" si="55"/>
        <v>200</v>
      </c>
      <c r="AG41" s="33">
        <f t="shared" si="55"/>
        <v>200</v>
      </c>
      <c r="AH41" s="33">
        <f t="shared" si="55"/>
        <v>200</v>
      </c>
      <c r="AI41" s="33">
        <f t="shared" si="55"/>
        <v>200</v>
      </c>
      <c r="AJ41" s="33">
        <f t="shared" si="55"/>
        <v>200</v>
      </c>
      <c r="AK41" s="33">
        <f t="shared" si="55"/>
        <v>200</v>
      </c>
      <c r="AL41" s="33">
        <f t="shared" ref="AL41:BE41" si="56">IF($X$12="Revenue Impact",AL35,0)</f>
        <v>200</v>
      </c>
      <c r="AM41" s="33">
        <f t="shared" si="56"/>
        <v>200</v>
      </c>
      <c r="AN41" s="33">
        <f t="shared" si="56"/>
        <v>200</v>
      </c>
      <c r="AO41" s="33">
        <f t="shared" si="56"/>
        <v>200</v>
      </c>
      <c r="AP41" s="33">
        <f t="shared" si="56"/>
        <v>200</v>
      </c>
      <c r="AQ41" s="33">
        <f t="shared" si="56"/>
        <v>200</v>
      </c>
      <c r="AR41" s="33">
        <f t="shared" si="56"/>
        <v>200</v>
      </c>
      <c r="AS41" s="33">
        <f t="shared" si="56"/>
        <v>200</v>
      </c>
      <c r="AT41" s="33">
        <f t="shared" si="56"/>
        <v>200</v>
      </c>
      <c r="AU41" s="33">
        <f t="shared" si="56"/>
        <v>200</v>
      </c>
      <c r="AV41" s="33">
        <f t="shared" si="56"/>
        <v>200</v>
      </c>
      <c r="AW41" s="33">
        <f t="shared" si="56"/>
        <v>200</v>
      </c>
      <c r="AX41" s="33">
        <f t="shared" si="56"/>
        <v>200</v>
      </c>
      <c r="AY41" s="33">
        <f t="shared" si="56"/>
        <v>200</v>
      </c>
      <c r="AZ41" s="33">
        <f t="shared" si="56"/>
        <v>200</v>
      </c>
      <c r="BA41" s="33">
        <f t="shared" si="56"/>
        <v>200</v>
      </c>
      <c r="BB41" s="33">
        <f t="shared" si="56"/>
        <v>200</v>
      </c>
      <c r="BC41" s="33">
        <f t="shared" si="56"/>
        <v>200</v>
      </c>
      <c r="BD41" s="33">
        <f t="shared" si="56"/>
        <v>200</v>
      </c>
      <c r="BE41" s="33">
        <f t="shared" si="56"/>
        <v>200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200</v>
      </c>
      <c r="AD47" s="33">
        <f t="shared" si="63"/>
        <v>200</v>
      </c>
      <c r="AE47" s="33">
        <f t="shared" si="63"/>
        <v>200</v>
      </c>
      <c r="AF47" s="33">
        <f t="shared" si="63"/>
        <v>200</v>
      </c>
      <c r="AG47" s="33">
        <f t="shared" si="63"/>
        <v>200</v>
      </c>
      <c r="AH47" s="33">
        <f t="shared" si="63"/>
        <v>200</v>
      </c>
      <c r="AI47" s="33">
        <f t="shared" si="63"/>
        <v>200</v>
      </c>
      <c r="AJ47" s="33">
        <f t="shared" si="63"/>
        <v>200</v>
      </c>
      <c r="AK47" s="33">
        <f t="shared" si="63"/>
        <v>200</v>
      </c>
      <c r="AL47" s="33">
        <f t="shared" si="63"/>
        <v>200</v>
      </c>
      <c r="AM47" s="33">
        <f t="shared" si="63"/>
        <v>200</v>
      </c>
      <c r="AN47" s="33">
        <f t="shared" si="63"/>
        <v>200</v>
      </c>
      <c r="AO47" s="33">
        <f t="shared" si="63"/>
        <v>200</v>
      </c>
      <c r="AP47" s="33">
        <f t="shared" si="63"/>
        <v>200</v>
      </c>
      <c r="AQ47" s="33">
        <f t="shared" si="63"/>
        <v>200</v>
      </c>
      <c r="AR47" s="33">
        <f t="shared" si="63"/>
        <v>200</v>
      </c>
      <c r="AS47" s="33">
        <f t="shared" si="63"/>
        <v>200</v>
      </c>
      <c r="AT47" s="33">
        <f t="shared" si="63"/>
        <v>200</v>
      </c>
      <c r="AU47" s="33">
        <f t="shared" si="63"/>
        <v>200</v>
      </c>
      <c r="AV47" s="33">
        <f t="shared" si="63"/>
        <v>200</v>
      </c>
      <c r="AW47" s="33">
        <f t="shared" si="63"/>
        <v>200</v>
      </c>
      <c r="AX47" s="33">
        <f t="shared" si="63"/>
        <v>200</v>
      </c>
      <c r="AY47" s="33">
        <f t="shared" si="63"/>
        <v>200</v>
      </c>
      <c r="AZ47" s="33">
        <f t="shared" si="63"/>
        <v>200</v>
      </c>
      <c r="BA47" s="33">
        <f t="shared" si="63"/>
        <v>200</v>
      </c>
      <c r="BB47" s="33">
        <f t="shared" si="63"/>
        <v>200</v>
      </c>
      <c r="BC47" s="33">
        <f t="shared" si="63"/>
        <v>200</v>
      </c>
      <c r="BD47" s="33">
        <f t="shared" si="63"/>
        <v>200</v>
      </c>
      <c r="BE47" s="33">
        <f t="shared" si="63"/>
        <v>200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9" priority="1" operator="equal">
      <formula>"No Change"</formula>
    </cfRule>
    <cfRule type="cellIs" dxfId="28" priority="2" operator="equal">
      <formula>"Progression"</formula>
    </cfRule>
  </conditionalFormatting>
  <conditionalFormatting sqref="AU10:AU21">
    <cfRule type="expression" dxfId="27" priority="3">
      <formula>IFERROR(FIND("Ahead",AU10),0)&gt;0</formula>
    </cfRule>
    <cfRule type="expression" dxfId="26" priority="4">
      <formula>IFERROR(FIND("Overdue",AU10),0)&gt;0</formula>
    </cfRule>
    <cfRule type="cellIs" dxfId="25" priority="5" operator="equal">
      <formula>"Met Target"</formula>
    </cfRule>
    <cfRule type="cellIs" dxfId="24" priority="6" operator="equal">
      <formula>"Missing Target"</formula>
    </cfRule>
    <cfRule type="expression" dxfId="2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15" activePane="bottomRight" state="frozen"/>
      <selection pane="bottomRight" activeCell="C21" sqref="C21:D2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159</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Simple Tool</v>
      </c>
      <c r="AP3" s="87"/>
      <c r="AQ3" s="87"/>
      <c r="AR3" s="87"/>
      <c r="AS3" s="87"/>
      <c r="AT3" s="87"/>
      <c r="AU3" s="87"/>
      <c r="AV3" s="92">
        <f>IF(F7="",0,VLOOKUP(F7,Lookups!B4:H8,3))</f>
        <v>10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Idea</v>
      </c>
      <c r="AP4" s="87"/>
      <c r="AQ4" s="87"/>
      <c r="AR4" s="87"/>
      <c r="AS4" s="87"/>
      <c r="AT4" s="87"/>
      <c r="AU4" s="87"/>
      <c r="AV4" s="89">
        <f ca="1">IF(AO4="Not Def",0,VLOOKUP(AO4,Lookups!L4:M8,2))</f>
        <v>0.1</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160</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Not Def</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1.2</v>
      </c>
      <c r="AW6" s="104"/>
      <c r="AX6" s="104"/>
      <c r="AY6" s="18"/>
      <c r="AZ6" s="18"/>
      <c r="BA6" s="18"/>
      <c r="BB6" s="18"/>
      <c r="BC6" s="18"/>
      <c r="BD6" s="18"/>
      <c r="BH6" s="13"/>
      <c r="BI6" s="17"/>
      <c r="BJ6" s="17"/>
      <c r="BK6" s="17"/>
    </row>
    <row r="7" spans="2:71" ht="28.5" customHeight="1" thickBot="1">
      <c r="B7" s="99" t="s">
        <v>34</v>
      </c>
      <c r="C7" s="100"/>
      <c r="D7" s="100"/>
      <c r="E7" s="101"/>
      <c r="F7" s="105" t="s">
        <v>97</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Simple Tool</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 xml:space="preserve">ChatGPT for content, Co-Pilot for drafting emails, AI meeting summaries </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45931</v>
      </c>
      <c r="AP10" s="114"/>
      <c r="AQ10" s="114"/>
      <c r="AR10" s="114">
        <v>45931</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45931</v>
      </c>
      <c r="AP11" s="114"/>
      <c r="AQ11" s="114"/>
      <c r="AR11" s="114">
        <v>45931</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Adoption Rate</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45962</v>
      </c>
      <c r="AP12" s="114"/>
      <c r="AQ12" s="114"/>
      <c r="AR12" s="114">
        <v>45962</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t="s">
        <v>161</v>
      </c>
      <c r="C13" s="124"/>
      <c r="D13" s="125"/>
      <c r="F13" s="24" t="s">
        <v>52</v>
      </c>
      <c r="G13" s="71" t="s">
        <v>53</v>
      </c>
      <c r="H13" s="72"/>
      <c r="I13" s="72"/>
      <c r="J13" s="72"/>
      <c r="K13" s="72"/>
      <c r="L13" s="72"/>
      <c r="M13" s="73"/>
      <c r="O13" s="24" t="s">
        <v>52</v>
      </c>
      <c r="P13" s="71" t="s">
        <v>100</v>
      </c>
      <c r="Q13" s="72"/>
      <c r="R13" s="72"/>
      <c r="S13" s="72"/>
      <c r="T13" s="72"/>
      <c r="U13" s="72"/>
      <c r="V13" s="73"/>
      <c r="X13" s="24" t="s">
        <v>52</v>
      </c>
      <c r="Y13" s="71" t="s">
        <v>162</v>
      </c>
      <c r="Z13" s="72"/>
      <c r="AA13" s="72"/>
      <c r="AB13" s="72"/>
      <c r="AC13" s="72"/>
      <c r="AD13" s="72"/>
      <c r="AE13" s="73"/>
      <c r="AG13" s="121" t="s">
        <v>56</v>
      </c>
      <c r="AH13" s="121"/>
      <c r="AI13" s="121"/>
      <c r="AJ13" s="122" t="s">
        <v>57</v>
      </c>
      <c r="AK13" s="122"/>
      <c r="AL13" s="122"/>
      <c r="AM13" s="122"/>
      <c r="AN13" s="122"/>
      <c r="AO13" s="114">
        <v>45963</v>
      </c>
      <c r="AP13" s="114"/>
      <c r="AQ13" s="114"/>
      <c r="AR13" s="114">
        <v>45963</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45964</v>
      </c>
      <c r="AP14" s="114"/>
      <c r="AQ14" s="114"/>
      <c r="AR14" s="114">
        <v>45964</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163</v>
      </c>
      <c r="G15" s="133"/>
      <c r="H15" s="133"/>
      <c r="I15" s="133"/>
      <c r="J15" s="133"/>
      <c r="K15" s="133"/>
      <c r="L15" s="133"/>
      <c r="M15" s="134"/>
      <c r="O15" s="132" t="s">
        <v>164</v>
      </c>
      <c r="P15" s="133"/>
      <c r="Q15" s="133"/>
      <c r="R15" s="133"/>
      <c r="S15" s="133"/>
      <c r="T15" s="133"/>
      <c r="U15" s="133"/>
      <c r="V15" s="134"/>
      <c r="X15" s="132" t="s">
        <v>165</v>
      </c>
      <c r="Y15" s="133"/>
      <c r="Z15" s="133"/>
      <c r="AA15" s="133"/>
      <c r="AB15" s="133"/>
      <c r="AC15" s="133"/>
      <c r="AD15" s="133"/>
      <c r="AE15" s="134"/>
      <c r="AG15" s="121"/>
      <c r="AH15" s="121"/>
      <c r="AI15" s="121"/>
      <c r="AJ15" s="122" t="s">
        <v>62</v>
      </c>
      <c r="AK15" s="122"/>
      <c r="AL15" s="122"/>
      <c r="AM15" s="122"/>
      <c r="AN15" s="122"/>
      <c r="AO15" s="114">
        <v>45965</v>
      </c>
      <c r="AP15" s="114"/>
      <c r="AQ15" s="114"/>
      <c r="AR15" s="114">
        <v>45965</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46022</v>
      </c>
      <c r="AP16" s="114"/>
      <c r="AQ16" s="114"/>
      <c r="AR16" s="114"/>
      <c r="AS16" s="114"/>
      <c r="AT16" s="114"/>
      <c r="AU16" s="115" t="str">
        <f t="shared" ca="1" si="1"/>
        <v>Incomplete</v>
      </c>
      <c r="AV16" s="115"/>
      <c r="AW16" s="115"/>
      <c r="AX16" s="115"/>
      <c r="AY16" s="158"/>
      <c r="AZ16" s="158"/>
      <c r="BA16" s="158"/>
      <c r="BB16" s="158"/>
      <c r="BC16" s="158"/>
      <c r="BD16" s="158"/>
      <c r="BE16" s="158"/>
      <c r="BL16" s="15"/>
      <c r="BS16" s="12"/>
    </row>
    <row r="17" spans="2:71" ht="28.5" customHeight="1" thickBot="1">
      <c r="B17" s="25" t="s">
        <v>3</v>
      </c>
      <c r="C17" s="141" t="s">
        <v>166</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46037</v>
      </c>
      <c r="AP17" s="114"/>
      <c r="AQ17" s="114"/>
      <c r="AR17" s="114"/>
      <c r="AS17" s="114"/>
      <c r="AT17" s="114"/>
      <c r="AU17" s="115" t="str">
        <f t="shared" ca="1" si="1"/>
        <v>Incomplete</v>
      </c>
      <c r="AV17" s="115"/>
      <c r="AW17" s="115"/>
      <c r="AX17" s="115"/>
      <c r="AY17" s="158"/>
      <c r="AZ17" s="158"/>
      <c r="BA17" s="158"/>
      <c r="BB17" s="158"/>
      <c r="BC17" s="158"/>
      <c r="BD17" s="158"/>
      <c r="BE17" s="158"/>
      <c r="BL17" s="15"/>
      <c r="BS17" s="12"/>
    </row>
    <row r="18" spans="2:71" ht="28.5" customHeight="1" thickBot="1">
      <c r="B18" s="25" t="s">
        <v>67</v>
      </c>
      <c r="C18" s="74" t="s">
        <v>167</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46037</v>
      </c>
      <c r="AP18" s="114"/>
      <c r="AQ18" s="114"/>
      <c r="AR18" s="114"/>
      <c r="AS18" s="114"/>
      <c r="AT18" s="114"/>
      <c r="AU18" s="115" t="str">
        <f t="shared" ca="1" si="1"/>
        <v>Incomplete</v>
      </c>
      <c r="AV18" s="115"/>
      <c r="AW18" s="115"/>
      <c r="AX18" s="115"/>
      <c r="AY18" s="158"/>
      <c r="AZ18" s="158"/>
      <c r="BA18" s="158"/>
      <c r="BB18" s="158"/>
      <c r="BC18" s="158"/>
      <c r="BD18" s="158"/>
      <c r="BE18" s="158"/>
      <c r="BL18" s="15"/>
      <c r="BS18" s="12"/>
    </row>
    <row r="19" spans="2:71" ht="28.5" customHeight="1" thickBot="1">
      <c r="B19" s="25" t="s">
        <v>71</v>
      </c>
      <c r="C19" s="74" t="s">
        <v>72</v>
      </c>
      <c r="D19" s="76"/>
      <c r="F19" s="132" t="s">
        <v>168</v>
      </c>
      <c r="G19" s="133"/>
      <c r="H19" s="133"/>
      <c r="I19" s="133"/>
      <c r="J19" s="133"/>
      <c r="K19" s="133"/>
      <c r="L19" s="133"/>
      <c r="M19" s="134"/>
      <c r="O19" s="132" t="s">
        <v>169</v>
      </c>
      <c r="P19" s="133"/>
      <c r="Q19" s="133"/>
      <c r="R19" s="133"/>
      <c r="S19" s="133"/>
      <c r="T19" s="133"/>
      <c r="U19" s="133"/>
      <c r="V19" s="134"/>
      <c r="X19" s="132" t="s">
        <v>170</v>
      </c>
      <c r="Y19" s="133"/>
      <c r="Z19" s="133"/>
      <c r="AA19" s="133"/>
      <c r="AB19" s="133"/>
      <c r="AC19" s="133"/>
      <c r="AD19" s="133"/>
      <c r="AE19" s="134"/>
      <c r="AF19" s="26"/>
      <c r="AG19" s="121" t="s">
        <v>75</v>
      </c>
      <c r="AH19" s="121"/>
      <c r="AI19" s="121"/>
      <c r="AJ19" s="122" t="s">
        <v>76</v>
      </c>
      <c r="AK19" s="122"/>
      <c r="AL19" s="122"/>
      <c r="AM19" s="122"/>
      <c r="AN19" s="122"/>
      <c r="AO19" s="114">
        <v>46054</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46055</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46056</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46022</v>
      </c>
      <c r="G24" s="31">
        <f>F24+7</f>
        <v>46029</v>
      </c>
      <c r="H24" s="31">
        <f t="shared" ref="H24:BE24" si="4">G24+7</f>
        <v>46036</v>
      </c>
      <c r="I24" s="31">
        <f t="shared" si="4"/>
        <v>46043</v>
      </c>
      <c r="J24" s="31">
        <f t="shared" si="4"/>
        <v>46050</v>
      </c>
      <c r="K24" s="31">
        <f t="shared" si="4"/>
        <v>46057</v>
      </c>
      <c r="L24" s="31">
        <f t="shared" si="4"/>
        <v>46064</v>
      </c>
      <c r="M24" s="31">
        <f t="shared" si="4"/>
        <v>46071</v>
      </c>
      <c r="N24" s="31">
        <f t="shared" si="4"/>
        <v>46078</v>
      </c>
      <c r="O24" s="31">
        <f t="shared" si="4"/>
        <v>46085</v>
      </c>
      <c r="P24" s="31">
        <f t="shared" si="4"/>
        <v>46092</v>
      </c>
      <c r="Q24" s="31">
        <f t="shared" si="4"/>
        <v>46099</v>
      </c>
      <c r="R24" s="31">
        <f t="shared" si="4"/>
        <v>46106</v>
      </c>
      <c r="S24" s="31">
        <f t="shared" si="4"/>
        <v>46113</v>
      </c>
      <c r="T24" s="31">
        <f t="shared" si="4"/>
        <v>46120</v>
      </c>
      <c r="U24" s="31">
        <f t="shared" si="4"/>
        <v>46127</v>
      </c>
      <c r="V24" s="31">
        <f t="shared" si="4"/>
        <v>46134</v>
      </c>
      <c r="W24" s="31">
        <f t="shared" si="4"/>
        <v>46141</v>
      </c>
      <c r="X24" s="31">
        <f t="shared" si="4"/>
        <v>46148</v>
      </c>
      <c r="Y24" s="31">
        <f t="shared" si="4"/>
        <v>46155</v>
      </c>
      <c r="Z24" s="31">
        <f t="shared" si="4"/>
        <v>46162</v>
      </c>
      <c r="AA24" s="31">
        <f t="shared" si="4"/>
        <v>46169</v>
      </c>
      <c r="AB24" s="31">
        <f t="shared" si="4"/>
        <v>46176</v>
      </c>
      <c r="AC24" s="31">
        <f t="shared" si="4"/>
        <v>46183</v>
      </c>
      <c r="AD24" s="31">
        <f t="shared" si="4"/>
        <v>46190</v>
      </c>
      <c r="AE24" s="31">
        <f t="shared" si="4"/>
        <v>46197</v>
      </c>
      <c r="AF24" s="31">
        <f t="shared" si="4"/>
        <v>46204</v>
      </c>
      <c r="AG24" s="31">
        <f t="shared" si="4"/>
        <v>46211</v>
      </c>
      <c r="AH24" s="31">
        <f t="shared" si="4"/>
        <v>46218</v>
      </c>
      <c r="AI24" s="31">
        <f t="shared" si="4"/>
        <v>46225</v>
      </c>
      <c r="AJ24" s="31">
        <f t="shared" si="4"/>
        <v>46232</v>
      </c>
      <c r="AK24" s="31">
        <f t="shared" si="4"/>
        <v>46239</v>
      </c>
      <c r="AL24" s="31">
        <f t="shared" si="4"/>
        <v>46246</v>
      </c>
      <c r="AM24" s="31">
        <f t="shared" si="4"/>
        <v>46253</v>
      </c>
      <c r="AN24" s="31">
        <f t="shared" si="4"/>
        <v>46260</v>
      </c>
      <c r="AO24" s="31">
        <f t="shared" si="4"/>
        <v>46267</v>
      </c>
      <c r="AP24" s="31">
        <f t="shared" si="4"/>
        <v>46274</v>
      </c>
      <c r="AQ24" s="31">
        <f t="shared" si="4"/>
        <v>46281</v>
      </c>
      <c r="AR24" s="31">
        <f t="shared" si="4"/>
        <v>46288</v>
      </c>
      <c r="AS24" s="31">
        <f t="shared" si="4"/>
        <v>46295</v>
      </c>
      <c r="AT24" s="31">
        <f t="shared" si="4"/>
        <v>46302</v>
      </c>
      <c r="AU24" s="31">
        <f t="shared" si="4"/>
        <v>46309</v>
      </c>
      <c r="AV24" s="31">
        <f t="shared" si="4"/>
        <v>46316</v>
      </c>
      <c r="AW24" s="31">
        <f t="shared" si="4"/>
        <v>46323</v>
      </c>
      <c r="AX24" s="31">
        <f t="shared" si="4"/>
        <v>46330</v>
      </c>
      <c r="AY24" s="31">
        <f t="shared" si="4"/>
        <v>46337</v>
      </c>
      <c r="AZ24" s="31">
        <f t="shared" si="4"/>
        <v>46344</v>
      </c>
      <c r="BA24" s="31">
        <f t="shared" si="4"/>
        <v>46351</v>
      </c>
      <c r="BB24" s="31">
        <f t="shared" si="4"/>
        <v>46358</v>
      </c>
      <c r="BC24" s="31">
        <f t="shared" si="4"/>
        <v>46365</v>
      </c>
      <c r="BD24" s="31">
        <f t="shared" si="4"/>
        <v>46372</v>
      </c>
      <c r="BE24" s="31">
        <f t="shared" si="4"/>
        <v>46379</v>
      </c>
      <c r="BJ24" s="21"/>
    </row>
    <row r="25" spans="2:71">
      <c r="B25" s="146" t="str">
        <f>G13&amp;" TARGET"</f>
        <v>Employee AI Tool Adoption Rate TARGET</v>
      </c>
      <c r="C25" s="147"/>
      <c r="D25" s="147"/>
      <c r="E25" s="148"/>
      <c r="F25" s="59">
        <v>0</v>
      </c>
      <c r="G25" s="59">
        <f>F25</f>
        <v>0</v>
      </c>
      <c r="H25" s="59">
        <f t="shared" ref="H25:M25" si="5">G25</f>
        <v>0</v>
      </c>
      <c r="I25" s="59">
        <f t="shared" si="5"/>
        <v>0</v>
      </c>
      <c r="J25" s="59">
        <f t="shared" si="5"/>
        <v>0</v>
      </c>
      <c r="K25" s="59">
        <f t="shared" si="5"/>
        <v>0</v>
      </c>
      <c r="L25" s="59">
        <f t="shared" si="5"/>
        <v>0</v>
      </c>
      <c r="M25" s="59">
        <f t="shared" si="5"/>
        <v>0</v>
      </c>
      <c r="N25" s="59">
        <f t="shared" ref="N25" si="6">M25</f>
        <v>0</v>
      </c>
      <c r="O25" s="59">
        <f t="shared" ref="O25" si="7">N25</f>
        <v>0</v>
      </c>
      <c r="P25" s="59">
        <f t="shared" ref="P25" si="8">O25</f>
        <v>0</v>
      </c>
      <c r="Q25" s="59">
        <f t="shared" ref="Q25" si="9">P25</f>
        <v>0</v>
      </c>
      <c r="R25" s="59">
        <f t="shared" ref="R25" si="10">Q25</f>
        <v>0</v>
      </c>
      <c r="S25" s="59">
        <f t="shared" ref="S25" si="11">R25</f>
        <v>0</v>
      </c>
      <c r="T25" s="59">
        <f t="shared" ref="T25" si="12">S25</f>
        <v>0</v>
      </c>
      <c r="U25" s="59">
        <f t="shared" ref="U25" si="13">T25</f>
        <v>0</v>
      </c>
      <c r="V25" s="59">
        <f t="shared" ref="V25" si="14">U25</f>
        <v>0</v>
      </c>
      <c r="W25" s="59">
        <f t="shared" ref="W25" si="15">V25</f>
        <v>0</v>
      </c>
      <c r="X25" s="59">
        <f t="shared" ref="X25" si="16">W25</f>
        <v>0</v>
      </c>
      <c r="Y25" s="59">
        <f t="shared" ref="Y25" si="17">X25</f>
        <v>0</v>
      </c>
      <c r="Z25" s="59">
        <f t="shared" ref="Z25" si="18">Y25</f>
        <v>0</v>
      </c>
      <c r="AA25" s="59">
        <f t="shared" ref="AA25" si="19">Z25</f>
        <v>0</v>
      </c>
      <c r="AB25" s="59">
        <f t="shared" ref="AB25" si="20">AA25</f>
        <v>0</v>
      </c>
      <c r="AC25" s="59">
        <f t="shared" ref="AC25" si="21">AB25</f>
        <v>0</v>
      </c>
      <c r="AD25" s="59">
        <f t="shared" ref="AD25" si="22">AC25</f>
        <v>0</v>
      </c>
      <c r="AE25" s="59">
        <f t="shared" ref="AE25" si="23">AD25</f>
        <v>0</v>
      </c>
      <c r="AF25" s="59">
        <f t="shared" ref="AF25" si="24">AE25</f>
        <v>0</v>
      </c>
      <c r="AG25" s="59">
        <f t="shared" ref="AG25" si="25">AF25</f>
        <v>0</v>
      </c>
      <c r="AH25" s="59">
        <f t="shared" ref="AH25" si="26">AG25</f>
        <v>0</v>
      </c>
      <c r="AI25" s="59">
        <f t="shared" ref="AI25" si="27">AH25</f>
        <v>0</v>
      </c>
      <c r="AJ25" s="59">
        <f t="shared" ref="AJ25" si="28">AI25</f>
        <v>0</v>
      </c>
      <c r="AK25" s="59">
        <f t="shared" ref="AK25" si="29">AJ25</f>
        <v>0</v>
      </c>
      <c r="AL25" s="59">
        <f t="shared" ref="AL25" si="30">AK25</f>
        <v>0</v>
      </c>
      <c r="AM25" s="59">
        <f t="shared" ref="AM25" si="31">AL25</f>
        <v>0</v>
      </c>
      <c r="AN25" s="59">
        <f t="shared" ref="AN25" si="32">AM25</f>
        <v>0</v>
      </c>
      <c r="AO25" s="59">
        <f t="shared" ref="AO25" si="33">AN25</f>
        <v>0</v>
      </c>
      <c r="AP25" s="59">
        <f t="shared" ref="AP25" si="34">AO25</f>
        <v>0</v>
      </c>
      <c r="AQ25" s="59">
        <f t="shared" ref="AQ25" si="35">AP25</f>
        <v>0</v>
      </c>
      <c r="AR25" s="59">
        <f t="shared" ref="AR25" si="36">AQ25</f>
        <v>0</v>
      </c>
      <c r="AS25" s="59">
        <f t="shared" ref="AS25" si="37">AR25</f>
        <v>0</v>
      </c>
      <c r="AT25" s="59">
        <f t="shared" ref="AT25" si="38">AS25</f>
        <v>0</v>
      </c>
      <c r="AU25" s="59">
        <f t="shared" ref="AU25" si="39">AT25</f>
        <v>0</v>
      </c>
      <c r="AV25" s="59">
        <f t="shared" ref="AV25" si="40">AU25</f>
        <v>0</v>
      </c>
      <c r="AW25" s="59">
        <f t="shared" ref="AW25" si="41">AV25</f>
        <v>0</v>
      </c>
      <c r="AX25" s="59">
        <f t="shared" ref="AX25" si="42">AW25</f>
        <v>0</v>
      </c>
      <c r="AY25" s="59">
        <f t="shared" ref="AY25" si="43">AX25</f>
        <v>0</v>
      </c>
      <c r="AZ25" s="59">
        <f t="shared" ref="AZ25" si="44">AY25</f>
        <v>0</v>
      </c>
      <c r="BA25" s="59">
        <f t="shared" ref="BA25" si="45">AZ25</f>
        <v>0</v>
      </c>
      <c r="BB25" s="59">
        <f t="shared" ref="BB25" si="46">BA25</f>
        <v>0</v>
      </c>
      <c r="BC25" s="59">
        <f t="shared" ref="BC25" si="47">BB25</f>
        <v>0</v>
      </c>
      <c r="BD25" s="59">
        <f t="shared" ref="BD25" si="48">BC25</f>
        <v>0</v>
      </c>
      <c r="BE25" s="59">
        <f t="shared" ref="BE25" si="49">BD25</f>
        <v>0</v>
      </c>
    </row>
    <row r="26" spans="2:71">
      <c r="B26" s="146" t="s">
        <v>85</v>
      </c>
      <c r="C26" s="147"/>
      <c r="D26" s="147"/>
      <c r="E26" s="148"/>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0</v>
      </c>
      <c r="G27" s="60">
        <f t="shared" ref="G27:BE27" si="50">G26-G25</f>
        <v>0</v>
      </c>
      <c r="H27" s="60">
        <f t="shared" si="50"/>
        <v>0</v>
      </c>
      <c r="I27" s="60">
        <f t="shared" si="50"/>
        <v>0</v>
      </c>
      <c r="J27" s="60">
        <f t="shared" si="50"/>
        <v>0</v>
      </c>
      <c r="K27" s="60">
        <f t="shared" si="50"/>
        <v>0</v>
      </c>
      <c r="L27" s="60">
        <f t="shared" si="50"/>
        <v>0</v>
      </c>
      <c r="M27" s="60">
        <f t="shared" si="50"/>
        <v>0</v>
      </c>
      <c r="N27" s="60">
        <f t="shared" si="50"/>
        <v>0</v>
      </c>
      <c r="O27" s="60">
        <f t="shared" si="50"/>
        <v>0</v>
      </c>
      <c r="P27" s="60">
        <f t="shared" si="50"/>
        <v>0</v>
      </c>
      <c r="Q27" s="60">
        <f t="shared" si="50"/>
        <v>0</v>
      </c>
      <c r="R27" s="60">
        <f t="shared" si="50"/>
        <v>0</v>
      </c>
      <c r="S27" s="60">
        <f t="shared" si="50"/>
        <v>0</v>
      </c>
      <c r="T27" s="60">
        <f t="shared" si="50"/>
        <v>0</v>
      </c>
      <c r="U27" s="60">
        <f t="shared" si="50"/>
        <v>0</v>
      </c>
      <c r="V27" s="60">
        <f t="shared" si="50"/>
        <v>0</v>
      </c>
      <c r="W27" s="60">
        <f t="shared" si="50"/>
        <v>0</v>
      </c>
      <c r="X27" s="60">
        <f t="shared" si="50"/>
        <v>0</v>
      </c>
      <c r="Y27" s="60">
        <f t="shared" si="50"/>
        <v>0</v>
      </c>
      <c r="Z27" s="60">
        <f t="shared" si="50"/>
        <v>0</v>
      </c>
      <c r="AA27" s="60">
        <f t="shared" si="50"/>
        <v>0</v>
      </c>
      <c r="AB27" s="60">
        <f t="shared" si="50"/>
        <v>0</v>
      </c>
      <c r="AC27" s="60">
        <f t="shared" si="50"/>
        <v>0</v>
      </c>
      <c r="AD27" s="60">
        <f t="shared" si="50"/>
        <v>0</v>
      </c>
      <c r="AE27" s="60">
        <f t="shared" si="50"/>
        <v>0</v>
      </c>
      <c r="AF27" s="60">
        <f t="shared" si="50"/>
        <v>0</v>
      </c>
      <c r="AG27" s="60">
        <f t="shared" si="50"/>
        <v>0</v>
      </c>
      <c r="AH27" s="60">
        <f t="shared" si="50"/>
        <v>0</v>
      </c>
      <c r="AI27" s="60">
        <f t="shared" si="50"/>
        <v>0</v>
      </c>
      <c r="AJ27" s="60">
        <f t="shared" si="50"/>
        <v>0</v>
      </c>
      <c r="AK27" s="60">
        <f t="shared" si="50"/>
        <v>0</v>
      </c>
      <c r="AL27" s="60">
        <f t="shared" si="50"/>
        <v>0</v>
      </c>
      <c r="AM27" s="60">
        <f t="shared" si="50"/>
        <v>0</v>
      </c>
      <c r="AN27" s="60">
        <f t="shared" si="50"/>
        <v>0</v>
      </c>
      <c r="AO27" s="60">
        <f t="shared" si="50"/>
        <v>0</v>
      </c>
      <c r="AP27" s="60">
        <f t="shared" si="50"/>
        <v>0</v>
      </c>
      <c r="AQ27" s="60">
        <f t="shared" si="50"/>
        <v>0</v>
      </c>
      <c r="AR27" s="60">
        <f t="shared" si="50"/>
        <v>0</v>
      </c>
      <c r="AS27" s="60">
        <f t="shared" si="50"/>
        <v>0</v>
      </c>
      <c r="AT27" s="60">
        <f t="shared" si="50"/>
        <v>0</v>
      </c>
      <c r="AU27" s="60">
        <f t="shared" si="50"/>
        <v>0</v>
      </c>
      <c r="AV27" s="60">
        <f t="shared" si="50"/>
        <v>0</v>
      </c>
      <c r="AW27" s="60">
        <f t="shared" si="50"/>
        <v>0</v>
      </c>
      <c r="AX27" s="60">
        <f t="shared" si="50"/>
        <v>0</v>
      </c>
      <c r="AY27" s="60">
        <f t="shared" si="50"/>
        <v>0</v>
      </c>
      <c r="AZ27" s="60">
        <f t="shared" si="50"/>
        <v>0</v>
      </c>
      <c r="BA27" s="60">
        <f t="shared" si="50"/>
        <v>0</v>
      </c>
      <c r="BB27" s="60">
        <f t="shared" si="50"/>
        <v>0</v>
      </c>
      <c r="BC27" s="60">
        <f t="shared" si="50"/>
        <v>0</v>
      </c>
      <c r="BD27" s="60">
        <f t="shared" si="50"/>
        <v>0</v>
      </c>
      <c r="BE27" s="60">
        <f t="shared" si="50"/>
        <v>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Employee Productivity Gains TARGET</v>
      </c>
      <c r="C30" s="147"/>
      <c r="D30" s="147"/>
      <c r="E30" s="148"/>
      <c r="F30" s="59">
        <v>0</v>
      </c>
      <c r="G30" s="59">
        <f>F30</f>
        <v>0</v>
      </c>
      <c r="H30" s="59">
        <f t="shared" ref="H30:BE30" si="51">G30</f>
        <v>0</v>
      </c>
      <c r="I30" s="59">
        <f t="shared" si="51"/>
        <v>0</v>
      </c>
      <c r="J30" s="59">
        <f t="shared" si="51"/>
        <v>0</v>
      </c>
      <c r="K30" s="59">
        <f t="shared" si="51"/>
        <v>0</v>
      </c>
      <c r="L30" s="59">
        <f t="shared" si="51"/>
        <v>0</v>
      </c>
      <c r="M30" s="59">
        <f t="shared" si="51"/>
        <v>0</v>
      </c>
      <c r="N30" s="59">
        <f t="shared" si="51"/>
        <v>0</v>
      </c>
      <c r="O30" s="59">
        <f t="shared" si="51"/>
        <v>0</v>
      </c>
      <c r="P30" s="59">
        <f t="shared" si="51"/>
        <v>0</v>
      </c>
      <c r="Q30" s="59">
        <f t="shared" si="51"/>
        <v>0</v>
      </c>
      <c r="R30" s="59">
        <f t="shared" si="51"/>
        <v>0</v>
      </c>
      <c r="S30" s="59">
        <f t="shared" si="51"/>
        <v>0</v>
      </c>
      <c r="T30" s="59">
        <f t="shared" si="51"/>
        <v>0</v>
      </c>
      <c r="U30" s="59">
        <f t="shared" si="51"/>
        <v>0</v>
      </c>
      <c r="V30" s="59">
        <f t="shared" si="51"/>
        <v>0</v>
      </c>
      <c r="W30" s="59">
        <f t="shared" si="51"/>
        <v>0</v>
      </c>
      <c r="X30" s="59">
        <f t="shared" si="51"/>
        <v>0</v>
      </c>
      <c r="Y30" s="59">
        <f t="shared" si="51"/>
        <v>0</v>
      </c>
      <c r="Z30" s="59">
        <f t="shared" si="51"/>
        <v>0</v>
      </c>
      <c r="AA30" s="59">
        <f t="shared" si="51"/>
        <v>0</v>
      </c>
      <c r="AB30" s="59">
        <f t="shared" si="51"/>
        <v>0</v>
      </c>
      <c r="AC30" s="59">
        <f t="shared" si="51"/>
        <v>0</v>
      </c>
      <c r="AD30" s="59">
        <f t="shared" si="51"/>
        <v>0</v>
      </c>
      <c r="AE30" s="59">
        <f t="shared" si="51"/>
        <v>0</v>
      </c>
      <c r="AF30" s="59">
        <f t="shared" si="51"/>
        <v>0</v>
      </c>
      <c r="AG30" s="59">
        <f t="shared" si="51"/>
        <v>0</v>
      </c>
      <c r="AH30" s="59">
        <f t="shared" si="51"/>
        <v>0</v>
      </c>
      <c r="AI30" s="59">
        <f t="shared" si="51"/>
        <v>0</v>
      </c>
      <c r="AJ30" s="59">
        <f t="shared" si="51"/>
        <v>0</v>
      </c>
      <c r="AK30" s="59">
        <f t="shared" si="51"/>
        <v>0</v>
      </c>
      <c r="AL30" s="59">
        <f t="shared" si="51"/>
        <v>0</v>
      </c>
      <c r="AM30" s="59">
        <f t="shared" si="51"/>
        <v>0</v>
      </c>
      <c r="AN30" s="59">
        <f t="shared" si="51"/>
        <v>0</v>
      </c>
      <c r="AO30" s="59">
        <f t="shared" si="51"/>
        <v>0</v>
      </c>
      <c r="AP30" s="59">
        <f t="shared" si="51"/>
        <v>0</v>
      </c>
      <c r="AQ30" s="59">
        <f t="shared" si="51"/>
        <v>0</v>
      </c>
      <c r="AR30" s="59">
        <f t="shared" si="51"/>
        <v>0</v>
      </c>
      <c r="AS30" s="59">
        <f t="shared" si="51"/>
        <v>0</v>
      </c>
      <c r="AT30" s="59">
        <f t="shared" si="51"/>
        <v>0</v>
      </c>
      <c r="AU30" s="59">
        <f t="shared" si="51"/>
        <v>0</v>
      </c>
      <c r="AV30" s="59">
        <f t="shared" si="51"/>
        <v>0</v>
      </c>
      <c r="AW30" s="59">
        <f t="shared" si="51"/>
        <v>0</v>
      </c>
      <c r="AX30" s="59">
        <f t="shared" si="51"/>
        <v>0</v>
      </c>
      <c r="AY30" s="59">
        <f t="shared" si="51"/>
        <v>0</v>
      </c>
      <c r="AZ30" s="59">
        <f t="shared" si="51"/>
        <v>0</v>
      </c>
      <c r="BA30" s="59">
        <f t="shared" si="51"/>
        <v>0</v>
      </c>
      <c r="BB30" s="59">
        <f t="shared" si="51"/>
        <v>0</v>
      </c>
      <c r="BC30" s="59">
        <f t="shared" si="51"/>
        <v>0</v>
      </c>
      <c r="BD30" s="59">
        <f t="shared" si="51"/>
        <v>0</v>
      </c>
      <c r="BE30" s="59">
        <f t="shared" si="51"/>
        <v>0</v>
      </c>
    </row>
    <row r="31" spans="2:71">
      <c r="B31" s="146" t="s">
        <v>85</v>
      </c>
      <c r="C31" s="147"/>
      <c r="D31" s="147"/>
      <c r="E31" s="148"/>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0</v>
      </c>
      <c r="G32" s="60">
        <f t="shared" ref="G32:BE32" si="52">G31-G30</f>
        <v>0</v>
      </c>
      <c r="H32" s="60">
        <f t="shared" si="52"/>
        <v>0</v>
      </c>
      <c r="I32" s="60">
        <f t="shared" si="52"/>
        <v>0</v>
      </c>
      <c r="J32" s="60">
        <f t="shared" si="52"/>
        <v>0</v>
      </c>
      <c r="K32" s="60">
        <f t="shared" si="52"/>
        <v>0</v>
      </c>
      <c r="L32" s="60">
        <f t="shared" si="52"/>
        <v>0</v>
      </c>
      <c r="M32" s="60">
        <f t="shared" si="52"/>
        <v>0</v>
      </c>
      <c r="N32" s="60">
        <f t="shared" si="52"/>
        <v>0</v>
      </c>
      <c r="O32" s="60">
        <f t="shared" si="52"/>
        <v>0</v>
      </c>
      <c r="P32" s="60">
        <f t="shared" si="52"/>
        <v>0</v>
      </c>
      <c r="Q32" s="60">
        <f t="shared" si="52"/>
        <v>0</v>
      </c>
      <c r="R32" s="60">
        <f t="shared" si="52"/>
        <v>0</v>
      </c>
      <c r="S32" s="60">
        <f t="shared" si="52"/>
        <v>0</v>
      </c>
      <c r="T32" s="60">
        <f t="shared" si="52"/>
        <v>0</v>
      </c>
      <c r="U32" s="60">
        <f t="shared" si="52"/>
        <v>0</v>
      </c>
      <c r="V32" s="60">
        <f t="shared" si="52"/>
        <v>0</v>
      </c>
      <c r="W32" s="60">
        <f t="shared" si="52"/>
        <v>0</v>
      </c>
      <c r="X32" s="60">
        <f t="shared" si="52"/>
        <v>0</v>
      </c>
      <c r="Y32" s="60">
        <f t="shared" si="52"/>
        <v>0</v>
      </c>
      <c r="Z32" s="60">
        <f t="shared" si="52"/>
        <v>0</v>
      </c>
      <c r="AA32" s="60">
        <f t="shared" si="52"/>
        <v>0</v>
      </c>
      <c r="AB32" s="60">
        <f t="shared" si="52"/>
        <v>0</v>
      </c>
      <c r="AC32" s="60">
        <f t="shared" si="52"/>
        <v>0</v>
      </c>
      <c r="AD32" s="60">
        <f t="shared" si="52"/>
        <v>0</v>
      </c>
      <c r="AE32" s="60">
        <f t="shared" si="52"/>
        <v>0</v>
      </c>
      <c r="AF32" s="60">
        <f t="shared" si="52"/>
        <v>0</v>
      </c>
      <c r="AG32" s="60">
        <f t="shared" si="52"/>
        <v>0</v>
      </c>
      <c r="AH32" s="60">
        <f t="shared" si="52"/>
        <v>0</v>
      </c>
      <c r="AI32" s="60">
        <f t="shared" si="52"/>
        <v>0</v>
      </c>
      <c r="AJ32" s="60">
        <f t="shared" si="52"/>
        <v>0</v>
      </c>
      <c r="AK32" s="60">
        <f t="shared" si="52"/>
        <v>0</v>
      </c>
      <c r="AL32" s="60">
        <f t="shared" si="52"/>
        <v>0</v>
      </c>
      <c r="AM32" s="60">
        <f t="shared" si="52"/>
        <v>0</v>
      </c>
      <c r="AN32" s="60">
        <f t="shared" si="52"/>
        <v>0</v>
      </c>
      <c r="AO32" s="60">
        <f t="shared" si="52"/>
        <v>0</v>
      </c>
      <c r="AP32" s="60">
        <f t="shared" si="52"/>
        <v>0</v>
      </c>
      <c r="AQ32" s="60">
        <f t="shared" si="52"/>
        <v>0</v>
      </c>
      <c r="AR32" s="60">
        <f t="shared" si="52"/>
        <v>0</v>
      </c>
      <c r="AS32" s="60">
        <f t="shared" si="52"/>
        <v>0</v>
      </c>
      <c r="AT32" s="60">
        <f t="shared" si="52"/>
        <v>0</v>
      </c>
      <c r="AU32" s="60">
        <f t="shared" si="52"/>
        <v>0</v>
      </c>
      <c r="AV32" s="60">
        <f t="shared" si="52"/>
        <v>0</v>
      </c>
      <c r="AW32" s="60">
        <f t="shared" si="52"/>
        <v>0</v>
      </c>
      <c r="AX32" s="60">
        <f t="shared" si="52"/>
        <v>0</v>
      </c>
      <c r="AY32" s="60">
        <f t="shared" si="52"/>
        <v>0</v>
      </c>
      <c r="AZ32" s="60">
        <f t="shared" si="52"/>
        <v>0</v>
      </c>
      <c r="BA32" s="60">
        <f t="shared" si="52"/>
        <v>0</v>
      </c>
      <c r="BB32" s="60">
        <f t="shared" si="52"/>
        <v>0</v>
      </c>
      <c r="BC32" s="60">
        <f t="shared" si="52"/>
        <v>0</v>
      </c>
      <c r="BD32" s="60">
        <f t="shared" si="52"/>
        <v>0</v>
      </c>
      <c r="BE32" s="60">
        <f t="shared" si="52"/>
        <v>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Conversion Rates from AI-powered features TARGET</v>
      </c>
      <c r="C35" s="147"/>
      <c r="D35" s="147"/>
      <c r="E35" s="148"/>
      <c r="F35" s="59">
        <v>0</v>
      </c>
      <c r="G35" s="59">
        <f>F35</f>
        <v>0</v>
      </c>
      <c r="H35" s="59">
        <f t="shared" ref="H35:BE35" si="53">G35</f>
        <v>0</v>
      </c>
      <c r="I35" s="59">
        <f t="shared" si="53"/>
        <v>0</v>
      </c>
      <c r="J35" s="59">
        <f t="shared" si="53"/>
        <v>0</v>
      </c>
      <c r="K35" s="59">
        <f t="shared" si="53"/>
        <v>0</v>
      </c>
      <c r="L35" s="59">
        <f t="shared" si="53"/>
        <v>0</v>
      </c>
      <c r="M35" s="59">
        <f t="shared" si="53"/>
        <v>0</v>
      </c>
      <c r="N35" s="59">
        <f t="shared" si="53"/>
        <v>0</v>
      </c>
      <c r="O35" s="59">
        <f t="shared" si="53"/>
        <v>0</v>
      </c>
      <c r="P35" s="59">
        <f t="shared" si="53"/>
        <v>0</v>
      </c>
      <c r="Q35" s="59">
        <f t="shared" si="53"/>
        <v>0</v>
      </c>
      <c r="R35" s="59">
        <f t="shared" si="53"/>
        <v>0</v>
      </c>
      <c r="S35" s="59">
        <f t="shared" si="53"/>
        <v>0</v>
      </c>
      <c r="T35" s="59">
        <f t="shared" si="53"/>
        <v>0</v>
      </c>
      <c r="U35" s="59">
        <f t="shared" si="53"/>
        <v>0</v>
      </c>
      <c r="V35" s="59">
        <f t="shared" si="53"/>
        <v>0</v>
      </c>
      <c r="W35" s="59">
        <f t="shared" si="53"/>
        <v>0</v>
      </c>
      <c r="X35" s="59">
        <f t="shared" si="53"/>
        <v>0</v>
      </c>
      <c r="Y35" s="59">
        <f t="shared" si="53"/>
        <v>0</v>
      </c>
      <c r="Z35" s="59">
        <f t="shared" si="53"/>
        <v>0</v>
      </c>
      <c r="AA35" s="59">
        <f t="shared" si="53"/>
        <v>0</v>
      </c>
      <c r="AB35" s="59">
        <f t="shared" si="53"/>
        <v>0</v>
      </c>
      <c r="AC35" s="59">
        <f t="shared" si="53"/>
        <v>0</v>
      </c>
      <c r="AD35" s="59">
        <f t="shared" si="53"/>
        <v>0</v>
      </c>
      <c r="AE35" s="59">
        <f t="shared" si="53"/>
        <v>0</v>
      </c>
      <c r="AF35" s="59">
        <f t="shared" si="53"/>
        <v>0</v>
      </c>
      <c r="AG35" s="59">
        <f t="shared" si="53"/>
        <v>0</v>
      </c>
      <c r="AH35" s="59">
        <f t="shared" si="53"/>
        <v>0</v>
      </c>
      <c r="AI35" s="59">
        <f t="shared" si="53"/>
        <v>0</v>
      </c>
      <c r="AJ35" s="59">
        <f t="shared" si="53"/>
        <v>0</v>
      </c>
      <c r="AK35" s="59">
        <f t="shared" si="53"/>
        <v>0</v>
      </c>
      <c r="AL35" s="59">
        <f t="shared" si="53"/>
        <v>0</v>
      </c>
      <c r="AM35" s="59">
        <f t="shared" si="53"/>
        <v>0</v>
      </c>
      <c r="AN35" s="59">
        <f t="shared" si="53"/>
        <v>0</v>
      </c>
      <c r="AO35" s="59">
        <f t="shared" si="53"/>
        <v>0</v>
      </c>
      <c r="AP35" s="59">
        <f t="shared" si="53"/>
        <v>0</v>
      </c>
      <c r="AQ35" s="59">
        <f t="shared" si="53"/>
        <v>0</v>
      </c>
      <c r="AR35" s="59">
        <f t="shared" si="53"/>
        <v>0</v>
      </c>
      <c r="AS35" s="59">
        <f t="shared" si="53"/>
        <v>0</v>
      </c>
      <c r="AT35" s="59">
        <f t="shared" si="53"/>
        <v>0</v>
      </c>
      <c r="AU35" s="59">
        <f t="shared" si="53"/>
        <v>0</v>
      </c>
      <c r="AV35" s="59">
        <f t="shared" si="53"/>
        <v>0</v>
      </c>
      <c r="AW35" s="59">
        <f t="shared" si="53"/>
        <v>0</v>
      </c>
      <c r="AX35" s="59">
        <f t="shared" si="53"/>
        <v>0</v>
      </c>
      <c r="AY35" s="59">
        <f t="shared" si="53"/>
        <v>0</v>
      </c>
      <c r="AZ35" s="59">
        <f t="shared" si="53"/>
        <v>0</v>
      </c>
      <c r="BA35" s="59">
        <f t="shared" si="53"/>
        <v>0</v>
      </c>
      <c r="BB35" s="59">
        <f t="shared" si="53"/>
        <v>0</v>
      </c>
      <c r="BC35" s="59">
        <f t="shared" si="53"/>
        <v>0</v>
      </c>
      <c r="BD35" s="59">
        <f t="shared" si="53"/>
        <v>0</v>
      </c>
      <c r="BE35" s="59">
        <f t="shared" si="53"/>
        <v>0</v>
      </c>
    </row>
    <row r="36" spans="2:62">
      <c r="B36" s="146" t="s">
        <v>85</v>
      </c>
      <c r="C36" s="147"/>
      <c r="D36" s="147"/>
      <c r="E36" s="148"/>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59">
        <v>0</v>
      </c>
      <c r="AE36" s="59">
        <v>0</v>
      </c>
      <c r="AF36" s="59">
        <v>0</v>
      </c>
      <c r="AG36" s="59">
        <v>0</v>
      </c>
      <c r="AH36" s="59">
        <v>0</v>
      </c>
      <c r="AI36" s="59">
        <v>0</v>
      </c>
      <c r="AJ36" s="59">
        <v>0</v>
      </c>
      <c r="AK36" s="59">
        <v>0</v>
      </c>
      <c r="AL36" s="59">
        <v>0</v>
      </c>
      <c r="AM36" s="59">
        <v>0</v>
      </c>
      <c r="AN36" s="59">
        <v>0</v>
      </c>
      <c r="AO36" s="59">
        <v>0</v>
      </c>
      <c r="AP36" s="59">
        <v>0</v>
      </c>
      <c r="AQ36" s="59">
        <v>0</v>
      </c>
      <c r="AR36" s="59">
        <v>0</v>
      </c>
      <c r="AS36" s="59">
        <v>0</v>
      </c>
      <c r="AT36" s="59">
        <v>0</v>
      </c>
      <c r="AU36" s="59">
        <v>0</v>
      </c>
      <c r="AV36" s="59">
        <v>0</v>
      </c>
      <c r="AW36" s="59">
        <v>0</v>
      </c>
      <c r="AX36" s="59">
        <v>0</v>
      </c>
      <c r="AY36" s="59">
        <v>0</v>
      </c>
      <c r="AZ36" s="59">
        <v>0</v>
      </c>
      <c r="BA36" s="59">
        <v>0</v>
      </c>
      <c r="BB36" s="59">
        <v>0</v>
      </c>
      <c r="BC36" s="59">
        <v>0</v>
      </c>
      <c r="BD36" s="59">
        <v>0</v>
      </c>
      <c r="BE36" s="59">
        <v>0</v>
      </c>
    </row>
    <row r="37" spans="2:62">
      <c r="B37" s="146" t="s">
        <v>86</v>
      </c>
      <c r="C37" s="147"/>
      <c r="D37" s="147"/>
      <c r="E37" s="148"/>
      <c r="F37" s="60">
        <f>F36-F35</f>
        <v>0</v>
      </c>
      <c r="G37" s="60">
        <f t="shared" ref="G37:BE37" si="54">G36-G35</f>
        <v>0</v>
      </c>
      <c r="H37" s="60">
        <f t="shared" si="54"/>
        <v>0</v>
      </c>
      <c r="I37" s="60">
        <f t="shared" si="54"/>
        <v>0</v>
      </c>
      <c r="J37" s="60">
        <f t="shared" si="54"/>
        <v>0</v>
      </c>
      <c r="K37" s="60">
        <f t="shared" si="54"/>
        <v>0</v>
      </c>
      <c r="L37" s="60">
        <f t="shared" si="54"/>
        <v>0</v>
      </c>
      <c r="M37" s="60">
        <f t="shared" si="54"/>
        <v>0</v>
      </c>
      <c r="N37" s="60">
        <f t="shared" si="54"/>
        <v>0</v>
      </c>
      <c r="O37" s="60">
        <f t="shared" si="54"/>
        <v>0</v>
      </c>
      <c r="P37" s="60">
        <f t="shared" si="54"/>
        <v>0</v>
      </c>
      <c r="Q37" s="60">
        <f t="shared" si="54"/>
        <v>0</v>
      </c>
      <c r="R37" s="60">
        <f t="shared" si="54"/>
        <v>0</v>
      </c>
      <c r="S37" s="60">
        <f t="shared" si="54"/>
        <v>0</v>
      </c>
      <c r="T37" s="60">
        <f t="shared" si="54"/>
        <v>0</v>
      </c>
      <c r="U37" s="60">
        <f t="shared" si="54"/>
        <v>0</v>
      </c>
      <c r="V37" s="60">
        <f t="shared" si="54"/>
        <v>0</v>
      </c>
      <c r="W37" s="60">
        <f t="shared" si="54"/>
        <v>0</v>
      </c>
      <c r="X37" s="60">
        <f t="shared" si="54"/>
        <v>0</v>
      </c>
      <c r="Y37" s="60">
        <f t="shared" si="54"/>
        <v>0</v>
      </c>
      <c r="Z37" s="60">
        <f t="shared" si="54"/>
        <v>0</v>
      </c>
      <c r="AA37" s="60">
        <f t="shared" si="54"/>
        <v>0</v>
      </c>
      <c r="AB37" s="60">
        <f t="shared" si="54"/>
        <v>0</v>
      </c>
      <c r="AC37" s="60">
        <f t="shared" si="54"/>
        <v>0</v>
      </c>
      <c r="AD37" s="60">
        <f t="shared" si="54"/>
        <v>0</v>
      </c>
      <c r="AE37" s="60">
        <f t="shared" si="54"/>
        <v>0</v>
      </c>
      <c r="AF37" s="60">
        <f t="shared" si="54"/>
        <v>0</v>
      </c>
      <c r="AG37" s="60">
        <f t="shared" si="54"/>
        <v>0</v>
      </c>
      <c r="AH37" s="60">
        <f t="shared" si="54"/>
        <v>0</v>
      </c>
      <c r="AI37" s="60">
        <f t="shared" si="54"/>
        <v>0</v>
      </c>
      <c r="AJ37" s="60">
        <f t="shared" si="54"/>
        <v>0</v>
      </c>
      <c r="AK37" s="60">
        <f t="shared" si="54"/>
        <v>0</v>
      </c>
      <c r="AL37" s="60">
        <f t="shared" si="54"/>
        <v>0</v>
      </c>
      <c r="AM37" s="60">
        <f t="shared" si="54"/>
        <v>0</v>
      </c>
      <c r="AN37" s="60">
        <f t="shared" si="54"/>
        <v>0</v>
      </c>
      <c r="AO37" s="60">
        <f t="shared" si="54"/>
        <v>0</v>
      </c>
      <c r="AP37" s="60">
        <f t="shared" si="54"/>
        <v>0</v>
      </c>
      <c r="AQ37" s="60">
        <f t="shared" si="54"/>
        <v>0</v>
      </c>
      <c r="AR37" s="60">
        <f t="shared" si="54"/>
        <v>0</v>
      </c>
      <c r="AS37" s="60">
        <f t="shared" si="54"/>
        <v>0</v>
      </c>
      <c r="AT37" s="60">
        <f t="shared" si="54"/>
        <v>0</v>
      </c>
      <c r="AU37" s="60">
        <f t="shared" si="54"/>
        <v>0</v>
      </c>
      <c r="AV37" s="60">
        <f t="shared" si="54"/>
        <v>0</v>
      </c>
      <c r="AW37" s="60">
        <f t="shared" si="54"/>
        <v>0</v>
      </c>
      <c r="AX37" s="60">
        <f t="shared" si="54"/>
        <v>0</v>
      </c>
      <c r="AY37" s="60">
        <f t="shared" si="54"/>
        <v>0</v>
      </c>
      <c r="AZ37" s="60">
        <f t="shared" si="54"/>
        <v>0</v>
      </c>
      <c r="BA37" s="60">
        <f t="shared" si="54"/>
        <v>0</v>
      </c>
      <c r="BB37" s="60">
        <f t="shared" si="54"/>
        <v>0</v>
      </c>
      <c r="BC37" s="60">
        <f t="shared" si="54"/>
        <v>0</v>
      </c>
      <c r="BD37" s="60">
        <f t="shared" si="54"/>
        <v>0</v>
      </c>
      <c r="BE37" s="60">
        <f t="shared" si="54"/>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2" priority="1" operator="equal">
      <formula>"No Change"</formula>
    </cfRule>
    <cfRule type="cellIs" dxfId="21" priority="2" operator="equal">
      <formula>"Progression"</formula>
    </cfRule>
  </conditionalFormatting>
  <conditionalFormatting sqref="AU10:AU21">
    <cfRule type="expression" dxfId="20" priority="3">
      <formula>IFERROR(FIND("Ahead",AU10),0)&gt;0</formula>
    </cfRule>
    <cfRule type="expression" dxfId="19" priority="4">
      <formula>IFERROR(FIND("Overdue",AU10),0)&gt;0</formula>
    </cfRule>
    <cfRule type="cellIs" dxfId="18" priority="5" operator="equal">
      <formula>"Met Target"</formula>
    </cfRule>
    <cfRule type="cellIs" dxfId="17" priority="6" operator="equal">
      <formula>"Missing Target"</formula>
    </cfRule>
    <cfRule type="expression" dxfId="1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18" activePane="bottomRight" state="frozen"/>
      <selection pane="bottomRight" activeCell="C21" sqref="C21:D2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79" t="s">
        <v>25</v>
      </c>
      <c r="C3" s="80"/>
      <c r="D3" s="80"/>
      <c r="E3" s="81"/>
      <c r="F3" s="85" t="s">
        <v>171</v>
      </c>
      <c r="G3" s="85"/>
      <c r="H3" s="85"/>
      <c r="I3" s="85"/>
      <c r="J3" s="85"/>
      <c r="K3" s="85"/>
      <c r="L3" s="85"/>
      <c r="M3" s="85"/>
      <c r="N3" s="85"/>
      <c r="O3" s="85"/>
      <c r="P3" s="85"/>
      <c r="Q3" s="85"/>
      <c r="R3" s="85"/>
      <c r="S3" s="85"/>
      <c r="T3" s="85"/>
      <c r="U3" s="85"/>
      <c r="V3" s="85"/>
      <c r="W3" s="85"/>
      <c r="X3" s="85"/>
      <c r="Y3" s="85"/>
      <c r="Z3" s="85"/>
      <c r="AA3" s="85"/>
      <c r="AB3" s="85"/>
      <c r="AC3" s="85"/>
      <c r="AD3" s="85"/>
      <c r="AE3" s="85"/>
      <c r="AF3" s="16"/>
      <c r="AG3" s="86" t="s">
        <v>27</v>
      </c>
      <c r="AH3" s="86"/>
      <c r="AI3" s="86"/>
      <c r="AJ3" s="86"/>
      <c r="AK3" s="86"/>
      <c r="AL3" s="86"/>
      <c r="AM3" s="86"/>
      <c r="AN3" s="86"/>
      <c r="AO3" s="87" t="str">
        <f>F8</f>
        <v>Simple Tool</v>
      </c>
      <c r="AP3" s="87"/>
      <c r="AQ3" s="87"/>
      <c r="AR3" s="87"/>
      <c r="AS3" s="87"/>
      <c r="AT3" s="87"/>
      <c r="AU3" s="87"/>
      <c r="AV3" s="92">
        <f>IF(F7="",0,VLOOKUP(F7,Lookups!B4:H8,3))</f>
        <v>10</v>
      </c>
      <c r="AW3" s="93"/>
      <c r="AX3" s="94"/>
      <c r="AY3" s="16"/>
      <c r="AZ3" s="95">
        <f ca="1">NOW()</f>
        <v>45961.475937731484</v>
      </c>
      <c r="BA3" s="96"/>
      <c r="BB3" s="96"/>
      <c r="BC3" s="96"/>
      <c r="BD3" s="96"/>
      <c r="BE3" s="97"/>
      <c r="BH3" s="13"/>
      <c r="BI3" s="17"/>
      <c r="BJ3" s="17"/>
      <c r="BK3" s="17"/>
    </row>
    <row r="4" spans="2:71" ht="28.5" customHeight="1" thickBot="1">
      <c r="B4" s="82"/>
      <c r="C4" s="83"/>
      <c r="D4" s="83"/>
      <c r="E4" s="84"/>
      <c r="F4" s="85"/>
      <c r="G4" s="85"/>
      <c r="H4" s="85"/>
      <c r="I4" s="85"/>
      <c r="J4" s="85"/>
      <c r="K4" s="85"/>
      <c r="L4" s="85"/>
      <c r="M4" s="85"/>
      <c r="N4" s="85"/>
      <c r="O4" s="85"/>
      <c r="P4" s="85"/>
      <c r="Q4" s="85"/>
      <c r="R4" s="85"/>
      <c r="S4" s="85"/>
      <c r="T4" s="85"/>
      <c r="U4" s="85"/>
      <c r="V4" s="85"/>
      <c r="W4" s="85"/>
      <c r="X4" s="85"/>
      <c r="Y4" s="85"/>
      <c r="Z4" s="85"/>
      <c r="AA4" s="85"/>
      <c r="AB4" s="85"/>
      <c r="AC4" s="85"/>
      <c r="AD4" s="85"/>
      <c r="AE4" s="85"/>
      <c r="AF4" s="16"/>
      <c r="AG4" s="86" t="s">
        <v>28</v>
      </c>
      <c r="AH4" s="86"/>
      <c r="AI4" s="86"/>
      <c r="AJ4" s="86"/>
      <c r="AK4" s="86"/>
      <c r="AL4" s="86"/>
      <c r="AM4" s="86"/>
      <c r="AN4" s="86"/>
      <c r="AO4" s="87" t="str">
        <f ca="1">VLOOKUP(COUNTIF(AR10:AT21,"&lt;="&amp;AZ3),Table3357[],2)</f>
        <v>Idea</v>
      </c>
      <c r="AP4" s="87"/>
      <c r="AQ4" s="87"/>
      <c r="AR4" s="87"/>
      <c r="AS4" s="87"/>
      <c r="AT4" s="87"/>
      <c r="AU4" s="87"/>
      <c r="AV4" s="89">
        <f ca="1">IF(AO4="Not Def",0,VLOOKUP(AO4,Lookups!L4:M8,2))</f>
        <v>0.1</v>
      </c>
      <c r="AW4" s="89"/>
      <c r="AX4" s="89"/>
      <c r="AY4" s="16"/>
      <c r="AZ4" s="98" t="s">
        <v>29</v>
      </c>
      <c r="BA4" s="77"/>
      <c r="BB4" s="77"/>
      <c r="BC4" s="77" t="str">
        <f ca="1">VLOOKUP((YEAR(AZ3)&amp;"-"&amp;MONTH(AZ3)),Lookups!S3:U21,2)</f>
        <v>2025-Q4</v>
      </c>
      <c r="BD4" s="77"/>
      <c r="BE4" s="78"/>
      <c r="BF4" s="16"/>
      <c r="BG4" s="16"/>
      <c r="BH4" s="13"/>
      <c r="BI4" s="17"/>
      <c r="BJ4" s="17"/>
      <c r="BK4" s="17"/>
    </row>
    <row r="5" spans="2:71" ht="28.5" customHeight="1" thickBot="1">
      <c r="B5" s="79" t="s">
        <v>30</v>
      </c>
      <c r="C5" s="80"/>
      <c r="D5" s="80"/>
      <c r="E5" s="81"/>
      <c r="F5" s="85" t="s">
        <v>172</v>
      </c>
      <c r="G5" s="85"/>
      <c r="H5" s="85"/>
      <c r="I5" s="85"/>
      <c r="J5" s="85"/>
      <c r="K5" s="85"/>
      <c r="L5" s="85"/>
      <c r="M5" s="85"/>
      <c r="N5" s="85"/>
      <c r="O5" s="85"/>
      <c r="P5" s="85"/>
      <c r="Q5" s="85"/>
      <c r="R5" s="85"/>
      <c r="S5" s="85"/>
      <c r="T5" s="85"/>
      <c r="U5" s="85"/>
      <c r="V5" s="85"/>
      <c r="W5" s="85"/>
      <c r="X5" s="85"/>
      <c r="Y5" s="85"/>
      <c r="Z5" s="85"/>
      <c r="AA5" s="85"/>
      <c r="AB5" s="85"/>
      <c r="AC5" s="85"/>
      <c r="AD5" s="85"/>
      <c r="AE5" s="85"/>
      <c r="AF5" s="18"/>
      <c r="AG5" s="86" t="s">
        <v>32</v>
      </c>
      <c r="AH5" s="86"/>
      <c r="AI5" s="86"/>
      <c r="AJ5" s="86"/>
      <c r="AK5" s="86"/>
      <c r="AL5" s="86"/>
      <c r="AM5" s="86"/>
      <c r="AN5" s="86"/>
      <c r="AO5" s="87" t="str">
        <f ca="1">VLOOKUP(COUNTIF(AR10:AT21,"&lt;"&amp;VLOOKUP(BC4,Lookups!W3:Y9,2)),Table3357[],2)</f>
        <v>Not Def</v>
      </c>
      <c r="AP5" s="87"/>
      <c r="AQ5" s="88" t="str">
        <f ca="1">IF(AV5=1,"No Change","Progression")</f>
        <v>Progression</v>
      </c>
      <c r="AR5" s="88"/>
      <c r="AS5" s="88"/>
      <c r="AT5" s="88"/>
      <c r="AU5" s="88"/>
      <c r="AV5" s="89">
        <f ca="1">IF(AO4="Not Def",0,IF(AO5=AO4,1,1.2))</f>
        <v>1.2</v>
      </c>
      <c r="AW5" s="89"/>
      <c r="AX5" s="89"/>
      <c r="AY5" s="18"/>
      <c r="AZ5" s="90"/>
      <c r="BA5" s="90"/>
      <c r="BB5" s="90"/>
      <c r="BC5" s="90"/>
      <c r="BD5" s="90"/>
      <c r="BE5" s="90"/>
      <c r="BH5" s="13"/>
      <c r="BI5" s="19"/>
      <c r="BJ5" s="17"/>
      <c r="BK5" s="17"/>
    </row>
    <row r="6" spans="2:71" ht="28.5" customHeight="1" thickBot="1">
      <c r="B6" s="82"/>
      <c r="C6" s="83"/>
      <c r="D6" s="83"/>
      <c r="E6" s="84"/>
      <c r="F6" s="85"/>
      <c r="G6" s="85"/>
      <c r="H6" s="85"/>
      <c r="I6" s="85"/>
      <c r="J6" s="85"/>
      <c r="K6" s="85"/>
      <c r="L6" s="85"/>
      <c r="M6" s="85"/>
      <c r="N6" s="85"/>
      <c r="O6" s="85"/>
      <c r="P6" s="85"/>
      <c r="Q6" s="85"/>
      <c r="R6" s="85"/>
      <c r="S6" s="85"/>
      <c r="T6" s="85"/>
      <c r="U6" s="85"/>
      <c r="V6" s="85"/>
      <c r="W6" s="85"/>
      <c r="X6" s="85"/>
      <c r="Y6" s="85"/>
      <c r="Z6" s="85"/>
      <c r="AA6" s="85"/>
      <c r="AB6" s="85"/>
      <c r="AC6" s="85"/>
      <c r="AD6" s="85"/>
      <c r="AE6" s="85"/>
      <c r="AF6" s="18"/>
      <c r="AG6" s="91" t="s">
        <v>33</v>
      </c>
      <c r="AH6" s="91"/>
      <c r="AI6" s="91"/>
      <c r="AJ6" s="91"/>
      <c r="AK6" s="91"/>
      <c r="AL6" s="91"/>
      <c r="AM6" s="91"/>
      <c r="AN6" s="91"/>
      <c r="AO6" s="91"/>
      <c r="AP6" s="91"/>
      <c r="AQ6" s="91"/>
      <c r="AR6" s="91"/>
      <c r="AS6" s="91"/>
      <c r="AT6" s="91"/>
      <c r="AU6" s="91"/>
      <c r="AV6" s="104">
        <f ca="1">AV3*AV4*AV5</f>
        <v>1.2</v>
      </c>
      <c r="AW6" s="104"/>
      <c r="AX6" s="104"/>
      <c r="AY6" s="18"/>
      <c r="AZ6" s="18"/>
      <c r="BA6" s="18"/>
      <c r="BB6" s="18"/>
      <c r="BC6" s="18"/>
      <c r="BD6" s="18"/>
      <c r="BH6" s="13"/>
      <c r="BI6" s="17"/>
      <c r="BJ6" s="17"/>
      <c r="BK6" s="17"/>
    </row>
    <row r="7" spans="2:71" ht="28.5" customHeight="1" thickBot="1">
      <c r="B7" s="99" t="s">
        <v>34</v>
      </c>
      <c r="C7" s="100"/>
      <c r="D7" s="100"/>
      <c r="E7" s="101"/>
      <c r="F7" s="105" t="s">
        <v>97</v>
      </c>
      <c r="G7" s="106"/>
      <c r="H7" s="106"/>
      <c r="I7" s="106"/>
      <c r="J7" s="106"/>
      <c r="K7" s="106"/>
      <c r="L7" s="106"/>
      <c r="M7" s="106"/>
      <c r="N7" s="106"/>
      <c r="O7" s="106"/>
      <c r="P7" s="106"/>
      <c r="Q7" s="106"/>
      <c r="R7" s="106"/>
      <c r="S7" s="106"/>
      <c r="T7" s="106"/>
      <c r="U7" s="106"/>
      <c r="V7" s="106"/>
      <c r="W7" s="106"/>
      <c r="X7" s="107"/>
      <c r="Y7" s="99" t="s">
        <v>10</v>
      </c>
      <c r="Z7" s="100"/>
      <c r="AA7" s="100"/>
      <c r="AB7" s="101"/>
      <c r="AC7" s="108" t="s">
        <v>98</v>
      </c>
      <c r="AD7" s="109"/>
      <c r="AE7" s="110"/>
      <c r="BH7" s="13"/>
      <c r="BI7" s="13"/>
      <c r="BJ7" s="17"/>
      <c r="BK7" s="17"/>
    </row>
    <row r="8" spans="2:71" ht="28.5" customHeight="1" thickBot="1">
      <c r="B8" s="99" t="s">
        <v>8</v>
      </c>
      <c r="C8" s="100"/>
      <c r="D8" s="100"/>
      <c r="E8" s="101"/>
      <c r="F8" s="111" t="str">
        <f>IF(F7="","",VLOOKUP(F7,Lookups!B4:H8,2))</f>
        <v>Simple Tool</v>
      </c>
      <c r="G8" s="112"/>
      <c r="H8" s="112"/>
      <c r="I8" s="112"/>
      <c r="J8" s="112"/>
      <c r="K8" s="112"/>
      <c r="L8" s="112"/>
      <c r="M8" s="112"/>
      <c r="N8" s="112"/>
      <c r="O8" s="112"/>
      <c r="P8" s="112"/>
      <c r="Q8" s="112"/>
      <c r="R8" s="112"/>
      <c r="S8" s="112"/>
      <c r="T8" s="112"/>
      <c r="U8" s="112"/>
      <c r="V8" s="112"/>
      <c r="W8" s="112"/>
      <c r="X8" s="112"/>
      <c r="Y8" s="112"/>
      <c r="Z8" s="112"/>
      <c r="AA8" s="112"/>
      <c r="AB8" s="112"/>
      <c r="AC8" s="112"/>
      <c r="AD8" s="112"/>
      <c r="AE8" s="113"/>
      <c r="BH8" s="20"/>
      <c r="BI8" s="17"/>
      <c r="BJ8" s="17"/>
      <c r="BK8" s="17"/>
    </row>
    <row r="9" spans="2:71" ht="28.5" customHeight="1" thickBot="1">
      <c r="B9" s="99" t="s">
        <v>37</v>
      </c>
      <c r="C9" s="100"/>
      <c r="D9" s="100"/>
      <c r="E9" s="101"/>
      <c r="F9" s="102" t="str">
        <f>IF(F7="","",VLOOKUP(F7,Lookups!B4:H8,4))</f>
        <v xml:space="preserve">ChatGPT for content, Co-Pilot for drafting emails, AI meeting summaries </v>
      </c>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G9" s="86" t="s">
        <v>38</v>
      </c>
      <c r="AH9" s="86"/>
      <c r="AI9" s="86"/>
      <c r="AJ9" s="86" t="s">
        <v>39</v>
      </c>
      <c r="AK9" s="86"/>
      <c r="AL9" s="86"/>
      <c r="AM9" s="86"/>
      <c r="AN9" s="86"/>
      <c r="AO9" s="103" t="s">
        <v>40</v>
      </c>
      <c r="AP9" s="103"/>
      <c r="AQ9" s="103"/>
      <c r="AR9" s="103" t="s">
        <v>41</v>
      </c>
      <c r="AS9" s="103"/>
      <c r="AT9" s="103"/>
      <c r="AU9" s="86" t="s">
        <v>42</v>
      </c>
      <c r="AV9" s="86"/>
      <c r="AW9" s="86"/>
      <c r="AX9" s="86"/>
      <c r="AY9" s="86" t="s">
        <v>43</v>
      </c>
      <c r="AZ9" s="86"/>
      <c r="BA9" s="86"/>
      <c r="BB9" s="86"/>
      <c r="BC9" s="86"/>
      <c r="BD9" s="86"/>
      <c r="BE9" s="86"/>
      <c r="BL9" s="15"/>
      <c r="BS9" s="12"/>
    </row>
    <row r="10" spans="2:71" ht="28.5" customHeight="1" thickBot="1">
      <c r="AG10" s="121" t="s">
        <v>44</v>
      </c>
      <c r="AH10" s="121"/>
      <c r="AI10" s="121"/>
      <c r="AJ10" s="122" t="s">
        <v>45</v>
      </c>
      <c r="AK10" s="122"/>
      <c r="AL10" s="122"/>
      <c r="AM10" s="122"/>
      <c r="AN10" s="122"/>
      <c r="AO10" s="114">
        <v>45931</v>
      </c>
      <c r="AP10" s="114"/>
      <c r="AQ10" s="114"/>
      <c r="AR10" s="114">
        <v>45931</v>
      </c>
      <c r="AS10" s="114"/>
      <c r="AT10" s="114"/>
      <c r="AU10" s="115" t="str">
        <f>IF(AO10=$BK$3,"Missing Target",IF(AR10=$BK$3,IF($AZ$3&gt;AO10,INT($AZ$3-AO10)&amp;" Day(s) Overdue","Incomplete"),IF(AR10&gt;AO10,INT(AR10-AO10)&amp;" Day(s) Late",IF(AR10=AO10,"OK",INT(AO10-AR10)&amp;" Day(s) Ahead"))))</f>
        <v>OK</v>
      </c>
      <c r="AV10" s="115"/>
      <c r="AW10" s="115"/>
      <c r="AX10" s="115"/>
      <c r="AY10" s="158"/>
      <c r="AZ10" s="158"/>
      <c r="BA10" s="158"/>
      <c r="BB10" s="158"/>
      <c r="BC10" s="158"/>
      <c r="BD10" s="158"/>
      <c r="BE10" s="158"/>
      <c r="BL10" s="15"/>
      <c r="BS10" s="12"/>
    </row>
    <row r="11" spans="2:71" ht="28.5" customHeight="1" thickBot="1">
      <c r="B11" s="119" t="s">
        <v>46</v>
      </c>
      <c r="C11" s="119"/>
      <c r="D11" s="119"/>
      <c r="E11" s="22"/>
      <c r="F11" s="120" t="s">
        <v>47</v>
      </c>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G11" s="121"/>
      <c r="AH11" s="121"/>
      <c r="AI11" s="121"/>
      <c r="AJ11" s="122" t="s">
        <v>48</v>
      </c>
      <c r="AK11" s="122"/>
      <c r="AL11" s="122"/>
      <c r="AM11" s="122"/>
      <c r="AN11" s="122"/>
      <c r="AO11" s="114">
        <v>45931</v>
      </c>
      <c r="AP11" s="114"/>
      <c r="AQ11" s="114"/>
      <c r="AR11" s="114">
        <v>45931</v>
      </c>
      <c r="AS11" s="114"/>
      <c r="AT11" s="114"/>
      <c r="AU11" s="115" t="str">
        <f t="shared" ref="AU11:AU14" si="0">IF(AO11=$BK$3,"Missing Target",IF(AR11=$BK$3,IF($AZ$3&gt;AO11,INT($AZ$3-AO11)&amp;" Day(s) Overdue","Incomplete"),IF(AR11&gt;AO11,INT(AR11-AO11)&amp;" Day(s) Late",IF(AR11=AO11,"OK",INT(AO11-AR11)&amp;" Day(s) Ahead"))))</f>
        <v>OK</v>
      </c>
      <c r="AV11" s="115"/>
      <c r="AW11" s="115"/>
      <c r="AX11" s="115"/>
      <c r="AY11" s="158"/>
      <c r="AZ11" s="158"/>
      <c r="BA11" s="158"/>
      <c r="BB11" s="158"/>
      <c r="BC11" s="158"/>
      <c r="BD11" s="158"/>
      <c r="BE11" s="158"/>
      <c r="BL11" s="15"/>
      <c r="BS11" s="12"/>
    </row>
    <row r="12" spans="2:71" ht="28.5" customHeight="1" thickBot="1">
      <c r="B12" s="116" t="s">
        <v>49</v>
      </c>
      <c r="C12" s="117"/>
      <c r="D12" s="118"/>
      <c r="F12" s="116" t="str">
        <f>IF(F7="","",VLOOKUP(F7,Lookups!B4:H8,5))</f>
        <v>Adoption Rate</v>
      </c>
      <c r="G12" s="117"/>
      <c r="H12" s="117"/>
      <c r="I12" s="117"/>
      <c r="J12" s="117"/>
      <c r="K12" s="117"/>
      <c r="L12" s="117"/>
      <c r="M12" s="118"/>
      <c r="O12" s="116" t="str">
        <f>IF(F7="","",VLOOKUP(F7,Lookups!B4:H8,6))</f>
        <v>Productivity Gains</v>
      </c>
      <c r="P12" s="117"/>
      <c r="Q12" s="117"/>
      <c r="R12" s="117"/>
      <c r="S12" s="117"/>
      <c r="T12" s="117"/>
      <c r="U12" s="117"/>
      <c r="V12" s="118"/>
      <c r="X12" s="116" t="str">
        <f>IF(F7="","",VLOOKUP(F7,Lookups!B4:H8,7))</f>
        <v>Cost Savings</v>
      </c>
      <c r="Y12" s="117"/>
      <c r="Z12" s="117"/>
      <c r="AA12" s="117"/>
      <c r="AB12" s="117"/>
      <c r="AC12" s="117"/>
      <c r="AD12" s="117"/>
      <c r="AE12" s="118"/>
      <c r="AG12" s="121"/>
      <c r="AH12" s="121"/>
      <c r="AI12" s="121"/>
      <c r="AJ12" s="122" t="s">
        <v>50</v>
      </c>
      <c r="AK12" s="122"/>
      <c r="AL12" s="122"/>
      <c r="AM12" s="122"/>
      <c r="AN12" s="122"/>
      <c r="AO12" s="114">
        <v>45962</v>
      </c>
      <c r="AP12" s="114"/>
      <c r="AQ12" s="114"/>
      <c r="AR12" s="114">
        <v>45962</v>
      </c>
      <c r="AS12" s="114"/>
      <c r="AT12" s="114"/>
      <c r="AU12" s="115" t="str">
        <f t="shared" si="0"/>
        <v>OK</v>
      </c>
      <c r="AV12" s="115"/>
      <c r="AW12" s="115"/>
      <c r="AX12" s="115"/>
      <c r="AY12" s="158"/>
      <c r="AZ12" s="158"/>
      <c r="BA12" s="158"/>
      <c r="BB12" s="158"/>
      <c r="BC12" s="158"/>
      <c r="BD12" s="158"/>
      <c r="BE12" s="158"/>
      <c r="BL12" s="15"/>
      <c r="BS12" s="12"/>
    </row>
    <row r="13" spans="2:71" ht="28.5" customHeight="1" thickBot="1">
      <c r="B13" s="123"/>
      <c r="C13" s="124"/>
      <c r="D13" s="125"/>
      <c r="F13" s="24" t="s">
        <v>52</v>
      </c>
      <c r="G13" s="71" t="s">
        <v>173</v>
      </c>
      <c r="H13" s="72"/>
      <c r="I13" s="72"/>
      <c r="J13" s="72"/>
      <c r="K13" s="72"/>
      <c r="L13" s="72"/>
      <c r="M13" s="73"/>
      <c r="O13" s="24" t="s">
        <v>52</v>
      </c>
      <c r="P13" s="71" t="s">
        <v>162</v>
      </c>
      <c r="Q13" s="72"/>
      <c r="R13" s="72"/>
      <c r="S13" s="72"/>
      <c r="T13" s="72"/>
      <c r="U13" s="72"/>
      <c r="V13" s="73"/>
      <c r="X13" s="24" t="s">
        <v>52</v>
      </c>
      <c r="Y13" s="71" t="s">
        <v>174</v>
      </c>
      <c r="Z13" s="72"/>
      <c r="AA13" s="72"/>
      <c r="AB13" s="72"/>
      <c r="AC13" s="72"/>
      <c r="AD13" s="72"/>
      <c r="AE13" s="73"/>
      <c r="AG13" s="121" t="s">
        <v>56</v>
      </c>
      <c r="AH13" s="121"/>
      <c r="AI13" s="121"/>
      <c r="AJ13" s="122" t="s">
        <v>57</v>
      </c>
      <c r="AK13" s="122"/>
      <c r="AL13" s="122"/>
      <c r="AM13" s="122"/>
      <c r="AN13" s="122"/>
      <c r="AO13" s="114">
        <v>45963</v>
      </c>
      <c r="AP13" s="114"/>
      <c r="AQ13" s="114"/>
      <c r="AR13" s="114">
        <v>45963</v>
      </c>
      <c r="AS13" s="114"/>
      <c r="AT13" s="114"/>
      <c r="AU13" s="115" t="str">
        <f t="shared" si="0"/>
        <v>OK</v>
      </c>
      <c r="AV13" s="115"/>
      <c r="AW13" s="115"/>
      <c r="AX13" s="115"/>
      <c r="AY13" s="158"/>
      <c r="AZ13" s="158"/>
      <c r="BA13" s="158"/>
      <c r="BB13" s="158"/>
      <c r="BC13" s="158"/>
      <c r="BD13" s="158"/>
      <c r="BE13" s="158"/>
      <c r="BL13" s="15"/>
      <c r="BS13" s="12"/>
    </row>
    <row r="14" spans="2:71" ht="28.5" customHeight="1" thickBot="1">
      <c r="B14" s="126"/>
      <c r="C14" s="127"/>
      <c r="D14" s="128"/>
      <c r="F14" s="143" t="s">
        <v>58</v>
      </c>
      <c r="G14" s="144"/>
      <c r="H14" s="144"/>
      <c r="I14" s="144"/>
      <c r="J14" s="144"/>
      <c r="K14" s="144"/>
      <c r="L14" s="144"/>
      <c r="M14" s="145"/>
      <c r="O14" s="143" t="s">
        <v>58</v>
      </c>
      <c r="P14" s="144"/>
      <c r="Q14" s="144"/>
      <c r="R14" s="144"/>
      <c r="S14" s="144"/>
      <c r="T14" s="144"/>
      <c r="U14" s="144"/>
      <c r="V14" s="145"/>
      <c r="X14" s="143" t="s">
        <v>58</v>
      </c>
      <c r="Y14" s="144"/>
      <c r="Z14" s="144"/>
      <c r="AA14" s="144"/>
      <c r="AB14" s="144"/>
      <c r="AC14" s="144"/>
      <c r="AD14" s="144"/>
      <c r="AE14" s="145"/>
      <c r="AG14" s="121"/>
      <c r="AH14" s="121"/>
      <c r="AI14" s="121"/>
      <c r="AJ14" s="122" t="s">
        <v>59</v>
      </c>
      <c r="AK14" s="122"/>
      <c r="AL14" s="122"/>
      <c r="AM14" s="122"/>
      <c r="AN14" s="122"/>
      <c r="AO14" s="114">
        <v>45964</v>
      </c>
      <c r="AP14" s="114"/>
      <c r="AQ14" s="114"/>
      <c r="AR14" s="114">
        <v>45964</v>
      </c>
      <c r="AS14" s="114"/>
      <c r="AT14" s="114"/>
      <c r="AU14" s="115" t="str">
        <f t="shared" si="0"/>
        <v>OK</v>
      </c>
      <c r="AV14" s="115"/>
      <c r="AW14" s="115"/>
      <c r="AX14" s="115"/>
      <c r="AY14" s="158"/>
      <c r="AZ14" s="158"/>
      <c r="BA14" s="158"/>
      <c r="BB14" s="158"/>
      <c r="BC14" s="158"/>
      <c r="BD14" s="158"/>
      <c r="BE14" s="158"/>
      <c r="BL14" s="15"/>
      <c r="BS14" s="12"/>
    </row>
    <row r="15" spans="2:71" ht="28.5" customHeight="1" thickBot="1">
      <c r="B15" s="129"/>
      <c r="C15" s="130"/>
      <c r="D15" s="131"/>
      <c r="F15" s="132" t="s">
        <v>175</v>
      </c>
      <c r="G15" s="133"/>
      <c r="H15" s="133"/>
      <c r="I15" s="133"/>
      <c r="J15" s="133"/>
      <c r="K15" s="133"/>
      <c r="L15" s="133"/>
      <c r="M15" s="134"/>
      <c r="O15" s="132" t="s">
        <v>176</v>
      </c>
      <c r="P15" s="133"/>
      <c r="Q15" s="133"/>
      <c r="R15" s="133"/>
      <c r="S15" s="133"/>
      <c r="T15" s="133"/>
      <c r="U15" s="133"/>
      <c r="V15" s="134"/>
      <c r="X15" s="132" t="s">
        <v>177</v>
      </c>
      <c r="Y15" s="133"/>
      <c r="Z15" s="133"/>
      <c r="AA15" s="133"/>
      <c r="AB15" s="133"/>
      <c r="AC15" s="133"/>
      <c r="AD15" s="133"/>
      <c r="AE15" s="134"/>
      <c r="AG15" s="121"/>
      <c r="AH15" s="121"/>
      <c r="AI15" s="121"/>
      <c r="AJ15" s="122" t="s">
        <v>62</v>
      </c>
      <c r="AK15" s="122"/>
      <c r="AL15" s="122"/>
      <c r="AM15" s="122"/>
      <c r="AN15" s="122"/>
      <c r="AO15" s="114">
        <v>45965</v>
      </c>
      <c r="AP15" s="114"/>
      <c r="AQ15" s="114"/>
      <c r="AR15" s="114">
        <v>45965</v>
      </c>
      <c r="AS15" s="114"/>
      <c r="AT15" s="114"/>
      <c r="AU15" s="115" t="str">
        <f t="shared" ref="AU15:AU21" si="1">IF(AO15=$A$1,"Missing Target",IF(AR15=$A$1,IF($AZ$3&gt;AO15,INT($AZ$3-AO15)&amp;" Day(s) Overdue","Incomplete"),IF(AR15&gt;AO15,INT(AR15-AO15)&amp;" Day(s) Late",IF(AR15=AO15,"OK",INT(AO15-AR15)&amp;" Day(s) Ahead"))))</f>
        <v>OK</v>
      </c>
      <c r="AV15" s="115"/>
      <c r="AW15" s="115"/>
      <c r="AX15" s="115"/>
      <c r="AY15" s="158"/>
      <c r="AZ15" s="158"/>
      <c r="BA15" s="158"/>
      <c r="BB15" s="158"/>
      <c r="BC15" s="158"/>
      <c r="BD15" s="158"/>
      <c r="BE15" s="158"/>
      <c r="BL15" s="15"/>
      <c r="BS15" s="12"/>
    </row>
    <row r="16" spans="2:71" ht="28.5" customHeight="1" thickBot="1">
      <c r="F16" s="135"/>
      <c r="G16" s="136"/>
      <c r="H16" s="136"/>
      <c r="I16" s="136"/>
      <c r="J16" s="136"/>
      <c r="K16" s="136"/>
      <c r="L16" s="136"/>
      <c r="M16" s="137"/>
      <c r="O16" s="135"/>
      <c r="P16" s="136"/>
      <c r="Q16" s="136"/>
      <c r="R16" s="136"/>
      <c r="S16" s="136"/>
      <c r="T16" s="136"/>
      <c r="U16" s="136"/>
      <c r="V16" s="137"/>
      <c r="X16" s="135"/>
      <c r="Y16" s="136"/>
      <c r="Z16" s="136"/>
      <c r="AA16" s="136"/>
      <c r="AB16" s="136"/>
      <c r="AC16" s="136"/>
      <c r="AD16" s="136"/>
      <c r="AE16" s="137"/>
      <c r="AG16" s="121" t="s">
        <v>63</v>
      </c>
      <c r="AH16" s="121"/>
      <c r="AI16" s="121"/>
      <c r="AJ16" s="122" t="s">
        <v>64</v>
      </c>
      <c r="AK16" s="122"/>
      <c r="AL16" s="122"/>
      <c r="AM16" s="122"/>
      <c r="AN16" s="122"/>
      <c r="AO16" s="114">
        <v>46022</v>
      </c>
      <c r="AP16" s="114"/>
      <c r="AQ16" s="114"/>
      <c r="AR16" s="114"/>
      <c r="AS16" s="114"/>
      <c r="AT16" s="114"/>
      <c r="AU16" s="115" t="str">
        <f t="shared" ca="1" si="1"/>
        <v>Incomplete</v>
      </c>
      <c r="AV16" s="115"/>
      <c r="AW16" s="115"/>
      <c r="AX16" s="115"/>
      <c r="AY16" s="158"/>
      <c r="AZ16" s="158"/>
      <c r="BA16" s="158"/>
      <c r="BB16" s="158"/>
      <c r="BC16" s="158"/>
      <c r="BD16" s="158"/>
      <c r="BE16" s="158"/>
      <c r="BL16" s="15"/>
      <c r="BS16" s="12"/>
    </row>
    <row r="17" spans="2:71" ht="28.5" customHeight="1" thickBot="1">
      <c r="B17" s="25" t="s">
        <v>3</v>
      </c>
      <c r="C17" s="141" t="s">
        <v>178</v>
      </c>
      <c r="D17" s="142"/>
      <c r="F17" s="138"/>
      <c r="G17" s="139"/>
      <c r="H17" s="139"/>
      <c r="I17" s="139"/>
      <c r="J17" s="139"/>
      <c r="K17" s="139"/>
      <c r="L17" s="139"/>
      <c r="M17" s="140"/>
      <c r="O17" s="138"/>
      <c r="P17" s="139"/>
      <c r="Q17" s="139"/>
      <c r="R17" s="139"/>
      <c r="S17" s="139"/>
      <c r="T17" s="139"/>
      <c r="U17" s="139"/>
      <c r="V17" s="140"/>
      <c r="X17" s="138"/>
      <c r="Y17" s="139"/>
      <c r="Z17" s="139"/>
      <c r="AA17" s="139"/>
      <c r="AB17" s="139"/>
      <c r="AC17" s="139"/>
      <c r="AD17" s="139"/>
      <c r="AE17" s="140"/>
      <c r="AG17" s="121"/>
      <c r="AH17" s="121"/>
      <c r="AI17" s="121"/>
      <c r="AJ17" s="122" t="s">
        <v>66</v>
      </c>
      <c r="AK17" s="122"/>
      <c r="AL17" s="122"/>
      <c r="AM17" s="122"/>
      <c r="AN17" s="122"/>
      <c r="AO17" s="114">
        <v>46037</v>
      </c>
      <c r="AP17" s="114"/>
      <c r="AQ17" s="114"/>
      <c r="AR17" s="114"/>
      <c r="AS17" s="114"/>
      <c r="AT17" s="114"/>
      <c r="AU17" s="115" t="str">
        <f t="shared" ca="1" si="1"/>
        <v>Incomplete</v>
      </c>
      <c r="AV17" s="115"/>
      <c r="AW17" s="115"/>
      <c r="AX17" s="115"/>
      <c r="AY17" s="158"/>
      <c r="AZ17" s="158"/>
      <c r="BA17" s="158"/>
      <c r="BB17" s="158"/>
      <c r="BC17" s="158"/>
      <c r="BD17" s="158"/>
      <c r="BE17" s="158"/>
      <c r="BL17" s="15"/>
      <c r="BS17" s="12"/>
    </row>
    <row r="18" spans="2:71" ht="28.5" customHeight="1" thickBot="1">
      <c r="B18" s="25" t="s">
        <v>67</v>
      </c>
      <c r="C18" s="74" t="s">
        <v>179</v>
      </c>
      <c r="D18" s="76"/>
      <c r="F18" s="143" t="s">
        <v>69</v>
      </c>
      <c r="G18" s="144"/>
      <c r="H18" s="144"/>
      <c r="I18" s="144"/>
      <c r="J18" s="144"/>
      <c r="K18" s="144"/>
      <c r="L18" s="144"/>
      <c r="M18" s="145"/>
      <c r="O18" s="143" t="s">
        <v>69</v>
      </c>
      <c r="P18" s="144"/>
      <c r="Q18" s="144"/>
      <c r="R18" s="144"/>
      <c r="S18" s="144"/>
      <c r="T18" s="144"/>
      <c r="U18" s="144"/>
      <c r="V18" s="145"/>
      <c r="X18" s="143" t="s">
        <v>69</v>
      </c>
      <c r="Y18" s="144"/>
      <c r="Z18" s="144"/>
      <c r="AA18" s="144"/>
      <c r="AB18" s="144"/>
      <c r="AC18" s="144"/>
      <c r="AD18" s="144"/>
      <c r="AE18" s="145"/>
      <c r="AG18" s="121"/>
      <c r="AH18" s="121"/>
      <c r="AI18" s="121"/>
      <c r="AJ18" s="122" t="s">
        <v>70</v>
      </c>
      <c r="AK18" s="122"/>
      <c r="AL18" s="122"/>
      <c r="AM18" s="122"/>
      <c r="AN18" s="122"/>
      <c r="AO18" s="114">
        <v>46037</v>
      </c>
      <c r="AP18" s="114"/>
      <c r="AQ18" s="114"/>
      <c r="AR18" s="114"/>
      <c r="AS18" s="114"/>
      <c r="AT18" s="114"/>
      <c r="AU18" s="115" t="str">
        <f t="shared" ca="1" si="1"/>
        <v>Incomplete</v>
      </c>
      <c r="AV18" s="115"/>
      <c r="AW18" s="115"/>
      <c r="AX18" s="115"/>
      <c r="AY18" s="158"/>
      <c r="AZ18" s="158"/>
      <c r="BA18" s="158"/>
      <c r="BB18" s="158"/>
      <c r="BC18" s="158"/>
      <c r="BD18" s="158"/>
      <c r="BE18" s="158"/>
      <c r="BL18" s="15"/>
      <c r="BS18" s="12"/>
    </row>
    <row r="19" spans="2:71" ht="28.5" customHeight="1" thickBot="1">
      <c r="B19" s="25" t="s">
        <v>71</v>
      </c>
      <c r="C19" s="74" t="s">
        <v>72</v>
      </c>
      <c r="D19" s="76"/>
      <c r="F19" s="132" t="s">
        <v>180</v>
      </c>
      <c r="G19" s="133"/>
      <c r="H19" s="133"/>
      <c r="I19" s="133"/>
      <c r="J19" s="133"/>
      <c r="K19" s="133"/>
      <c r="L19" s="133"/>
      <c r="M19" s="134"/>
      <c r="O19" s="132" t="s">
        <v>181</v>
      </c>
      <c r="P19" s="133"/>
      <c r="Q19" s="133"/>
      <c r="R19" s="133"/>
      <c r="S19" s="133"/>
      <c r="T19" s="133"/>
      <c r="U19" s="133"/>
      <c r="V19" s="134"/>
      <c r="X19" s="132" t="s">
        <v>182</v>
      </c>
      <c r="Y19" s="133"/>
      <c r="Z19" s="133"/>
      <c r="AA19" s="133"/>
      <c r="AB19" s="133"/>
      <c r="AC19" s="133"/>
      <c r="AD19" s="133"/>
      <c r="AE19" s="134"/>
      <c r="AF19" s="26"/>
      <c r="AG19" s="121" t="s">
        <v>75</v>
      </c>
      <c r="AH19" s="121"/>
      <c r="AI19" s="121"/>
      <c r="AJ19" s="122" t="s">
        <v>76</v>
      </c>
      <c r="AK19" s="122"/>
      <c r="AL19" s="122"/>
      <c r="AM19" s="122"/>
      <c r="AN19" s="122"/>
      <c r="AO19" s="114">
        <v>46054</v>
      </c>
      <c r="AP19" s="114"/>
      <c r="AQ19" s="114"/>
      <c r="AR19" s="114"/>
      <c r="AS19" s="114"/>
      <c r="AT19" s="114"/>
      <c r="AU19" s="115" t="str">
        <f t="shared" ca="1" si="1"/>
        <v>Incomplete</v>
      </c>
      <c r="AV19" s="115"/>
      <c r="AW19" s="115"/>
      <c r="AX19" s="115"/>
      <c r="AY19" s="158"/>
      <c r="AZ19" s="158"/>
      <c r="BA19" s="158"/>
      <c r="BB19" s="158"/>
      <c r="BC19" s="158"/>
      <c r="BD19" s="158"/>
      <c r="BE19" s="158"/>
      <c r="BL19" s="15"/>
      <c r="BS19" s="12"/>
    </row>
    <row r="20" spans="2:71" ht="28.5" customHeight="1" thickBot="1">
      <c r="B20" s="25" t="s">
        <v>77</v>
      </c>
      <c r="C20" s="74" t="s">
        <v>78</v>
      </c>
      <c r="D20" s="76"/>
      <c r="F20" s="135"/>
      <c r="G20" s="136"/>
      <c r="H20" s="136"/>
      <c r="I20" s="136"/>
      <c r="J20" s="136"/>
      <c r="K20" s="136"/>
      <c r="L20" s="136"/>
      <c r="M20" s="137"/>
      <c r="O20" s="135"/>
      <c r="P20" s="136"/>
      <c r="Q20" s="136"/>
      <c r="R20" s="136"/>
      <c r="S20" s="136"/>
      <c r="T20" s="136"/>
      <c r="U20" s="136"/>
      <c r="V20" s="137"/>
      <c r="X20" s="135"/>
      <c r="Y20" s="136"/>
      <c r="Z20" s="136"/>
      <c r="AA20" s="136"/>
      <c r="AB20" s="136"/>
      <c r="AC20" s="136"/>
      <c r="AD20" s="136"/>
      <c r="AE20" s="137"/>
      <c r="AF20" s="23"/>
      <c r="AG20" s="121"/>
      <c r="AH20" s="121"/>
      <c r="AI20" s="121"/>
      <c r="AJ20" s="122" t="s">
        <v>79</v>
      </c>
      <c r="AK20" s="122"/>
      <c r="AL20" s="122"/>
      <c r="AM20" s="122"/>
      <c r="AN20" s="122"/>
      <c r="AO20" s="114">
        <v>46055</v>
      </c>
      <c r="AP20" s="114"/>
      <c r="AQ20" s="114"/>
      <c r="AR20" s="114"/>
      <c r="AS20" s="114"/>
      <c r="AT20" s="114"/>
      <c r="AU20" s="115" t="str">
        <f t="shared" ca="1" si="1"/>
        <v>Incomplete</v>
      </c>
      <c r="AV20" s="115"/>
      <c r="AW20" s="115"/>
      <c r="AX20" s="115"/>
      <c r="AY20" s="158"/>
      <c r="AZ20" s="158"/>
      <c r="BA20" s="158"/>
      <c r="BB20" s="158"/>
      <c r="BC20" s="158"/>
      <c r="BD20" s="158"/>
      <c r="BE20" s="158"/>
      <c r="BL20" s="15"/>
      <c r="BS20" s="12"/>
    </row>
    <row r="21" spans="2:71" ht="28.5" customHeight="1" thickBot="1">
      <c r="B21" s="25" t="s">
        <v>80</v>
      </c>
      <c r="C21" s="74" t="s">
        <v>81</v>
      </c>
      <c r="D21" s="76"/>
      <c r="F21" s="138"/>
      <c r="G21" s="139"/>
      <c r="H21" s="139"/>
      <c r="I21" s="139"/>
      <c r="J21" s="139"/>
      <c r="K21" s="139"/>
      <c r="L21" s="139"/>
      <c r="M21" s="140"/>
      <c r="O21" s="138"/>
      <c r="P21" s="139"/>
      <c r="Q21" s="139"/>
      <c r="R21" s="139"/>
      <c r="S21" s="139"/>
      <c r="T21" s="139"/>
      <c r="U21" s="139"/>
      <c r="V21" s="140"/>
      <c r="X21" s="138"/>
      <c r="Y21" s="139"/>
      <c r="Z21" s="139"/>
      <c r="AA21" s="139"/>
      <c r="AB21" s="139"/>
      <c r="AC21" s="139"/>
      <c r="AD21" s="139"/>
      <c r="AE21" s="140"/>
      <c r="AF21" s="23"/>
      <c r="AG21" s="121"/>
      <c r="AH21" s="121"/>
      <c r="AI21" s="121"/>
      <c r="AJ21" s="122" t="s">
        <v>82</v>
      </c>
      <c r="AK21" s="122"/>
      <c r="AL21" s="122"/>
      <c r="AM21" s="122"/>
      <c r="AN21" s="122"/>
      <c r="AO21" s="114">
        <v>46056</v>
      </c>
      <c r="AP21" s="114"/>
      <c r="AQ21" s="114"/>
      <c r="AR21" s="114"/>
      <c r="AS21" s="114"/>
      <c r="AT21" s="114"/>
      <c r="AU21" s="115" t="str">
        <f t="shared" ca="1" si="1"/>
        <v>Incomplete</v>
      </c>
      <c r="AV21" s="115"/>
      <c r="AW21" s="115"/>
      <c r="AX21" s="115"/>
      <c r="AY21" s="158"/>
      <c r="AZ21" s="158"/>
      <c r="BA21" s="158"/>
      <c r="BB21" s="158"/>
      <c r="BC21" s="158"/>
      <c r="BD21" s="158"/>
      <c r="BE21" s="158"/>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49" t="s">
        <v>83</v>
      </c>
      <c r="C23" s="150"/>
      <c r="D23" s="150"/>
      <c r="E23" s="151"/>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52" t="s">
        <v>84</v>
      </c>
      <c r="C24" s="153"/>
      <c r="D24" s="153"/>
      <c r="E24" s="154"/>
      <c r="F24" s="30">
        <v>46022</v>
      </c>
      <c r="G24" s="31">
        <f>F24+7</f>
        <v>46029</v>
      </c>
      <c r="H24" s="31">
        <f t="shared" ref="H24:BE24" si="4">G24+7</f>
        <v>46036</v>
      </c>
      <c r="I24" s="31">
        <f t="shared" si="4"/>
        <v>46043</v>
      </c>
      <c r="J24" s="31">
        <f t="shared" si="4"/>
        <v>46050</v>
      </c>
      <c r="K24" s="31">
        <f t="shared" si="4"/>
        <v>46057</v>
      </c>
      <c r="L24" s="31">
        <f t="shared" si="4"/>
        <v>46064</v>
      </c>
      <c r="M24" s="31">
        <f t="shared" si="4"/>
        <v>46071</v>
      </c>
      <c r="N24" s="31">
        <f t="shared" si="4"/>
        <v>46078</v>
      </c>
      <c r="O24" s="31">
        <f t="shared" si="4"/>
        <v>46085</v>
      </c>
      <c r="P24" s="31">
        <f t="shared" si="4"/>
        <v>46092</v>
      </c>
      <c r="Q24" s="31">
        <f t="shared" si="4"/>
        <v>46099</v>
      </c>
      <c r="R24" s="31">
        <f t="shared" si="4"/>
        <v>46106</v>
      </c>
      <c r="S24" s="31">
        <f t="shared" si="4"/>
        <v>46113</v>
      </c>
      <c r="T24" s="31">
        <f t="shared" si="4"/>
        <v>46120</v>
      </c>
      <c r="U24" s="31">
        <f t="shared" si="4"/>
        <v>46127</v>
      </c>
      <c r="V24" s="31">
        <f t="shared" si="4"/>
        <v>46134</v>
      </c>
      <c r="W24" s="31">
        <f t="shared" si="4"/>
        <v>46141</v>
      </c>
      <c r="X24" s="31">
        <f t="shared" si="4"/>
        <v>46148</v>
      </c>
      <c r="Y24" s="31">
        <f t="shared" si="4"/>
        <v>46155</v>
      </c>
      <c r="Z24" s="31">
        <f t="shared" si="4"/>
        <v>46162</v>
      </c>
      <c r="AA24" s="31">
        <f t="shared" si="4"/>
        <v>46169</v>
      </c>
      <c r="AB24" s="31">
        <f t="shared" si="4"/>
        <v>46176</v>
      </c>
      <c r="AC24" s="31">
        <f t="shared" si="4"/>
        <v>46183</v>
      </c>
      <c r="AD24" s="31">
        <f t="shared" si="4"/>
        <v>46190</v>
      </c>
      <c r="AE24" s="31">
        <f t="shared" si="4"/>
        <v>46197</v>
      </c>
      <c r="AF24" s="31">
        <f t="shared" si="4"/>
        <v>46204</v>
      </c>
      <c r="AG24" s="31">
        <f t="shared" si="4"/>
        <v>46211</v>
      </c>
      <c r="AH24" s="31">
        <f t="shared" si="4"/>
        <v>46218</v>
      </c>
      <c r="AI24" s="31">
        <f t="shared" si="4"/>
        <v>46225</v>
      </c>
      <c r="AJ24" s="31">
        <f t="shared" si="4"/>
        <v>46232</v>
      </c>
      <c r="AK24" s="31">
        <f t="shared" si="4"/>
        <v>46239</v>
      </c>
      <c r="AL24" s="31">
        <f t="shared" si="4"/>
        <v>46246</v>
      </c>
      <c r="AM24" s="31">
        <f t="shared" si="4"/>
        <v>46253</v>
      </c>
      <c r="AN24" s="31">
        <f t="shared" si="4"/>
        <v>46260</v>
      </c>
      <c r="AO24" s="31">
        <f t="shared" si="4"/>
        <v>46267</v>
      </c>
      <c r="AP24" s="31">
        <f t="shared" si="4"/>
        <v>46274</v>
      </c>
      <c r="AQ24" s="31">
        <f t="shared" si="4"/>
        <v>46281</v>
      </c>
      <c r="AR24" s="31">
        <f t="shared" si="4"/>
        <v>46288</v>
      </c>
      <c r="AS24" s="31">
        <f t="shared" si="4"/>
        <v>46295</v>
      </c>
      <c r="AT24" s="31">
        <f t="shared" si="4"/>
        <v>46302</v>
      </c>
      <c r="AU24" s="31">
        <f t="shared" si="4"/>
        <v>46309</v>
      </c>
      <c r="AV24" s="31">
        <f t="shared" si="4"/>
        <v>46316</v>
      </c>
      <c r="AW24" s="31">
        <f t="shared" si="4"/>
        <v>46323</v>
      </c>
      <c r="AX24" s="31">
        <f t="shared" si="4"/>
        <v>46330</v>
      </c>
      <c r="AY24" s="31">
        <f t="shared" si="4"/>
        <v>46337</v>
      </c>
      <c r="AZ24" s="31">
        <f t="shared" si="4"/>
        <v>46344</v>
      </c>
      <c r="BA24" s="31">
        <f t="shared" si="4"/>
        <v>46351</v>
      </c>
      <c r="BB24" s="31">
        <f t="shared" si="4"/>
        <v>46358</v>
      </c>
      <c r="BC24" s="31">
        <f t="shared" si="4"/>
        <v>46365</v>
      </c>
      <c r="BD24" s="31">
        <f t="shared" si="4"/>
        <v>46372</v>
      </c>
      <c r="BE24" s="31">
        <f t="shared" si="4"/>
        <v>46379</v>
      </c>
      <c r="BJ24" s="21"/>
    </row>
    <row r="25" spans="2:71">
      <c r="B25" s="146" t="str">
        <f>G13&amp;" TARGET"</f>
        <v>Data Quality Score (Valid-data ratio) TARGET</v>
      </c>
      <c r="C25" s="147"/>
      <c r="D25" s="147"/>
      <c r="E25" s="148"/>
      <c r="F25" s="59">
        <f>E25</f>
        <v>0</v>
      </c>
      <c r="G25" s="59">
        <f>F25</f>
        <v>0</v>
      </c>
      <c r="H25" s="59">
        <f t="shared" ref="H25:M25" si="5">G25</f>
        <v>0</v>
      </c>
      <c r="I25" s="59">
        <f t="shared" si="5"/>
        <v>0</v>
      </c>
      <c r="J25" s="59">
        <f t="shared" si="5"/>
        <v>0</v>
      </c>
      <c r="K25" s="59">
        <f t="shared" si="5"/>
        <v>0</v>
      </c>
      <c r="L25" s="59">
        <f t="shared" si="5"/>
        <v>0</v>
      </c>
      <c r="M25" s="59">
        <f t="shared" si="5"/>
        <v>0</v>
      </c>
      <c r="N25" s="59">
        <f t="shared" ref="N25" si="6">M25</f>
        <v>0</v>
      </c>
      <c r="O25" s="59">
        <f t="shared" ref="O25" si="7">N25</f>
        <v>0</v>
      </c>
      <c r="P25" s="59">
        <f t="shared" ref="P25" si="8">O25</f>
        <v>0</v>
      </c>
      <c r="Q25" s="59">
        <f t="shared" ref="Q25" si="9">P25</f>
        <v>0</v>
      </c>
      <c r="R25" s="59">
        <f t="shared" ref="R25" si="10">Q25</f>
        <v>0</v>
      </c>
      <c r="S25" s="59">
        <f t="shared" ref="S25" si="11">R25</f>
        <v>0</v>
      </c>
      <c r="T25" s="59">
        <f t="shared" ref="T25" si="12">S25</f>
        <v>0</v>
      </c>
      <c r="U25" s="59">
        <f t="shared" ref="U25" si="13">T25</f>
        <v>0</v>
      </c>
      <c r="V25" s="59">
        <f t="shared" ref="V25" si="14">U25</f>
        <v>0</v>
      </c>
      <c r="W25" s="59">
        <f t="shared" ref="W25" si="15">V25</f>
        <v>0</v>
      </c>
      <c r="X25" s="59">
        <f t="shared" ref="X25" si="16">W25</f>
        <v>0</v>
      </c>
      <c r="Y25" s="59">
        <f t="shared" ref="Y25" si="17">X25</f>
        <v>0</v>
      </c>
      <c r="Z25" s="59">
        <f t="shared" ref="Z25" si="18">Y25</f>
        <v>0</v>
      </c>
      <c r="AA25" s="59">
        <f t="shared" ref="AA25" si="19">Z25</f>
        <v>0</v>
      </c>
      <c r="AB25" s="59">
        <f t="shared" ref="AB25" si="20">AA25</f>
        <v>0</v>
      </c>
      <c r="AC25" s="59">
        <f t="shared" ref="AC25" si="21">AB25</f>
        <v>0</v>
      </c>
      <c r="AD25" s="59">
        <f t="shared" ref="AD25" si="22">AC25</f>
        <v>0</v>
      </c>
      <c r="AE25" s="59">
        <f t="shared" ref="AE25" si="23">AD25</f>
        <v>0</v>
      </c>
      <c r="AF25" s="59">
        <f t="shared" ref="AF25" si="24">AE25</f>
        <v>0</v>
      </c>
      <c r="AG25" s="59">
        <f t="shared" ref="AG25" si="25">AF25</f>
        <v>0</v>
      </c>
      <c r="AH25" s="59">
        <f t="shared" ref="AH25" si="26">AG25</f>
        <v>0</v>
      </c>
      <c r="AI25" s="59">
        <f t="shared" ref="AI25" si="27">AH25</f>
        <v>0</v>
      </c>
      <c r="AJ25" s="59">
        <f t="shared" ref="AJ25" si="28">AI25</f>
        <v>0</v>
      </c>
      <c r="AK25" s="59">
        <f t="shared" ref="AK25" si="29">AJ25</f>
        <v>0</v>
      </c>
      <c r="AL25" s="59">
        <f t="shared" ref="AL25" si="30">AK25</f>
        <v>0</v>
      </c>
      <c r="AM25" s="59">
        <f t="shared" ref="AM25" si="31">AL25</f>
        <v>0</v>
      </c>
      <c r="AN25" s="59">
        <f t="shared" ref="AN25" si="32">AM25</f>
        <v>0</v>
      </c>
      <c r="AO25" s="59">
        <f t="shared" ref="AO25" si="33">AN25</f>
        <v>0</v>
      </c>
      <c r="AP25" s="59">
        <f t="shared" ref="AP25" si="34">AO25</f>
        <v>0</v>
      </c>
      <c r="AQ25" s="59">
        <f t="shared" ref="AQ25" si="35">AP25</f>
        <v>0</v>
      </c>
      <c r="AR25" s="59">
        <f t="shared" ref="AR25" si="36">AQ25</f>
        <v>0</v>
      </c>
      <c r="AS25" s="59">
        <f t="shared" ref="AS25" si="37">AR25</f>
        <v>0</v>
      </c>
      <c r="AT25" s="59">
        <f t="shared" ref="AT25" si="38">AS25</f>
        <v>0</v>
      </c>
      <c r="AU25" s="59">
        <f t="shared" ref="AU25" si="39">AT25</f>
        <v>0</v>
      </c>
      <c r="AV25" s="59">
        <f t="shared" ref="AV25" si="40">AU25</f>
        <v>0</v>
      </c>
      <c r="AW25" s="59">
        <f t="shared" ref="AW25" si="41">AV25</f>
        <v>0</v>
      </c>
      <c r="AX25" s="59">
        <f t="shared" ref="AX25" si="42">AW25</f>
        <v>0</v>
      </c>
      <c r="AY25" s="59">
        <f t="shared" ref="AY25" si="43">AX25</f>
        <v>0</v>
      </c>
      <c r="AZ25" s="59">
        <f t="shared" ref="AZ25" si="44">AY25</f>
        <v>0</v>
      </c>
      <c r="BA25" s="59">
        <f t="shared" ref="BA25" si="45">AZ25</f>
        <v>0</v>
      </c>
      <c r="BB25" s="59">
        <f t="shared" ref="BB25" si="46">BA25</f>
        <v>0</v>
      </c>
      <c r="BC25" s="59">
        <f t="shared" ref="BC25" si="47">BB25</f>
        <v>0</v>
      </c>
      <c r="BD25" s="59">
        <f t="shared" ref="BD25" si="48">BC25</f>
        <v>0</v>
      </c>
      <c r="BE25" s="59">
        <f t="shared" ref="BE25" si="49">BD25</f>
        <v>0</v>
      </c>
    </row>
    <row r="26" spans="2:71">
      <c r="B26" s="146" t="s">
        <v>85</v>
      </c>
      <c r="C26" s="147"/>
      <c r="D26" s="147"/>
      <c r="E26" s="148"/>
      <c r="F26" s="59">
        <f>E26</f>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59">
        <v>0</v>
      </c>
      <c r="AE26" s="59">
        <v>0</v>
      </c>
      <c r="AF26" s="59">
        <v>0</v>
      </c>
      <c r="AG26" s="59">
        <v>0</v>
      </c>
      <c r="AH26" s="59">
        <v>0</v>
      </c>
      <c r="AI26" s="59">
        <v>0</v>
      </c>
      <c r="AJ26" s="59">
        <v>0</v>
      </c>
      <c r="AK26" s="59">
        <v>0</v>
      </c>
      <c r="AL26" s="59">
        <v>0</v>
      </c>
      <c r="AM26" s="59">
        <v>0</v>
      </c>
      <c r="AN26" s="59">
        <v>0</v>
      </c>
      <c r="AO26" s="59">
        <v>0</v>
      </c>
      <c r="AP26" s="59">
        <v>0</v>
      </c>
      <c r="AQ26" s="59">
        <v>0</v>
      </c>
      <c r="AR26" s="59">
        <v>0</v>
      </c>
      <c r="AS26" s="59">
        <v>0</v>
      </c>
      <c r="AT26" s="59">
        <v>0</v>
      </c>
      <c r="AU26" s="59">
        <v>0</v>
      </c>
      <c r="AV26" s="59">
        <v>0</v>
      </c>
      <c r="AW26" s="59">
        <v>0</v>
      </c>
      <c r="AX26" s="59">
        <v>0</v>
      </c>
      <c r="AY26" s="59">
        <v>0</v>
      </c>
      <c r="AZ26" s="59">
        <v>0</v>
      </c>
      <c r="BA26" s="59">
        <v>0</v>
      </c>
      <c r="BB26" s="59">
        <v>0</v>
      </c>
      <c r="BC26" s="59">
        <v>0</v>
      </c>
      <c r="BD26" s="59">
        <v>0</v>
      </c>
      <c r="BE26" s="59">
        <v>0</v>
      </c>
    </row>
    <row r="27" spans="2:71">
      <c r="B27" s="146" t="s">
        <v>86</v>
      </c>
      <c r="C27" s="147"/>
      <c r="D27" s="147"/>
      <c r="E27" s="148"/>
      <c r="F27" s="60">
        <f>F26-F25</f>
        <v>0</v>
      </c>
      <c r="G27" s="60">
        <f t="shared" ref="G27:BE27" si="50">G26-G25</f>
        <v>0</v>
      </c>
      <c r="H27" s="60">
        <f t="shared" si="50"/>
        <v>0</v>
      </c>
      <c r="I27" s="60">
        <f t="shared" si="50"/>
        <v>0</v>
      </c>
      <c r="J27" s="60">
        <f t="shared" si="50"/>
        <v>0</v>
      </c>
      <c r="K27" s="60">
        <f t="shared" si="50"/>
        <v>0</v>
      </c>
      <c r="L27" s="60">
        <f t="shared" si="50"/>
        <v>0</v>
      </c>
      <c r="M27" s="60">
        <f t="shared" si="50"/>
        <v>0</v>
      </c>
      <c r="N27" s="60">
        <f t="shared" si="50"/>
        <v>0</v>
      </c>
      <c r="O27" s="60">
        <f t="shared" si="50"/>
        <v>0</v>
      </c>
      <c r="P27" s="60">
        <f t="shared" si="50"/>
        <v>0</v>
      </c>
      <c r="Q27" s="60">
        <f t="shared" si="50"/>
        <v>0</v>
      </c>
      <c r="R27" s="60">
        <f t="shared" si="50"/>
        <v>0</v>
      </c>
      <c r="S27" s="60">
        <f t="shared" si="50"/>
        <v>0</v>
      </c>
      <c r="T27" s="60">
        <f t="shared" si="50"/>
        <v>0</v>
      </c>
      <c r="U27" s="60">
        <f t="shared" si="50"/>
        <v>0</v>
      </c>
      <c r="V27" s="60">
        <f t="shared" si="50"/>
        <v>0</v>
      </c>
      <c r="W27" s="60">
        <f t="shared" si="50"/>
        <v>0</v>
      </c>
      <c r="X27" s="60">
        <f t="shared" si="50"/>
        <v>0</v>
      </c>
      <c r="Y27" s="60">
        <f t="shared" si="50"/>
        <v>0</v>
      </c>
      <c r="Z27" s="60">
        <f t="shared" si="50"/>
        <v>0</v>
      </c>
      <c r="AA27" s="60">
        <f t="shared" si="50"/>
        <v>0</v>
      </c>
      <c r="AB27" s="60">
        <f t="shared" si="50"/>
        <v>0</v>
      </c>
      <c r="AC27" s="60">
        <f t="shared" si="50"/>
        <v>0</v>
      </c>
      <c r="AD27" s="60">
        <f t="shared" si="50"/>
        <v>0</v>
      </c>
      <c r="AE27" s="60">
        <f t="shared" si="50"/>
        <v>0</v>
      </c>
      <c r="AF27" s="60">
        <f t="shared" si="50"/>
        <v>0</v>
      </c>
      <c r="AG27" s="60">
        <f t="shared" si="50"/>
        <v>0</v>
      </c>
      <c r="AH27" s="60">
        <f t="shared" si="50"/>
        <v>0</v>
      </c>
      <c r="AI27" s="60">
        <f t="shared" si="50"/>
        <v>0</v>
      </c>
      <c r="AJ27" s="60">
        <f t="shared" si="50"/>
        <v>0</v>
      </c>
      <c r="AK27" s="60">
        <f t="shared" si="50"/>
        <v>0</v>
      </c>
      <c r="AL27" s="60">
        <f t="shared" si="50"/>
        <v>0</v>
      </c>
      <c r="AM27" s="60">
        <f t="shared" si="50"/>
        <v>0</v>
      </c>
      <c r="AN27" s="60">
        <f t="shared" si="50"/>
        <v>0</v>
      </c>
      <c r="AO27" s="60">
        <f t="shared" si="50"/>
        <v>0</v>
      </c>
      <c r="AP27" s="60">
        <f t="shared" si="50"/>
        <v>0</v>
      </c>
      <c r="AQ27" s="60">
        <f t="shared" si="50"/>
        <v>0</v>
      </c>
      <c r="AR27" s="60">
        <f t="shared" si="50"/>
        <v>0</v>
      </c>
      <c r="AS27" s="60">
        <f t="shared" si="50"/>
        <v>0</v>
      </c>
      <c r="AT27" s="60">
        <f t="shared" si="50"/>
        <v>0</v>
      </c>
      <c r="AU27" s="60">
        <f t="shared" si="50"/>
        <v>0</v>
      </c>
      <c r="AV27" s="60">
        <f t="shared" si="50"/>
        <v>0</v>
      </c>
      <c r="AW27" s="60">
        <f t="shared" si="50"/>
        <v>0</v>
      </c>
      <c r="AX27" s="60">
        <f t="shared" si="50"/>
        <v>0</v>
      </c>
      <c r="AY27" s="60">
        <f t="shared" si="50"/>
        <v>0</v>
      </c>
      <c r="AZ27" s="60">
        <f t="shared" si="50"/>
        <v>0</v>
      </c>
      <c r="BA27" s="60">
        <f t="shared" si="50"/>
        <v>0</v>
      </c>
      <c r="BB27" s="60">
        <f t="shared" si="50"/>
        <v>0</v>
      </c>
      <c r="BC27" s="60">
        <f t="shared" si="50"/>
        <v>0</v>
      </c>
      <c r="BD27" s="60">
        <f t="shared" si="50"/>
        <v>0</v>
      </c>
      <c r="BE27" s="60">
        <f t="shared" si="50"/>
        <v>0</v>
      </c>
    </row>
    <row r="28" spans="2:71">
      <c r="B28" s="146" t="s">
        <v>87</v>
      </c>
      <c r="C28" s="147"/>
      <c r="D28" s="147"/>
      <c r="E28" s="148"/>
      <c r="F28" s="155"/>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7"/>
    </row>
    <row r="29" spans="2:71">
      <c r="B29" s="32"/>
      <c r="C29" s="32"/>
      <c r="D29" s="32"/>
      <c r="E29" s="32"/>
    </row>
    <row r="30" spans="2:71">
      <c r="B30" s="146" t="str">
        <f>P13&amp;" TARGET"</f>
        <v>Conversion Rates from AI-powered features TARGET</v>
      </c>
      <c r="C30" s="147"/>
      <c r="D30" s="147"/>
      <c r="E30" s="148"/>
      <c r="F30" s="59">
        <f>E30</f>
        <v>0</v>
      </c>
      <c r="G30" s="59">
        <f>F30</f>
        <v>0</v>
      </c>
      <c r="H30" s="59">
        <f t="shared" ref="H30:BE30" si="51">G30</f>
        <v>0</v>
      </c>
      <c r="I30" s="59">
        <f t="shared" si="51"/>
        <v>0</v>
      </c>
      <c r="J30" s="59">
        <f t="shared" si="51"/>
        <v>0</v>
      </c>
      <c r="K30" s="59">
        <f t="shared" si="51"/>
        <v>0</v>
      </c>
      <c r="L30" s="59">
        <f t="shared" si="51"/>
        <v>0</v>
      </c>
      <c r="M30" s="59">
        <f t="shared" si="51"/>
        <v>0</v>
      </c>
      <c r="N30" s="59">
        <f t="shared" si="51"/>
        <v>0</v>
      </c>
      <c r="O30" s="59">
        <f t="shared" si="51"/>
        <v>0</v>
      </c>
      <c r="P30" s="59">
        <f t="shared" si="51"/>
        <v>0</v>
      </c>
      <c r="Q30" s="59">
        <f t="shared" si="51"/>
        <v>0</v>
      </c>
      <c r="R30" s="59">
        <f t="shared" si="51"/>
        <v>0</v>
      </c>
      <c r="S30" s="59">
        <f t="shared" si="51"/>
        <v>0</v>
      </c>
      <c r="T30" s="59">
        <f t="shared" si="51"/>
        <v>0</v>
      </c>
      <c r="U30" s="59">
        <f t="shared" si="51"/>
        <v>0</v>
      </c>
      <c r="V30" s="59">
        <f t="shared" si="51"/>
        <v>0</v>
      </c>
      <c r="W30" s="59">
        <f t="shared" si="51"/>
        <v>0</v>
      </c>
      <c r="X30" s="59">
        <f t="shared" si="51"/>
        <v>0</v>
      </c>
      <c r="Y30" s="59">
        <f t="shared" si="51"/>
        <v>0</v>
      </c>
      <c r="Z30" s="59">
        <f t="shared" si="51"/>
        <v>0</v>
      </c>
      <c r="AA30" s="59">
        <f t="shared" si="51"/>
        <v>0</v>
      </c>
      <c r="AB30" s="59">
        <f t="shared" si="51"/>
        <v>0</v>
      </c>
      <c r="AC30" s="59">
        <f t="shared" si="51"/>
        <v>0</v>
      </c>
      <c r="AD30" s="59">
        <f t="shared" si="51"/>
        <v>0</v>
      </c>
      <c r="AE30" s="59">
        <f t="shared" si="51"/>
        <v>0</v>
      </c>
      <c r="AF30" s="59">
        <f t="shared" si="51"/>
        <v>0</v>
      </c>
      <c r="AG30" s="59">
        <f t="shared" si="51"/>
        <v>0</v>
      </c>
      <c r="AH30" s="59">
        <f t="shared" si="51"/>
        <v>0</v>
      </c>
      <c r="AI30" s="59">
        <f t="shared" si="51"/>
        <v>0</v>
      </c>
      <c r="AJ30" s="59">
        <f t="shared" si="51"/>
        <v>0</v>
      </c>
      <c r="AK30" s="59">
        <f t="shared" si="51"/>
        <v>0</v>
      </c>
      <c r="AL30" s="59">
        <f t="shared" si="51"/>
        <v>0</v>
      </c>
      <c r="AM30" s="59">
        <f t="shared" si="51"/>
        <v>0</v>
      </c>
      <c r="AN30" s="59">
        <f t="shared" si="51"/>
        <v>0</v>
      </c>
      <c r="AO30" s="59">
        <f t="shared" si="51"/>
        <v>0</v>
      </c>
      <c r="AP30" s="59">
        <f t="shared" si="51"/>
        <v>0</v>
      </c>
      <c r="AQ30" s="59">
        <f t="shared" si="51"/>
        <v>0</v>
      </c>
      <c r="AR30" s="59">
        <f t="shared" si="51"/>
        <v>0</v>
      </c>
      <c r="AS30" s="59">
        <f t="shared" si="51"/>
        <v>0</v>
      </c>
      <c r="AT30" s="59">
        <f t="shared" si="51"/>
        <v>0</v>
      </c>
      <c r="AU30" s="59">
        <f t="shared" si="51"/>
        <v>0</v>
      </c>
      <c r="AV30" s="59">
        <f t="shared" si="51"/>
        <v>0</v>
      </c>
      <c r="AW30" s="59">
        <f t="shared" si="51"/>
        <v>0</v>
      </c>
      <c r="AX30" s="59">
        <f t="shared" si="51"/>
        <v>0</v>
      </c>
      <c r="AY30" s="59">
        <f t="shared" si="51"/>
        <v>0</v>
      </c>
      <c r="AZ30" s="59">
        <f t="shared" si="51"/>
        <v>0</v>
      </c>
      <c r="BA30" s="59">
        <f t="shared" si="51"/>
        <v>0</v>
      </c>
      <c r="BB30" s="59">
        <f t="shared" si="51"/>
        <v>0</v>
      </c>
      <c r="BC30" s="59">
        <f t="shared" si="51"/>
        <v>0</v>
      </c>
      <c r="BD30" s="59">
        <f t="shared" si="51"/>
        <v>0</v>
      </c>
      <c r="BE30" s="59">
        <f t="shared" si="51"/>
        <v>0</v>
      </c>
    </row>
    <row r="31" spans="2:71">
      <c r="B31" s="146" t="s">
        <v>85</v>
      </c>
      <c r="C31" s="147"/>
      <c r="D31" s="147"/>
      <c r="E31" s="148"/>
      <c r="F31" s="59">
        <f>E31</f>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59">
        <v>0</v>
      </c>
      <c r="AE31" s="59">
        <v>0</v>
      </c>
      <c r="AF31" s="59">
        <v>0</v>
      </c>
      <c r="AG31" s="59">
        <v>0</v>
      </c>
      <c r="AH31" s="59">
        <v>0</v>
      </c>
      <c r="AI31" s="59">
        <v>0</v>
      </c>
      <c r="AJ31" s="59">
        <v>0</v>
      </c>
      <c r="AK31" s="59">
        <v>0</v>
      </c>
      <c r="AL31" s="59">
        <v>0</v>
      </c>
      <c r="AM31" s="59">
        <v>0</v>
      </c>
      <c r="AN31" s="59">
        <v>0</v>
      </c>
      <c r="AO31" s="59">
        <v>0</v>
      </c>
      <c r="AP31" s="59">
        <v>0</v>
      </c>
      <c r="AQ31" s="59">
        <v>0</v>
      </c>
      <c r="AR31" s="59">
        <v>0</v>
      </c>
      <c r="AS31" s="59">
        <v>0</v>
      </c>
      <c r="AT31" s="59">
        <v>0</v>
      </c>
      <c r="AU31" s="59">
        <v>0</v>
      </c>
      <c r="AV31" s="59">
        <v>0</v>
      </c>
      <c r="AW31" s="59">
        <v>0</v>
      </c>
      <c r="AX31" s="59">
        <v>0</v>
      </c>
      <c r="AY31" s="59">
        <v>0</v>
      </c>
      <c r="AZ31" s="59">
        <v>0</v>
      </c>
      <c r="BA31" s="59">
        <v>0</v>
      </c>
      <c r="BB31" s="59">
        <v>0</v>
      </c>
      <c r="BC31" s="59">
        <v>0</v>
      </c>
      <c r="BD31" s="59">
        <v>0</v>
      </c>
      <c r="BE31" s="59">
        <v>0</v>
      </c>
    </row>
    <row r="32" spans="2:71">
      <c r="B32" s="146" t="s">
        <v>86</v>
      </c>
      <c r="C32" s="147"/>
      <c r="D32" s="147"/>
      <c r="E32" s="148"/>
      <c r="F32" s="60">
        <f>F31-F30</f>
        <v>0</v>
      </c>
      <c r="G32" s="60">
        <f t="shared" ref="G32:BE32" si="52">G31-G30</f>
        <v>0</v>
      </c>
      <c r="H32" s="60">
        <f t="shared" si="52"/>
        <v>0</v>
      </c>
      <c r="I32" s="60">
        <f t="shared" si="52"/>
        <v>0</v>
      </c>
      <c r="J32" s="60">
        <f t="shared" si="52"/>
        <v>0</v>
      </c>
      <c r="K32" s="60">
        <f t="shared" si="52"/>
        <v>0</v>
      </c>
      <c r="L32" s="60">
        <f t="shared" si="52"/>
        <v>0</v>
      </c>
      <c r="M32" s="60">
        <f t="shared" si="52"/>
        <v>0</v>
      </c>
      <c r="N32" s="60">
        <f t="shared" si="52"/>
        <v>0</v>
      </c>
      <c r="O32" s="60">
        <f t="shared" si="52"/>
        <v>0</v>
      </c>
      <c r="P32" s="60">
        <f t="shared" si="52"/>
        <v>0</v>
      </c>
      <c r="Q32" s="60">
        <f t="shared" si="52"/>
        <v>0</v>
      </c>
      <c r="R32" s="60">
        <f t="shared" si="52"/>
        <v>0</v>
      </c>
      <c r="S32" s="60">
        <f t="shared" si="52"/>
        <v>0</v>
      </c>
      <c r="T32" s="60">
        <f t="shared" si="52"/>
        <v>0</v>
      </c>
      <c r="U32" s="60">
        <f t="shared" si="52"/>
        <v>0</v>
      </c>
      <c r="V32" s="60">
        <f t="shared" si="52"/>
        <v>0</v>
      </c>
      <c r="W32" s="60">
        <f t="shared" si="52"/>
        <v>0</v>
      </c>
      <c r="X32" s="60">
        <f t="shared" si="52"/>
        <v>0</v>
      </c>
      <c r="Y32" s="60">
        <f t="shared" si="52"/>
        <v>0</v>
      </c>
      <c r="Z32" s="60">
        <f t="shared" si="52"/>
        <v>0</v>
      </c>
      <c r="AA32" s="60">
        <f t="shared" si="52"/>
        <v>0</v>
      </c>
      <c r="AB32" s="60">
        <f t="shared" si="52"/>
        <v>0</v>
      </c>
      <c r="AC32" s="60">
        <f t="shared" si="52"/>
        <v>0</v>
      </c>
      <c r="AD32" s="60">
        <f t="shared" si="52"/>
        <v>0</v>
      </c>
      <c r="AE32" s="60">
        <f t="shared" si="52"/>
        <v>0</v>
      </c>
      <c r="AF32" s="60">
        <f t="shared" si="52"/>
        <v>0</v>
      </c>
      <c r="AG32" s="60">
        <f t="shared" si="52"/>
        <v>0</v>
      </c>
      <c r="AH32" s="60">
        <f t="shared" si="52"/>
        <v>0</v>
      </c>
      <c r="AI32" s="60">
        <f t="shared" si="52"/>
        <v>0</v>
      </c>
      <c r="AJ32" s="60">
        <f t="shared" si="52"/>
        <v>0</v>
      </c>
      <c r="AK32" s="60">
        <f t="shared" si="52"/>
        <v>0</v>
      </c>
      <c r="AL32" s="60">
        <f t="shared" si="52"/>
        <v>0</v>
      </c>
      <c r="AM32" s="60">
        <f t="shared" si="52"/>
        <v>0</v>
      </c>
      <c r="AN32" s="60">
        <f t="shared" si="52"/>
        <v>0</v>
      </c>
      <c r="AO32" s="60">
        <f t="shared" si="52"/>
        <v>0</v>
      </c>
      <c r="AP32" s="60">
        <f t="shared" si="52"/>
        <v>0</v>
      </c>
      <c r="AQ32" s="60">
        <f t="shared" si="52"/>
        <v>0</v>
      </c>
      <c r="AR32" s="60">
        <f t="shared" si="52"/>
        <v>0</v>
      </c>
      <c r="AS32" s="60">
        <f t="shared" si="52"/>
        <v>0</v>
      </c>
      <c r="AT32" s="60">
        <f t="shared" si="52"/>
        <v>0</v>
      </c>
      <c r="AU32" s="60">
        <f t="shared" si="52"/>
        <v>0</v>
      </c>
      <c r="AV32" s="60">
        <f t="shared" si="52"/>
        <v>0</v>
      </c>
      <c r="AW32" s="60">
        <f t="shared" si="52"/>
        <v>0</v>
      </c>
      <c r="AX32" s="60">
        <f t="shared" si="52"/>
        <v>0</v>
      </c>
      <c r="AY32" s="60">
        <f t="shared" si="52"/>
        <v>0</v>
      </c>
      <c r="AZ32" s="60">
        <f t="shared" si="52"/>
        <v>0</v>
      </c>
      <c r="BA32" s="60">
        <f t="shared" si="52"/>
        <v>0</v>
      </c>
      <c r="BB32" s="60">
        <f t="shared" si="52"/>
        <v>0</v>
      </c>
      <c r="BC32" s="60">
        <f t="shared" si="52"/>
        <v>0</v>
      </c>
      <c r="BD32" s="60">
        <f t="shared" si="52"/>
        <v>0</v>
      </c>
      <c r="BE32" s="60">
        <f t="shared" si="52"/>
        <v>0</v>
      </c>
    </row>
    <row r="33" spans="2:62">
      <c r="B33" s="146" t="s">
        <v>87</v>
      </c>
      <c r="C33" s="147"/>
      <c r="D33" s="147"/>
      <c r="E33" s="148"/>
      <c r="F33" s="155"/>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7"/>
    </row>
    <row r="34" spans="2:62">
      <c r="B34" s="32"/>
      <c r="C34" s="32"/>
      <c r="D34" s="32"/>
      <c r="E34" s="32"/>
    </row>
    <row r="35" spans="2:62">
      <c r="B35" s="146" t="str">
        <f>Y13&amp;" TARGET"</f>
        <v>Cost Savings TARGET</v>
      </c>
      <c r="C35" s="147"/>
      <c r="D35" s="147"/>
      <c r="E35" s="148"/>
      <c r="F35" s="59">
        <f>E35</f>
        <v>0</v>
      </c>
      <c r="G35" s="59">
        <f>F35</f>
        <v>0</v>
      </c>
      <c r="H35" s="59">
        <f t="shared" ref="H35:BE35" si="53">G35</f>
        <v>0</v>
      </c>
      <c r="I35" s="59">
        <f t="shared" si="53"/>
        <v>0</v>
      </c>
      <c r="J35" s="59">
        <f t="shared" si="53"/>
        <v>0</v>
      </c>
      <c r="K35" s="59">
        <f t="shared" si="53"/>
        <v>0</v>
      </c>
      <c r="L35" s="59">
        <f t="shared" si="53"/>
        <v>0</v>
      </c>
      <c r="M35" s="59">
        <f t="shared" si="53"/>
        <v>0</v>
      </c>
      <c r="N35" s="59">
        <f t="shared" si="53"/>
        <v>0</v>
      </c>
      <c r="O35" s="59">
        <f t="shared" si="53"/>
        <v>0</v>
      </c>
      <c r="P35" s="59">
        <f t="shared" si="53"/>
        <v>0</v>
      </c>
      <c r="Q35" s="59">
        <f t="shared" si="53"/>
        <v>0</v>
      </c>
      <c r="R35" s="59">
        <f t="shared" si="53"/>
        <v>0</v>
      </c>
      <c r="S35" s="59">
        <f t="shared" si="53"/>
        <v>0</v>
      </c>
      <c r="T35" s="59">
        <f t="shared" si="53"/>
        <v>0</v>
      </c>
      <c r="U35" s="59">
        <f t="shared" si="53"/>
        <v>0</v>
      </c>
      <c r="V35" s="59">
        <f t="shared" si="53"/>
        <v>0</v>
      </c>
      <c r="W35" s="59">
        <f t="shared" si="53"/>
        <v>0</v>
      </c>
      <c r="X35" s="59">
        <f t="shared" si="53"/>
        <v>0</v>
      </c>
      <c r="Y35" s="59">
        <f t="shared" si="53"/>
        <v>0</v>
      </c>
      <c r="Z35" s="59">
        <f t="shared" si="53"/>
        <v>0</v>
      </c>
      <c r="AA35" s="59">
        <f t="shared" si="53"/>
        <v>0</v>
      </c>
      <c r="AB35" s="59">
        <f t="shared" si="53"/>
        <v>0</v>
      </c>
      <c r="AC35" s="59">
        <f t="shared" si="53"/>
        <v>0</v>
      </c>
      <c r="AD35" s="59">
        <f t="shared" si="53"/>
        <v>0</v>
      </c>
      <c r="AE35" s="59">
        <f t="shared" si="53"/>
        <v>0</v>
      </c>
      <c r="AF35" s="59">
        <f t="shared" si="53"/>
        <v>0</v>
      </c>
      <c r="AG35" s="59">
        <f t="shared" si="53"/>
        <v>0</v>
      </c>
      <c r="AH35" s="59">
        <f t="shared" si="53"/>
        <v>0</v>
      </c>
      <c r="AI35" s="59">
        <f t="shared" si="53"/>
        <v>0</v>
      </c>
      <c r="AJ35" s="59">
        <f t="shared" si="53"/>
        <v>0</v>
      </c>
      <c r="AK35" s="59">
        <f t="shared" si="53"/>
        <v>0</v>
      </c>
      <c r="AL35" s="59">
        <f t="shared" si="53"/>
        <v>0</v>
      </c>
      <c r="AM35" s="59">
        <f t="shared" si="53"/>
        <v>0</v>
      </c>
      <c r="AN35" s="59">
        <f t="shared" si="53"/>
        <v>0</v>
      </c>
      <c r="AO35" s="59">
        <f t="shared" si="53"/>
        <v>0</v>
      </c>
      <c r="AP35" s="59">
        <f t="shared" si="53"/>
        <v>0</v>
      </c>
      <c r="AQ35" s="59">
        <f t="shared" si="53"/>
        <v>0</v>
      </c>
      <c r="AR35" s="59">
        <f t="shared" si="53"/>
        <v>0</v>
      </c>
      <c r="AS35" s="59">
        <f t="shared" si="53"/>
        <v>0</v>
      </c>
      <c r="AT35" s="59">
        <f t="shared" si="53"/>
        <v>0</v>
      </c>
      <c r="AU35" s="59">
        <f t="shared" si="53"/>
        <v>0</v>
      </c>
      <c r="AV35" s="59">
        <f t="shared" si="53"/>
        <v>0</v>
      </c>
      <c r="AW35" s="59">
        <f t="shared" si="53"/>
        <v>0</v>
      </c>
      <c r="AX35" s="59">
        <f t="shared" si="53"/>
        <v>0</v>
      </c>
      <c r="AY35" s="59">
        <f t="shared" si="53"/>
        <v>0</v>
      </c>
      <c r="AZ35" s="59">
        <f t="shared" si="53"/>
        <v>0</v>
      </c>
      <c r="BA35" s="59">
        <f t="shared" si="53"/>
        <v>0</v>
      </c>
      <c r="BB35" s="59">
        <f t="shared" si="53"/>
        <v>0</v>
      </c>
      <c r="BC35" s="59">
        <f t="shared" si="53"/>
        <v>0</v>
      </c>
      <c r="BD35" s="59">
        <f t="shared" si="53"/>
        <v>0</v>
      </c>
      <c r="BE35" s="59">
        <f t="shared" si="53"/>
        <v>0</v>
      </c>
    </row>
    <row r="36" spans="2:62">
      <c r="B36" s="146" t="s">
        <v>85</v>
      </c>
      <c r="C36" s="147"/>
      <c r="D36" s="147"/>
      <c r="E36" s="148"/>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59">
        <v>0</v>
      </c>
      <c r="AE36" s="59">
        <v>0</v>
      </c>
      <c r="AF36" s="59">
        <v>0</v>
      </c>
      <c r="AG36" s="59">
        <v>0</v>
      </c>
      <c r="AH36" s="59">
        <v>0</v>
      </c>
      <c r="AI36" s="59">
        <v>0</v>
      </c>
      <c r="AJ36" s="59">
        <v>0</v>
      </c>
      <c r="AK36" s="59">
        <v>0</v>
      </c>
      <c r="AL36" s="59">
        <v>0</v>
      </c>
      <c r="AM36" s="59">
        <v>0</v>
      </c>
      <c r="AN36" s="59">
        <v>0</v>
      </c>
      <c r="AO36" s="59">
        <v>0</v>
      </c>
      <c r="AP36" s="59">
        <v>0</v>
      </c>
      <c r="AQ36" s="59">
        <v>0</v>
      </c>
      <c r="AR36" s="59">
        <v>0</v>
      </c>
      <c r="AS36" s="59">
        <v>0</v>
      </c>
      <c r="AT36" s="59">
        <v>0</v>
      </c>
      <c r="AU36" s="59">
        <v>0</v>
      </c>
      <c r="AV36" s="59">
        <v>0</v>
      </c>
      <c r="AW36" s="59">
        <v>0</v>
      </c>
      <c r="AX36" s="59">
        <v>0</v>
      </c>
      <c r="AY36" s="59">
        <v>0</v>
      </c>
      <c r="AZ36" s="59">
        <v>0</v>
      </c>
      <c r="BA36" s="59">
        <v>0</v>
      </c>
      <c r="BB36" s="59">
        <v>0</v>
      </c>
      <c r="BC36" s="59">
        <v>0</v>
      </c>
      <c r="BD36" s="59">
        <v>0</v>
      </c>
      <c r="BE36" s="59">
        <v>0</v>
      </c>
    </row>
    <row r="37" spans="2:62">
      <c r="B37" s="146" t="s">
        <v>86</v>
      </c>
      <c r="C37" s="147"/>
      <c r="D37" s="147"/>
      <c r="E37" s="148"/>
      <c r="F37" s="60">
        <f>F36-F35</f>
        <v>0</v>
      </c>
      <c r="G37" s="60">
        <f t="shared" ref="G37:BE37" si="54">G36-G35</f>
        <v>0</v>
      </c>
      <c r="H37" s="60">
        <f t="shared" si="54"/>
        <v>0</v>
      </c>
      <c r="I37" s="60">
        <f t="shared" si="54"/>
        <v>0</v>
      </c>
      <c r="J37" s="60">
        <f t="shared" si="54"/>
        <v>0</v>
      </c>
      <c r="K37" s="60">
        <f t="shared" si="54"/>
        <v>0</v>
      </c>
      <c r="L37" s="60">
        <f t="shared" si="54"/>
        <v>0</v>
      </c>
      <c r="M37" s="60">
        <f t="shared" si="54"/>
        <v>0</v>
      </c>
      <c r="N37" s="60">
        <f t="shared" si="54"/>
        <v>0</v>
      </c>
      <c r="O37" s="60">
        <f t="shared" si="54"/>
        <v>0</v>
      </c>
      <c r="P37" s="60">
        <f t="shared" si="54"/>
        <v>0</v>
      </c>
      <c r="Q37" s="60">
        <f t="shared" si="54"/>
        <v>0</v>
      </c>
      <c r="R37" s="60">
        <f t="shared" si="54"/>
        <v>0</v>
      </c>
      <c r="S37" s="60">
        <f t="shared" si="54"/>
        <v>0</v>
      </c>
      <c r="T37" s="60">
        <f t="shared" si="54"/>
        <v>0</v>
      </c>
      <c r="U37" s="60">
        <f t="shared" si="54"/>
        <v>0</v>
      </c>
      <c r="V37" s="60">
        <f t="shared" si="54"/>
        <v>0</v>
      </c>
      <c r="W37" s="60">
        <f t="shared" si="54"/>
        <v>0</v>
      </c>
      <c r="X37" s="60">
        <f t="shared" si="54"/>
        <v>0</v>
      </c>
      <c r="Y37" s="60">
        <f t="shared" si="54"/>
        <v>0</v>
      </c>
      <c r="Z37" s="60">
        <f t="shared" si="54"/>
        <v>0</v>
      </c>
      <c r="AA37" s="60">
        <f t="shared" si="54"/>
        <v>0</v>
      </c>
      <c r="AB37" s="60">
        <f t="shared" si="54"/>
        <v>0</v>
      </c>
      <c r="AC37" s="60">
        <f t="shared" si="54"/>
        <v>0</v>
      </c>
      <c r="AD37" s="60">
        <f t="shared" si="54"/>
        <v>0</v>
      </c>
      <c r="AE37" s="60">
        <f t="shared" si="54"/>
        <v>0</v>
      </c>
      <c r="AF37" s="60">
        <f t="shared" si="54"/>
        <v>0</v>
      </c>
      <c r="AG37" s="60">
        <f t="shared" si="54"/>
        <v>0</v>
      </c>
      <c r="AH37" s="60">
        <f t="shared" si="54"/>
        <v>0</v>
      </c>
      <c r="AI37" s="60">
        <f t="shared" si="54"/>
        <v>0</v>
      </c>
      <c r="AJ37" s="60">
        <f t="shared" si="54"/>
        <v>0</v>
      </c>
      <c r="AK37" s="60">
        <f t="shared" si="54"/>
        <v>0</v>
      </c>
      <c r="AL37" s="60">
        <f t="shared" si="54"/>
        <v>0</v>
      </c>
      <c r="AM37" s="60">
        <f t="shared" si="54"/>
        <v>0</v>
      </c>
      <c r="AN37" s="60">
        <f t="shared" si="54"/>
        <v>0</v>
      </c>
      <c r="AO37" s="60">
        <f t="shared" si="54"/>
        <v>0</v>
      </c>
      <c r="AP37" s="60">
        <f t="shared" si="54"/>
        <v>0</v>
      </c>
      <c r="AQ37" s="60">
        <f t="shared" si="54"/>
        <v>0</v>
      </c>
      <c r="AR37" s="60">
        <f t="shared" si="54"/>
        <v>0</v>
      </c>
      <c r="AS37" s="60">
        <f t="shared" si="54"/>
        <v>0</v>
      </c>
      <c r="AT37" s="60">
        <f t="shared" si="54"/>
        <v>0</v>
      </c>
      <c r="AU37" s="60">
        <f t="shared" si="54"/>
        <v>0</v>
      </c>
      <c r="AV37" s="60">
        <f t="shared" si="54"/>
        <v>0</v>
      </c>
      <c r="AW37" s="60">
        <f t="shared" si="54"/>
        <v>0</v>
      </c>
      <c r="AX37" s="60">
        <f t="shared" si="54"/>
        <v>0</v>
      </c>
      <c r="AY37" s="60">
        <f t="shared" si="54"/>
        <v>0</v>
      </c>
      <c r="AZ37" s="60">
        <f t="shared" si="54"/>
        <v>0</v>
      </c>
      <c r="BA37" s="60">
        <f t="shared" si="54"/>
        <v>0</v>
      </c>
      <c r="BB37" s="60">
        <f t="shared" si="54"/>
        <v>0</v>
      </c>
      <c r="BC37" s="60">
        <f t="shared" si="54"/>
        <v>0</v>
      </c>
      <c r="BD37" s="60">
        <f t="shared" si="54"/>
        <v>0</v>
      </c>
      <c r="BE37" s="60">
        <f t="shared" si="54"/>
        <v>0</v>
      </c>
    </row>
    <row r="38" spans="2:62">
      <c r="B38" s="146" t="s">
        <v>87</v>
      </c>
      <c r="C38" s="147"/>
      <c r="D38" s="147"/>
      <c r="E38" s="148"/>
      <c r="F38" s="155"/>
      <c r="G38" s="156"/>
      <c r="H38" s="156"/>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7"/>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88</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89</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90</v>
      </c>
      <c r="C44" s="33"/>
      <c r="D44" s="33"/>
      <c r="E44" s="33"/>
      <c r="F44" s="33">
        <f t="shared" ref="F44:AK44" si="59">IF($X$12="Cost Savings",F35,0)</f>
        <v>0</v>
      </c>
      <c r="G44" s="33">
        <f t="shared" si="59"/>
        <v>0</v>
      </c>
      <c r="H44" s="33">
        <f t="shared" si="59"/>
        <v>0</v>
      </c>
      <c r="I44" s="33">
        <f t="shared" si="59"/>
        <v>0</v>
      </c>
      <c r="J44" s="33">
        <f t="shared" si="59"/>
        <v>0</v>
      </c>
      <c r="K44" s="33">
        <f t="shared" si="59"/>
        <v>0</v>
      </c>
      <c r="L44" s="33">
        <f t="shared" si="59"/>
        <v>0</v>
      </c>
      <c r="M44" s="33">
        <f t="shared" si="59"/>
        <v>0</v>
      </c>
      <c r="N44" s="33">
        <f t="shared" si="59"/>
        <v>0</v>
      </c>
      <c r="O44" s="33">
        <f t="shared" si="59"/>
        <v>0</v>
      </c>
      <c r="P44" s="33">
        <f t="shared" si="59"/>
        <v>0</v>
      </c>
      <c r="Q44" s="33">
        <f t="shared" si="59"/>
        <v>0</v>
      </c>
      <c r="R44" s="33">
        <f t="shared" si="59"/>
        <v>0</v>
      </c>
      <c r="S44" s="33">
        <f t="shared" si="59"/>
        <v>0</v>
      </c>
      <c r="T44" s="33">
        <f t="shared" si="59"/>
        <v>0</v>
      </c>
      <c r="U44" s="33">
        <f t="shared" si="59"/>
        <v>0</v>
      </c>
      <c r="V44" s="33">
        <f t="shared" si="59"/>
        <v>0</v>
      </c>
      <c r="W44" s="33">
        <f t="shared" si="59"/>
        <v>0</v>
      </c>
      <c r="X44" s="33">
        <f t="shared" si="59"/>
        <v>0</v>
      </c>
      <c r="Y44" s="33">
        <f t="shared" si="59"/>
        <v>0</v>
      </c>
      <c r="Z44" s="33">
        <f t="shared" si="59"/>
        <v>0</v>
      </c>
      <c r="AA44" s="33">
        <f t="shared" si="59"/>
        <v>0</v>
      </c>
      <c r="AB44" s="33">
        <f t="shared" si="59"/>
        <v>0</v>
      </c>
      <c r="AC44" s="33">
        <f t="shared" si="59"/>
        <v>0</v>
      </c>
      <c r="AD44" s="33">
        <f t="shared" si="59"/>
        <v>0</v>
      </c>
      <c r="AE44" s="33">
        <f t="shared" si="59"/>
        <v>0</v>
      </c>
      <c r="AF44" s="33">
        <f t="shared" si="59"/>
        <v>0</v>
      </c>
      <c r="AG44" s="33">
        <f t="shared" si="59"/>
        <v>0</v>
      </c>
      <c r="AH44" s="33">
        <f t="shared" si="59"/>
        <v>0</v>
      </c>
      <c r="AI44" s="33">
        <f t="shared" si="59"/>
        <v>0</v>
      </c>
      <c r="AJ44" s="33">
        <f t="shared" si="59"/>
        <v>0</v>
      </c>
      <c r="AK44" s="33">
        <f t="shared" si="59"/>
        <v>0</v>
      </c>
      <c r="AL44" s="33">
        <f t="shared" ref="AL44:BE44" si="60">IF($X$12="Cost Savings",AL35,0)</f>
        <v>0</v>
      </c>
      <c r="AM44" s="33">
        <f t="shared" si="60"/>
        <v>0</v>
      </c>
      <c r="AN44" s="33">
        <f t="shared" si="60"/>
        <v>0</v>
      </c>
      <c r="AO44" s="33">
        <f t="shared" si="60"/>
        <v>0</v>
      </c>
      <c r="AP44" s="33">
        <f t="shared" si="60"/>
        <v>0</v>
      </c>
      <c r="AQ44" s="33">
        <f t="shared" si="60"/>
        <v>0</v>
      </c>
      <c r="AR44" s="33">
        <f t="shared" si="60"/>
        <v>0</v>
      </c>
      <c r="AS44" s="33">
        <f t="shared" si="60"/>
        <v>0</v>
      </c>
      <c r="AT44" s="33">
        <f t="shared" si="60"/>
        <v>0</v>
      </c>
      <c r="AU44" s="33">
        <f t="shared" si="60"/>
        <v>0</v>
      </c>
      <c r="AV44" s="33">
        <f t="shared" si="60"/>
        <v>0</v>
      </c>
      <c r="AW44" s="33">
        <f t="shared" si="60"/>
        <v>0</v>
      </c>
      <c r="AX44" s="33">
        <f t="shared" si="60"/>
        <v>0</v>
      </c>
      <c r="AY44" s="33">
        <f t="shared" si="60"/>
        <v>0</v>
      </c>
      <c r="AZ44" s="33">
        <f t="shared" si="60"/>
        <v>0</v>
      </c>
      <c r="BA44" s="33">
        <f t="shared" si="60"/>
        <v>0</v>
      </c>
      <c r="BB44" s="33">
        <f t="shared" si="60"/>
        <v>0</v>
      </c>
      <c r="BC44" s="33">
        <f t="shared" si="60"/>
        <v>0</v>
      </c>
      <c r="BD44" s="33">
        <f t="shared" si="60"/>
        <v>0</v>
      </c>
      <c r="BE44" s="33">
        <f t="shared" si="60"/>
        <v>0</v>
      </c>
      <c r="BI44" s="21"/>
      <c r="BJ44" s="21"/>
    </row>
    <row r="45" spans="2:62">
      <c r="B45" s="33" t="s">
        <v>91</v>
      </c>
      <c r="C45" s="33"/>
      <c r="D45" s="33"/>
      <c r="E45" s="33"/>
      <c r="F45" s="33">
        <f t="shared" ref="F45:AK45" si="61">IF($X$12="Cost Savings",F36,0)</f>
        <v>0</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63">G41+G44</f>
        <v>0</v>
      </c>
      <c r="H47" s="33">
        <f t="shared" si="63"/>
        <v>0</v>
      </c>
      <c r="I47" s="33">
        <f t="shared" si="63"/>
        <v>0</v>
      </c>
      <c r="J47" s="33">
        <f t="shared" si="63"/>
        <v>0</v>
      </c>
      <c r="K47" s="33">
        <f t="shared" si="63"/>
        <v>0</v>
      </c>
      <c r="L47" s="33">
        <f t="shared" si="63"/>
        <v>0</v>
      </c>
      <c r="M47" s="33">
        <f t="shared" si="63"/>
        <v>0</v>
      </c>
      <c r="N47" s="33">
        <f t="shared" si="63"/>
        <v>0</v>
      </c>
      <c r="O47" s="33">
        <f t="shared" si="63"/>
        <v>0</v>
      </c>
      <c r="P47" s="33">
        <f t="shared" si="63"/>
        <v>0</v>
      </c>
      <c r="Q47" s="33">
        <f t="shared" si="63"/>
        <v>0</v>
      </c>
      <c r="R47" s="33">
        <f t="shared" si="63"/>
        <v>0</v>
      </c>
      <c r="S47" s="33">
        <f t="shared" si="63"/>
        <v>0</v>
      </c>
      <c r="T47" s="33">
        <f t="shared" si="63"/>
        <v>0</v>
      </c>
      <c r="U47" s="33">
        <f t="shared" si="63"/>
        <v>0</v>
      </c>
      <c r="V47" s="33">
        <f t="shared" si="63"/>
        <v>0</v>
      </c>
      <c r="W47" s="33">
        <f t="shared" si="63"/>
        <v>0</v>
      </c>
      <c r="X47" s="33">
        <f t="shared" si="63"/>
        <v>0</v>
      </c>
      <c r="Y47" s="33">
        <f t="shared" si="63"/>
        <v>0</v>
      </c>
      <c r="Z47" s="33">
        <f t="shared" si="63"/>
        <v>0</v>
      </c>
      <c r="AA47" s="33">
        <f t="shared" si="63"/>
        <v>0</v>
      </c>
      <c r="AB47" s="33">
        <f t="shared" si="63"/>
        <v>0</v>
      </c>
      <c r="AC47" s="33">
        <f t="shared" si="63"/>
        <v>0</v>
      </c>
      <c r="AD47" s="33">
        <f t="shared" si="63"/>
        <v>0</v>
      </c>
      <c r="AE47" s="33">
        <f t="shared" si="63"/>
        <v>0</v>
      </c>
      <c r="AF47" s="33">
        <f t="shared" si="63"/>
        <v>0</v>
      </c>
      <c r="AG47" s="33">
        <f t="shared" si="63"/>
        <v>0</v>
      </c>
      <c r="AH47" s="33">
        <f t="shared" si="63"/>
        <v>0</v>
      </c>
      <c r="AI47" s="33">
        <f t="shared" si="63"/>
        <v>0</v>
      </c>
      <c r="AJ47" s="33">
        <f t="shared" si="63"/>
        <v>0</v>
      </c>
      <c r="AK47" s="33">
        <f t="shared" si="63"/>
        <v>0</v>
      </c>
      <c r="AL47" s="33">
        <f t="shared" si="63"/>
        <v>0</v>
      </c>
      <c r="AM47" s="33">
        <f t="shared" si="63"/>
        <v>0</v>
      </c>
      <c r="AN47" s="33">
        <f t="shared" si="63"/>
        <v>0</v>
      </c>
      <c r="AO47" s="33">
        <f t="shared" si="63"/>
        <v>0</v>
      </c>
      <c r="AP47" s="33">
        <f t="shared" si="63"/>
        <v>0</v>
      </c>
      <c r="AQ47" s="33">
        <f t="shared" si="63"/>
        <v>0</v>
      </c>
      <c r="AR47" s="33">
        <f t="shared" si="63"/>
        <v>0</v>
      </c>
      <c r="AS47" s="33">
        <f t="shared" si="63"/>
        <v>0</v>
      </c>
      <c r="AT47" s="33">
        <f t="shared" si="63"/>
        <v>0</v>
      </c>
      <c r="AU47" s="33">
        <f t="shared" si="63"/>
        <v>0</v>
      </c>
      <c r="AV47" s="33">
        <f t="shared" si="63"/>
        <v>0</v>
      </c>
      <c r="AW47" s="33">
        <f t="shared" si="63"/>
        <v>0</v>
      </c>
      <c r="AX47" s="33">
        <f t="shared" si="63"/>
        <v>0</v>
      </c>
      <c r="AY47" s="33">
        <f t="shared" si="63"/>
        <v>0</v>
      </c>
      <c r="AZ47" s="33">
        <f t="shared" si="63"/>
        <v>0</v>
      </c>
      <c r="BA47" s="33">
        <f t="shared" si="63"/>
        <v>0</v>
      </c>
      <c r="BB47" s="33">
        <f t="shared" si="63"/>
        <v>0</v>
      </c>
      <c r="BC47" s="33">
        <f t="shared" si="63"/>
        <v>0</v>
      </c>
      <c r="BD47" s="33">
        <f t="shared" si="63"/>
        <v>0</v>
      </c>
      <c r="BE47" s="33">
        <f t="shared" si="63"/>
        <v>0</v>
      </c>
    </row>
    <row r="48" spans="2:62">
      <c r="B48" s="33" t="s">
        <v>13</v>
      </c>
      <c r="C48" s="33"/>
      <c r="D48" s="33"/>
      <c r="E48" s="33"/>
      <c r="F48" s="33">
        <f t="shared" ref="F48:BE48" si="64">F42+F45</f>
        <v>0</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92</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93</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94</v>
      </c>
      <c r="C51" s="33"/>
      <c r="D51" s="33"/>
      <c r="E51" s="33">
        <f ca="1">MAX(F51:BE51)</f>
        <v>0</v>
      </c>
      <c r="F51" s="33">
        <f t="shared" ref="F51:AK51" ca="1" si="67">IF($AZ$3&gt;F25,F48,0)</f>
        <v>0</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5" priority="1" operator="equal">
      <formula>"No Change"</formula>
    </cfRule>
    <cfRule type="cellIs" dxfId="14" priority="2" operator="equal">
      <formula>"Progression"</formula>
    </cfRule>
  </conditionalFormatting>
  <conditionalFormatting sqref="AU10:AU21">
    <cfRule type="expression" dxfId="13" priority="3">
      <formula>IFERROR(FIND("Ahead",AU10),0)&gt;0</formula>
    </cfRule>
    <cfRule type="expression" dxfId="12" priority="4">
      <formula>IFERROR(FIND("Overdue",AU10),0)&gt;0</formula>
    </cfRule>
    <cfRule type="cellIs" dxfId="11" priority="5" operator="equal">
      <formula>"Met Target"</formula>
    </cfRule>
    <cfRule type="cellIs" dxfId="10" priority="6" operator="equal">
      <formula>"Missing Target"</formula>
    </cfRule>
    <cfRule type="expression" dxfId="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2"/>
  <sheetViews>
    <sheetView topLeftCell="F3" zoomScaleNormal="100" workbookViewId="0">
      <selection activeCell="J46" sqref="J4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183</v>
      </c>
      <c r="C3" t="s">
        <v>184</v>
      </c>
      <c r="D3" t="s">
        <v>185</v>
      </c>
      <c r="E3" t="s">
        <v>37</v>
      </c>
      <c r="F3" t="s">
        <v>186</v>
      </c>
      <c r="G3" t="s">
        <v>187</v>
      </c>
      <c r="H3" t="s">
        <v>188</v>
      </c>
      <c r="J3" t="s">
        <v>189</v>
      </c>
      <c r="L3" t="s">
        <v>190</v>
      </c>
      <c r="M3" t="s">
        <v>191</v>
      </c>
      <c r="O3" t="s">
        <v>39</v>
      </c>
      <c r="P3" t="s">
        <v>192</v>
      </c>
      <c r="Q3" t="s">
        <v>193</v>
      </c>
      <c r="S3" s="7" t="s">
        <v>194</v>
      </c>
      <c r="T3" s="7" t="s">
        <v>195</v>
      </c>
      <c r="U3" s="7" t="s">
        <v>196</v>
      </c>
      <c r="W3" s="7" t="s">
        <v>195</v>
      </c>
      <c r="X3" s="7" t="s">
        <v>197</v>
      </c>
      <c r="Y3" s="7" t="s">
        <v>198</v>
      </c>
      <c r="AA3" s="7" t="s">
        <v>199</v>
      </c>
      <c r="AC3" s="7" t="s">
        <v>10</v>
      </c>
    </row>
    <row r="4" spans="2:29" ht="30">
      <c r="B4" s="5" t="s">
        <v>97</v>
      </c>
      <c r="C4" s="6" t="s">
        <v>200</v>
      </c>
      <c r="D4" s="5">
        <v>10</v>
      </c>
      <c r="E4" s="5" t="s">
        <v>201</v>
      </c>
      <c r="F4" s="6" t="s">
        <v>202</v>
      </c>
      <c r="G4" s="6" t="s">
        <v>203</v>
      </c>
      <c r="H4" s="6" t="s">
        <v>174</v>
      </c>
      <c r="J4" s="61" t="s">
        <v>55</v>
      </c>
      <c r="L4" t="s">
        <v>204</v>
      </c>
      <c r="M4" s="4">
        <v>0.4</v>
      </c>
      <c r="O4">
        <v>0</v>
      </c>
      <c r="P4" t="s">
        <v>205</v>
      </c>
      <c r="Q4">
        <v>0</v>
      </c>
      <c r="S4" s="8" t="s">
        <v>206</v>
      </c>
      <c r="T4" s="8" t="s">
        <v>207</v>
      </c>
      <c r="U4" s="8"/>
      <c r="W4" s="8" t="s">
        <v>207</v>
      </c>
      <c r="X4" s="10">
        <v>45839</v>
      </c>
      <c r="Y4" s="10">
        <v>45930</v>
      </c>
      <c r="AA4" s="8" t="s">
        <v>208</v>
      </c>
      <c r="AC4" s="8" t="s">
        <v>36</v>
      </c>
    </row>
    <row r="5" spans="2:29" ht="30">
      <c r="B5" s="5" t="s">
        <v>209</v>
      </c>
      <c r="C5" s="6" t="s">
        <v>210</v>
      </c>
      <c r="D5" s="5">
        <v>25</v>
      </c>
      <c r="E5" s="5" t="s">
        <v>211</v>
      </c>
      <c r="F5" s="6" t="s">
        <v>212</v>
      </c>
      <c r="G5" s="6" t="s">
        <v>213</v>
      </c>
      <c r="H5" s="6" t="s">
        <v>214</v>
      </c>
      <c r="J5" t="s">
        <v>138</v>
      </c>
      <c r="L5" t="s">
        <v>44</v>
      </c>
      <c r="M5" s="4">
        <v>0.1</v>
      </c>
      <c r="O5">
        <v>1</v>
      </c>
      <c r="P5" t="s">
        <v>44</v>
      </c>
      <c r="Q5">
        <v>0.1</v>
      </c>
      <c r="S5" s="9" t="s">
        <v>215</v>
      </c>
      <c r="T5" s="9" t="s">
        <v>207</v>
      </c>
      <c r="U5" s="9"/>
      <c r="W5" s="9" t="s">
        <v>216</v>
      </c>
      <c r="X5" s="11">
        <v>45931</v>
      </c>
      <c r="Y5" s="11">
        <v>0</v>
      </c>
      <c r="AA5" s="9" t="s">
        <v>217</v>
      </c>
      <c r="AC5" s="9" t="s">
        <v>107</v>
      </c>
    </row>
    <row r="6" spans="2:29" ht="30">
      <c r="B6" s="5" t="s">
        <v>35</v>
      </c>
      <c r="C6" s="6" t="s">
        <v>218</v>
      </c>
      <c r="D6" s="5">
        <v>50</v>
      </c>
      <c r="E6" s="5" t="s">
        <v>219</v>
      </c>
      <c r="F6" s="6" t="s">
        <v>220</v>
      </c>
      <c r="G6" s="6" t="s">
        <v>203</v>
      </c>
      <c r="H6" s="6" t="s">
        <v>174</v>
      </c>
      <c r="J6" t="s">
        <v>221</v>
      </c>
      <c r="L6" t="s">
        <v>75</v>
      </c>
      <c r="M6" s="4">
        <v>1</v>
      </c>
      <c r="O6">
        <v>2</v>
      </c>
      <c r="P6" t="s">
        <v>44</v>
      </c>
      <c r="Q6">
        <v>0.1</v>
      </c>
      <c r="S6" s="8" t="s">
        <v>222</v>
      </c>
      <c r="T6" s="8" t="s">
        <v>207</v>
      </c>
      <c r="U6" s="8"/>
      <c r="W6" s="8" t="s">
        <v>223</v>
      </c>
      <c r="X6" s="10">
        <v>46023</v>
      </c>
      <c r="Y6" s="10">
        <v>46112</v>
      </c>
      <c r="AA6" s="8" t="s">
        <v>224</v>
      </c>
      <c r="AC6" s="8" t="s">
        <v>98</v>
      </c>
    </row>
    <row r="7" spans="2:29" ht="30">
      <c r="B7" s="5" t="s">
        <v>136</v>
      </c>
      <c r="C7" s="6" t="s">
        <v>225</v>
      </c>
      <c r="D7" s="5">
        <v>100</v>
      </c>
      <c r="E7" s="5" t="s">
        <v>226</v>
      </c>
      <c r="F7" s="6" t="s">
        <v>227</v>
      </c>
      <c r="G7" s="6" t="s">
        <v>228</v>
      </c>
      <c r="H7" s="6" t="s">
        <v>229</v>
      </c>
      <c r="J7" t="s">
        <v>230</v>
      </c>
      <c r="L7" t="s">
        <v>231</v>
      </c>
      <c r="M7" s="4">
        <v>0</v>
      </c>
      <c r="O7">
        <v>3</v>
      </c>
      <c r="P7" t="s">
        <v>44</v>
      </c>
      <c r="Q7">
        <v>0.1</v>
      </c>
      <c r="S7" s="9" t="s">
        <v>232</v>
      </c>
      <c r="T7" s="9" t="s">
        <v>216</v>
      </c>
      <c r="U7" s="9" t="s">
        <v>207</v>
      </c>
      <c r="W7" s="9" t="s">
        <v>233</v>
      </c>
      <c r="X7" s="11">
        <v>46113</v>
      </c>
      <c r="Y7" s="11">
        <v>46203</v>
      </c>
      <c r="AA7" s="9" t="s">
        <v>234</v>
      </c>
      <c r="AC7" s="9" t="s">
        <v>235</v>
      </c>
    </row>
    <row r="8" spans="2:29" ht="30">
      <c r="B8" s="5" t="s">
        <v>117</v>
      </c>
      <c r="C8" s="6" t="s">
        <v>236</v>
      </c>
      <c r="D8" s="5">
        <v>200</v>
      </c>
      <c r="E8" s="5" t="s">
        <v>237</v>
      </c>
      <c r="F8" s="6" t="s">
        <v>238</v>
      </c>
      <c r="G8" s="6" t="s">
        <v>239</v>
      </c>
      <c r="H8" s="6" t="s">
        <v>229</v>
      </c>
      <c r="J8" t="s">
        <v>119</v>
      </c>
      <c r="L8" t="s">
        <v>63</v>
      </c>
      <c r="M8" s="4">
        <v>0.7</v>
      </c>
      <c r="O8">
        <v>4</v>
      </c>
      <c r="P8" t="s">
        <v>204</v>
      </c>
      <c r="Q8">
        <v>0.4</v>
      </c>
      <c r="S8" s="8" t="s">
        <v>240</v>
      </c>
      <c r="T8" s="8" t="s">
        <v>216</v>
      </c>
      <c r="U8" s="8" t="s">
        <v>207</v>
      </c>
      <c r="W8" s="8" t="s">
        <v>241</v>
      </c>
      <c r="X8" s="10">
        <v>46204</v>
      </c>
      <c r="Y8" s="10">
        <v>46295</v>
      </c>
      <c r="AA8" s="8" t="s">
        <v>242</v>
      </c>
      <c r="AC8" s="8" t="s">
        <v>243</v>
      </c>
    </row>
    <row r="9" spans="2:29">
      <c r="J9" t="s">
        <v>244</v>
      </c>
      <c r="O9">
        <v>5</v>
      </c>
      <c r="P9" t="s">
        <v>204</v>
      </c>
      <c r="Q9">
        <v>0.4</v>
      </c>
      <c r="S9" s="9" t="s">
        <v>245</v>
      </c>
      <c r="T9" s="9" t="s">
        <v>216</v>
      </c>
      <c r="U9" s="9" t="s">
        <v>207</v>
      </c>
      <c r="W9" s="9" t="s">
        <v>246</v>
      </c>
      <c r="X9" s="11">
        <v>46296</v>
      </c>
      <c r="Y9" s="11">
        <v>46387</v>
      </c>
      <c r="AA9" s="9" t="s">
        <v>247</v>
      </c>
      <c r="AC9" s="9" t="s">
        <v>248</v>
      </c>
    </row>
    <row r="10" spans="2:29">
      <c r="J10" t="s">
        <v>120</v>
      </c>
      <c r="O10">
        <v>6</v>
      </c>
      <c r="P10" t="s">
        <v>204</v>
      </c>
      <c r="Q10">
        <v>0.4</v>
      </c>
      <c r="S10" s="8" t="s">
        <v>249</v>
      </c>
      <c r="T10" s="8" t="s">
        <v>223</v>
      </c>
      <c r="U10" s="8" t="s">
        <v>216</v>
      </c>
    </row>
    <row r="11" spans="2:29">
      <c r="J11" t="s">
        <v>162</v>
      </c>
      <c r="O11">
        <v>7</v>
      </c>
      <c r="P11" t="s">
        <v>63</v>
      </c>
      <c r="Q11">
        <v>0.7</v>
      </c>
      <c r="S11" s="9" t="s">
        <v>250</v>
      </c>
      <c r="T11" s="9" t="s">
        <v>223</v>
      </c>
      <c r="U11" s="9" t="s">
        <v>216</v>
      </c>
    </row>
    <row r="12" spans="2:29">
      <c r="J12" t="s">
        <v>174</v>
      </c>
      <c r="O12">
        <v>8</v>
      </c>
      <c r="P12" t="s">
        <v>63</v>
      </c>
      <c r="Q12">
        <v>0.7</v>
      </c>
      <c r="S12" s="8" t="s">
        <v>251</v>
      </c>
      <c r="T12" s="8" t="s">
        <v>223</v>
      </c>
      <c r="U12" s="8" t="s">
        <v>216</v>
      </c>
    </row>
    <row r="13" spans="2:29">
      <c r="J13" t="s">
        <v>130</v>
      </c>
      <c r="O13">
        <v>9</v>
      </c>
      <c r="P13" t="s">
        <v>63</v>
      </c>
      <c r="Q13">
        <v>0.7</v>
      </c>
      <c r="S13" s="9" t="s">
        <v>252</v>
      </c>
      <c r="T13" s="9" t="s">
        <v>233</v>
      </c>
      <c r="U13" s="9" t="s">
        <v>223</v>
      </c>
    </row>
    <row r="14" spans="2:29">
      <c r="J14" t="s">
        <v>253</v>
      </c>
      <c r="O14">
        <v>10</v>
      </c>
      <c r="P14" t="s">
        <v>75</v>
      </c>
      <c r="Q14">
        <v>1</v>
      </c>
      <c r="S14" s="8" t="s">
        <v>254</v>
      </c>
      <c r="T14" s="8" t="s">
        <v>233</v>
      </c>
      <c r="U14" s="8" t="s">
        <v>223</v>
      </c>
    </row>
    <row r="15" spans="2:29">
      <c r="J15" t="s">
        <v>173</v>
      </c>
      <c r="O15">
        <v>11</v>
      </c>
      <c r="P15" t="s">
        <v>75</v>
      </c>
      <c r="Q15">
        <v>1</v>
      </c>
      <c r="S15" s="9" t="s">
        <v>255</v>
      </c>
      <c r="T15" s="9" t="s">
        <v>233</v>
      </c>
      <c r="U15" s="9" t="s">
        <v>223</v>
      </c>
    </row>
    <row r="16" spans="2:29">
      <c r="J16" t="s">
        <v>53</v>
      </c>
      <c r="O16">
        <v>12</v>
      </c>
      <c r="P16" t="s">
        <v>75</v>
      </c>
      <c r="Q16">
        <v>1</v>
      </c>
      <c r="S16" s="8" t="s">
        <v>256</v>
      </c>
      <c r="T16" s="8" t="s">
        <v>241</v>
      </c>
      <c r="U16" s="8" t="s">
        <v>233</v>
      </c>
    </row>
    <row r="17" spans="10:21">
      <c r="J17" t="s">
        <v>100</v>
      </c>
      <c r="S17" s="9" t="s">
        <v>257</v>
      </c>
      <c r="T17" s="9" t="s">
        <v>241</v>
      </c>
      <c r="U17" s="9" t="s">
        <v>233</v>
      </c>
    </row>
    <row r="18" spans="10:21">
      <c r="J18" t="s">
        <v>109</v>
      </c>
      <c r="S18" s="8" t="s">
        <v>258</v>
      </c>
      <c r="T18" s="8" t="s">
        <v>241</v>
      </c>
      <c r="U18" s="8" t="s">
        <v>233</v>
      </c>
    </row>
    <row r="19" spans="10:21">
      <c r="J19" t="s">
        <v>259</v>
      </c>
      <c r="S19" s="9" t="s">
        <v>260</v>
      </c>
      <c r="T19" s="9" t="s">
        <v>246</v>
      </c>
      <c r="U19" s="9" t="s">
        <v>241</v>
      </c>
    </row>
    <row r="20" spans="10:21">
      <c r="J20" t="s">
        <v>261</v>
      </c>
      <c r="S20" s="8" t="s">
        <v>262</v>
      </c>
      <c r="T20" s="8" t="s">
        <v>246</v>
      </c>
      <c r="U20" s="8" t="s">
        <v>241</v>
      </c>
    </row>
    <row r="21" spans="10:21">
      <c r="J21" t="s">
        <v>263</v>
      </c>
      <c r="S21" s="9" t="s">
        <v>264</v>
      </c>
      <c r="T21" s="9" t="s">
        <v>246</v>
      </c>
      <c r="U21" s="9" t="s">
        <v>241</v>
      </c>
    </row>
    <row r="22" spans="10:21">
      <c r="J22" t="s">
        <v>265</v>
      </c>
    </row>
    <row r="23" spans="10:21">
      <c r="J23" t="s">
        <v>266</v>
      </c>
    </row>
    <row r="24" spans="10:21">
      <c r="J24" t="s">
        <v>267</v>
      </c>
    </row>
    <row r="25" spans="10:21">
      <c r="J25" t="s">
        <v>268</v>
      </c>
    </row>
    <row r="26" spans="10:21">
      <c r="J26" t="s">
        <v>269</v>
      </c>
    </row>
    <row r="27" spans="10:21">
      <c r="J27" t="s">
        <v>270</v>
      </c>
    </row>
    <row r="28" spans="10:21">
      <c r="J28" t="s">
        <v>146</v>
      </c>
    </row>
    <row r="29" spans="10:21">
      <c r="J29" t="s">
        <v>108</v>
      </c>
    </row>
    <row r="30" spans="10:21">
      <c r="J30" t="s">
        <v>54</v>
      </c>
    </row>
    <row r="31" spans="10:21">
      <c r="J31" t="s">
        <v>271</v>
      </c>
    </row>
    <row r="32" spans="10:21">
      <c r="J32" t="s">
        <v>272</v>
      </c>
    </row>
  </sheetData>
  <sheetProtection sheet="1" objects="1" scenarios="1"/>
  <phoneticPr fontId="6" type="noConversion"/>
  <pageMargins left="0.7" right="0.7" top="0.75" bottom="0.75" header="0.3" footer="0.3"/>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1" t="s">
        <v>273</v>
      </c>
      <c r="B1" s="2" t="s">
        <v>274</v>
      </c>
      <c r="C1" s="2" t="s">
        <v>275</v>
      </c>
      <c r="D1" s="2" t="s">
        <v>276</v>
      </c>
      <c r="E1" s="2" t="s">
        <v>277</v>
      </c>
    </row>
    <row r="2" spans="1:5" ht="39" customHeight="1">
      <c r="A2" s="159" t="s">
        <v>208</v>
      </c>
      <c r="B2" s="3" t="s">
        <v>146</v>
      </c>
      <c r="C2" s="3" t="s">
        <v>278</v>
      </c>
      <c r="D2" s="3" t="s">
        <v>279</v>
      </c>
      <c r="E2" s="3" t="s">
        <v>280</v>
      </c>
    </row>
    <row r="3" spans="1:5" ht="39" customHeight="1">
      <c r="A3" s="160"/>
      <c r="B3" s="3" t="s">
        <v>174</v>
      </c>
      <c r="C3" s="3" t="s">
        <v>281</v>
      </c>
      <c r="D3" s="3" t="s">
        <v>282</v>
      </c>
      <c r="E3" s="3" t="s">
        <v>283</v>
      </c>
    </row>
    <row r="4" spans="1:5" ht="39" customHeight="1">
      <c r="A4" s="160"/>
      <c r="B4" s="3" t="s">
        <v>130</v>
      </c>
      <c r="C4" s="3" t="s">
        <v>284</v>
      </c>
      <c r="D4" s="3" t="s">
        <v>285</v>
      </c>
      <c r="E4" s="3" t="s">
        <v>286</v>
      </c>
    </row>
    <row r="5" spans="1:5" ht="39" customHeight="1">
      <c r="A5" s="160"/>
      <c r="B5" s="3" t="s">
        <v>271</v>
      </c>
      <c r="C5" s="3" t="s">
        <v>287</v>
      </c>
      <c r="D5" s="3" t="s">
        <v>288</v>
      </c>
      <c r="E5" s="3" t="s">
        <v>289</v>
      </c>
    </row>
    <row r="6" spans="1:5" ht="39" customHeight="1">
      <c r="A6" s="160"/>
      <c r="B6" s="3" t="s">
        <v>265</v>
      </c>
      <c r="C6" s="3" t="s">
        <v>290</v>
      </c>
      <c r="D6" s="3" t="s">
        <v>291</v>
      </c>
      <c r="E6" s="3" t="s">
        <v>280</v>
      </c>
    </row>
    <row r="7" spans="1:5" ht="39" customHeight="1">
      <c r="A7" s="161"/>
      <c r="B7" s="3" t="s">
        <v>162</v>
      </c>
      <c r="C7" s="3" t="s">
        <v>292</v>
      </c>
      <c r="D7" s="3" t="s">
        <v>293</v>
      </c>
      <c r="E7" s="3" t="s">
        <v>294</v>
      </c>
    </row>
    <row r="8" spans="1:5" ht="39" customHeight="1">
      <c r="A8" s="159" t="s">
        <v>234</v>
      </c>
      <c r="B8" s="3" t="s">
        <v>269</v>
      </c>
      <c r="C8" s="3" t="s">
        <v>295</v>
      </c>
      <c r="D8" s="3" t="s">
        <v>296</v>
      </c>
      <c r="E8" s="3" t="s">
        <v>289</v>
      </c>
    </row>
    <row r="9" spans="1:5" ht="39" customHeight="1">
      <c r="A9" s="160"/>
      <c r="B9" s="3" t="s">
        <v>244</v>
      </c>
      <c r="C9" s="3" t="s">
        <v>297</v>
      </c>
      <c r="D9" s="3" t="s">
        <v>298</v>
      </c>
      <c r="E9" s="3" t="s">
        <v>289</v>
      </c>
    </row>
    <row r="10" spans="1:5" ht="39" customHeight="1">
      <c r="A10" s="160"/>
      <c r="B10" s="3" t="s">
        <v>54</v>
      </c>
      <c r="C10" s="3" t="s">
        <v>299</v>
      </c>
      <c r="D10" s="3" t="s">
        <v>300</v>
      </c>
      <c r="E10" s="3" t="s">
        <v>289</v>
      </c>
    </row>
    <row r="11" spans="1:5" ht="39" customHeight="1">
      <c r="A11" s="160"/>
      <c r="B11" s="3" t="s">
        <v>109</v>
      </c>
      <c r="C11" s="3" t="s">
        <v>301</v>
      </c>
      <c r="D11" s="3" t="s">
        <v>302</v>
      </c>
      <c r="E11" s="3" t="s">
        <v>303</v>
      </c>
    </row>
    <row r="12" spans="1:5" ht="39" customHeight="1">
      <c r="A12" s="161"/>
      <c r="B12" s="3" t="s">
        <v>263</v>
      </c>
      <c r="C12" s="3" t="s">
        <v>304</v>
      </c>
      <c r="D12" s="3" t="s">
        <v>305</v>
      </c>
      <c r="E12" s="3" t="s">
        <v>289</v>
      </c>
    </row>
    <row r="13" spans="1:5" ht="39" customHeight="1">
      <c r="A13" s="159" t="s">
        <v>247</v>
      </c>
      <c r="B13" s="3" t="s">
        <v>53</v>
      </c>
      <c r="C13" s="3" t="s">
        <v>306</v>
      </c>
      <c r="D13" s="3" t="s">
        <v>307</v>
      </c>
      <c r="E13" s="3" t="s">
        <v>308</v>
      </c>
    </row>
    <row r="14" spans="1:5" ht="39" customHeight="1">
      <c r="A14" s="160"/>
      <c r="B14" s="3" t="s">
        <v>230</v>
      </c>
      <c r="C14" s="3" t="s">
        <v>309</v>
      </c>
      <c r="D14" s="3" t="s">
        <v>310</v>
      </c>
      <c r="E14" s="3" t="s">
        <v>311</v>
      </c>
    </row>
    <row r="15" spans="1:5" ht="39" customHeight="1">
      <c r="A15" s="161"/>
      <c r="B15" s="3" t="s">
        <v>100</v>
      </c>
      <c r="C15" s="3" t="s">
        <v>312</v>
      </c>
      <c r="D15" s="3" t="s">
        <v>313</v>
      </c>
      <c r="E15" s="3" t="s">
        <v>314</v>
      </c>
    </row>
    <row r="16" spans="1:5" ht="39" customHeight="1">
      <c r="A16" s="159" t="s">
        <v>217</v>
      </c>
      <c r="B16" s="3" t="s">
        <v>173</v>
      </c>
      <c r="C16" s="3" t="s">
        <v>315</v>
      </c>
      <c r="D16" s="3" t="s">
        <v>316</v>
      </c>
      <c r="E16" s="3" t="s">
        <v>317</v>
      </c>
    </row>
    <row r="17" spans="1:5" ht="39" customHeight="1">
      <c r="A17" s="160"/>
      <c r="B17" s="3" t="s">
        <v>253</v>
      </c>
      <c r="C17" s="3" t="s">
        <v>318</v>
      </c>
      <c r="D17" s="3" t="s">
        <v>319</v>
      </c>
      <c r="E17" s="3" t="s">
        <v>320</v>
      </c>
    </row>
    <row r="18" spans="1:5" ht="39" customHeight="1">
      <c r="A18" s="160"/>
      <c r="B18" s="3" t="s">
        <v>270</v>
      </c>
      <c r="C18" s="3" t="s">
        <v>321</v>
      </c>
      <c r="D18" s="3" t="s">
        <v>322</v>
      </c>
      <c r="E18" s="3" t="s">
        <v>323</v>
      </c>
    </row>
    <row r="19" spans="1:5" ht="39" customHeight="1">
      <c r="A19" s="161"/>
      <c r="B19" s="3" t="s">
        <v>266</v>
      </c>
      <c r="C19" s="3" t="s">
        <v>324</v>
      </c>
      <c r="D19" s="3" t="s">
        <v>325</v>
      </c>
      <c r="E19" s="3" t="s">
        <v>326</v>
      </c>
    </row>
    <row r="20" spans="1:5" ht="39" customHeight="1">
      <c r="A20" s="159" t="s">
        <v>224</v>
      </c>
      <c r="B20" s="3" t="s">
        <v>267</v>
      </c>
      <c r="C20" s="3" t="s">
        <v>327</v>
      </c>
      <c r="D20" s="3" t="s">
        <v>328</v>
      </c>
      <c r="E20" s="3" t="s">
        <v>329</v>
      </c>
    </row>
    <row r="21" spans="1:5" ht="39" customHeight="1">
      <c r="A21" s="160"/>
      <c r="B21" s="3" t="s">
        <v>272</v>
      </c>
      <c r="C21" s="3" t="s">
        <v>330</v>
      </c>
      <c r="D21" s="3" t="s">
        <v>331</v>
      </c>
      <c r="E21" s="3" t="s">
        <v>329</v>
      </c>
    </row>
    <row r="22" spans="1:5" ht="39" customHeight="1">
      <c r="A22" s="160"/>
      <c r="B22" s="3" t="s">
        <v>268</v>
      </c>
      <c r="C22" s="3" t="s">
        <v>332</v>
      </c>
      <c r="D22" s="3" t="s">
        <v>333</v>
      </c>
      <c r="E22" s="3" t="s">
        <v>334</v>
      </c>
    </row>
    <row r="23" spans="1:5" ht="39" customHeight="1">
      <c r="A23" s="161"/>
      <c r="B23" s="3" t="s">
        <v>108</v>
      </c>
      <c r="C23" s="3" t="s">
        <v>335</v>
      </c>
      <c r="D23" s="3" t="s">
        <v>336</v>
      </c>
      <c r="E23" s="3" t="s">
        <v>337</v>
      </c>
    </row>
    <row r="24" spans="1:5" ht="39" customHeight="1">
      <c r="A24" s="159" t="s">
        <v>242</v>
      </c>
      <c r="B24" s="3" t="s">
        <v>259</v>
      </c>
      <c r="C24" s="3" t="s">
        <v>338</v>
      </c>
      <c r="D24" s="3" t="s">
        <v>339</v>
      </c>
      <c r="E24" s="3" t="s">
        <v>340</v>
      </c>
    </row>
    <row r="25" spans="1:5" ht="39" customHeight="1">
      <c r="A25" s="160"/>
      <c r="B25" s="3" t="s">
        <v>119</v>
      </c>
      <c r="C25" s="3" t="s">
        <v>341</v>
      </c>
      <c r="D25" s="3" t="s">
        <v>342</v>
      </c>
      <c r="E25" s="3" t="s">
        <v>340</v>
      </c>
    </row>
    <row r="26" spans="1:5" ht="39" customHeight="1">
      <c r="A26" s="160"/>
      <c r="B26" s="3" t="s">
        <v>261</v>
      </c>
      <c r="C26" s="3" t="s">
        <v>343</v>
      </c>
      <c r="D26" s="3" t="s">
        <v>344</v>
      </c>
      <c r="E26" s="3" t="s">
        <v>345</v>
      </c>
    </row>
    <row r="27" spans="1:5" ht="39" customHeight="1">
      <c r="A27" s="161"/>
      <c r="B27" s="3" t="s">
        <v>120</v>
      </c>
      <c r="C27" s="3" t="s">
        <v>346</v>
      </c>
      <c r="D27" s="3" t="s">
        <v>347</v>
      </c>
      <c r="E27" s="3" t="s">
        <v>348</v>
      </c>
    </row>
  </sheetData>
  <mergeCells count="6">
    <mergeCell ref="A24:A27"/>
    <mergeCell ref="A2:A7"/>
    <mergeCell ref="A8:A12"/>
    <mergeCell ref="A13:A15"/>
    <mergeCell ref="A16:A19"/>
    <mergeCell ref="A20: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8F2843ECDA8349928D058FF63D2D85" ma:contentTypeVersion="21" ma:contentTypeDescription="Create a new document." ma:contentTypeScope="" ma:versionID="7f4c9b22b991546c3de0675085817703">
  <xsd:schema xmlns:xsd="http://www.w3.org/2001/XMLSchema" xmlns:xs="http://www.w3.org/2001/XMLSchema" xmlns:p="http://schemas.microsoft.com/office/2006/metadata/properties" xmlns:ns2="980885ca-5cab-45ab-bd81-524316fb572f" xmlns:ns3="dce14bce-3b6e-443a-b80c-e2f621d0456a" targetNamespace="http://schemas.microsoft.com/office/2006/metadata/properties" ma:root="true" ma:fieldsID="10a0bd3b258b951999fca805dd30ef82" ns2:_="" ns3:_="">
    <xsd:import namespace="980885ca-5cab-45ab-bd81-524316fb572f"/>
    <xsd:import namespace="dce14bce-3b6e-443a-b80c-e2f621d0456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885ca-5cab-45ab-bd81-524316fb57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881b45c-0eb4-4f25-b7bd-d0ccf4029da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e14bce-3b6e-443a-b80c-e2f621d045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c81e5f8-9b08-4137-bcee-cb4404e25940}" ma:internalName="TaxCatchAll" ma:showField="CatchAllData" ma:web="dce14bce-3b6e-443a-b80c-e2f621d045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e14bce-3b6e-443a-b80c-e2f621d0456a" xsi:nil="true"/>
    <lcf76f155ced4ddcb4097134ff3c332f xmlns="980885ca-5cab-45ab-bd81-524316fb572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6E03FA-13CF-48FA-A1C7-AF401113CB83}"/>
</file>

<file path=customXml/itemProps2.xml><?xml version="1.0" encoding="utf-8"?>
<ds:datastoreItem xmlns:ds="http://schemas.openxmlformats.org/officeDocument/2006/customXml" ds:itemID="{A508761D-78EF-43C2-8300-4607D77B77A9}"/>
</file>

<file path=customXml/itemProps3.xml><?xml version="1.0" encoding="utf-8"?>
<ds:datastoreItem xmlns:ds="http://schemas.openxmlformats.org/officeDocument/2006/customXml" ds:itemID="{1B6590E6-CD0A-47A9-8608-6E7D4D7A02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2025-06-17T03:21:01Z</dcterms:created>
  <dcterms:modified xsi:type="dcterms:W3CDTF">2025-10-31T16:25:36Z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0x0101000B8F2843ECDA8349928D058FF63D2D85</vt:lpwstr>
  </property>
  <property fmtid="{D5CDD505-2E9C-101B-9397-08002B2CF9AE}" pid="3" name="MediaServiceImageTags">
    <vt:lpwstr/>
  </property>
</Properties>
</file>